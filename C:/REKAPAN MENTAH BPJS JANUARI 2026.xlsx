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 KEUANGAN RSU PERMATA BUNDA TSM 2026\JANUARI 2026\"/>
    </mc:Choice>
  </mc:AlternateContent>
  <bookViews>
    <workbookView xWindow="0" yWindow="0" windowWidth="28800" windowHeight="11535"/>
  </bookViews>
  <sheets>
    <sheet name="REKAPAN JANUARI 2026 " sheetId="1" r:id="rId1"/>
  </sheets>
  <definedNames>
    <definedName name="_xlnm._FilterDatabase" localSheetId="0" hidden="1">'REKAPAN JANUARI 2026 '!$A$1:$FY$955</definedName>
    <definedName name="_xlnm.Print_Area" localSheetId="0">'REKAPAN JANUARI 2026 '!$ET$127:$EV$140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P920" i="1" l="1"/>
  <c r="EN803" i="1"/>
  <c r="EN802" i="1"/>
  <c r="EN801" i="1"/>
  <c r="EN800" i="1"/>
  <c r="EN799" i="1"/>
  <c r="EN798" i="1"/>
  <c r="EN797" i="1"/>
  <c r="EN796" i="1"/>
  <c r="EN795" i="1"/>
  <c r="EN794" i="1"/>
  <c r="EN793" i="1"/>
  <c r="EN792" i="1"/>
  <c r="EN791" i="1"/>
  <c r="EN790" i="1"/>
  <c r="EN789" i="1"/>
  <c r="EN788" i="1"/>
  <c r="EN787" i="1"/>
  <c r="EN786" i="1"/>
  <c r="EN785" i="1"/>
  <c r="EN784" i="1"/>
  <c r="EN783" i="1"/>
  <c r="EN782" i="1"/>
  <c r="EE782" i="1"/>
  <c r="EN781" i="1"/>
  <c r="EE781" i="1"/>
  <c r="EN780" i="1"/>
  <c r="EE780" i="1"/>
  <c r="EN779" i="1"/>
  <c r="EE779" i="1"/>
  <c r="EN778" i="1"/>
  <c r="EE778" i="1"/>
  <c r="EN777" i="1"/>
  <c r="EE777" i="1"/>
  <c r="EN776" i="1"/>
  <c r="EE776" i="1"/>
  <c r="EN775" i="1"/>
  <c r="EE775" i="1"/>
  <c r="EN774" i="1"/>
  <c r="EE774" i="1"/>
  <c r="EN773" i="1"/>
  <c r="EE773" i="1"/>
  <c r="EN772" i="1"/>
  <c r="EE772" i="1"/>
  <c r="EN771" i="1"/>
  <c r="EE771" i="1"/>
  <c r="EN770" i="1"/>
  <c r="EE770" i="1"/>
  <c r="EN769" i="1"/>
  <c r="EE769" i="1"/>
  <c r="EN768" i="1"/>
  <c r="EE768" i="1"/>
  <c r="EN767" i="1"/>
  <c r="EE767" i="1"/>
  <c r="EN766" i="1"/>
  <c r="EE766" i="1"/>
  <c r="EL765" i="1"/>
  <c r="EN765" i="1" s="1"/>
  <c r="EE765" i="1"/>
  <c r="EE764" i="1"/>
  <c r="EL764" i="1" s="1"/>
  <c r="EN764" i="1" s="1"/>
  <c r="CR763" i="1"/>
  <c r="EE763" i="1" s="1"/>
  <c r="EL763" i="1" s="1"/>
  <c r="EN763" i="1" s="1"/>
  <c r="CR762" i="1"/>
  <c r="EE762" i="1" s="1"/>
  <c r="EL762" i="1" s="1"/>
  <c r="EN762" i="1" s="1"/>
  <c r="CR761" i="1"/>
  <c r="EE761" i="1" s="1"/>
  <c r="EL761" i="1" s="1"/>
  <c r="EN761" i="1" s="1"/>
  <c r="CR760" i="1"/>
  <c r="EE760" i="1" s="1"/>
  <c r="EL760" i="1" s="1"/>
  <c r="EN760" i="1" s="1"/>
  <c r="CR759" i="1"/>
  <c r="EE759" i="1" s="1"/>
  <c r="EL759" i="1" s="1"/>
  <c r="EN759" i="1" s="1"/>
  <c r="CR758" i="1"/>
  <c r="EE758" i="1" s="1"/>
  <c r="EL758" i="1" s="1"/>
  <c r="EN758" i="1" s="1"/>
  <c r="CR757" i="1"/>
  <c r="EE757" i="1" s="1"/>
  <c r="EL757" i="1" s="1"/>
  <c r="EN757" i="1" s="1"/>
  <c r="CR756" i="1"/>
  <c r="EE756" i="1" s="1"/>
  <c r="EL756" i="1" s="1"/>
  <c r="EN756" i="1" s="1"/>
  <c r="CR755" i="1"/>
  <c r="EE755" i="1" s="1"/>
  <c r="EL755" i="1" s="1"/>
  <c r="EN755" i="1" s="1"/>
  <c r="AN755" i="1"/>
  <c r="EN754" i="1"/>
  <c r="EE754" i="1"/>
  <c r="EL754" i="1" s="1"/>
  <c r="CR754" i="1"/>
  <c r="AN754" i="1"/>
  <c r="EL753" i="1"/>
  <c r="EN753" i="1" s="1"/>
  <c r="CR753" i="1"/>
  <c r="EE753" i="1" s="1"/>
  <c r="AN753" i="1"/>
  <c r="EE752" i="1"/>
  <c r="EL752" i="1" s="1"/>
  <c r="EN752" i="1" s="1"/>
  <c r="CR752" i="1"/>
  <c r="AN752" i="1"/>
  <c r="CR751" i="1"/>
  <c r="EE751" i="1" s="1"/>
  <c r="EL751" i="1" s="1"/>
  <c r="EN751" i="1" s="1"/>
  <c r="AN751" i="1"/>
  <c r="CR750" i="1"/>
  <c r="EE750" i="1" s="1"/>
  <c r="EL750" i="1" s="1"/>
  <c r="EN750" i="1" s="1"/>
  <c r="AN750" i="1"/>
  <c r="EL749" i="1"/>
  <c r="EN749" i="1" s="1"/>
  <c r="CR749" i="1"/>
  <c r="EE749" i="1" s="1"/>
  <c r="AN749" i="1"/>
  <c r="CR748" i="1"/>
  <c r="EE748" i="1" s="1"/>
  <c r="EL748" i="1" s="1"/>
  <c r="EN748" i="1" s="1"/>
  <c r="AN748" i="1"/>
  <c r="CR747" i="1"/>
  <c r="EE747" i="1" s="1"/>
  <c r="EL747" i="1" s="1"/>
  <c r="EN747" i="1" s="1"/>
  <c r="AN747" i="1"/>
  <c r="CR746" i="1"/>
  <c r="EE746" i="1" s="1"/>
  <c r="EL746" i="1" s="1"/>
  <c r="EN746" i="1" s="1"/>
  <c r="AN746" i="1"/>
  <c r="CR745" i="1"/>
  <c r="EE745" i="1" s="1"/>
  <c r="EL745" i="1" s="1"/>
  <c r="EN745" i="1" s="1"/>
  <c r="AN745" i="1"/>
  <c r="CR744" i="1"/>
  <c r="EE744" i="1" s="1"/>
  <c r="EL744" i="1" s="1"/>
  <c r="EN744" i="1" s="1"/>
  <c r="AN744" i="1"/>
  <c r="CR743" i="1"/>
  <c r="EE743" i="1" s="1"/>
  <c r="EL743" i="1" s="1"/>
  <c r="EN743" i="1" s="1"/>
  <c r="AN743" i="1"/>
  <c r="CR742" i="1"/>
  <c r="EE742" i="1" s="1"/>
  <c r="EL742" i="1" s="1"/>
  <c r="EN742" i="1" s="1"/>
  <c r="AN742" i="1"/>
  <c r="EL741" i="1"/>
  <c r="EN741" i="1" s="1"/>
  <c r="CR741" i="1"/>
  <c r="EE741" i="1" s="1"/>
  <c r="AN741" i="1"/>
  <c r="CR740" i="1"/>
  <c r="EE740" i="1" s="1"/>
  <c r="AO740" i="1"/>
  <c r="AN740" i="1"/>
  <c r="EE739" i="1"/>
  <c r="CR739" i="1"/>
  <c r="AO739" i="1"/>
  <c r="EL739" i="1" s="1"/>
  <c r="EN739" i="1" s="1"/>
  <c r="AN739" i="1"/>
  <c r="EE738" i="1"/>
  <c r="CR738" i="1"/>
  <c r="AO738" i="1"/>
  <c r="EL738" i="1" s="1"/>
  <c r="EN738" i="1" s="1"/>
  <c r="AN738" i="1"/>
  <c r="CR737" i="1"/>
  <c r="EE737" i="1" s="1"/>
  <c r="AO737" i="1"/>
  <c r="AN737" i="1"/>
  <c r="CR736" i="1"/>
  <c r="EE736" i="1" s="1"/>
  <c r="AO736" i="1"/>
  <c r="AN736" i="1"/>
  <c r="EE735" i="1"/>
  <c r="CR735" i="1"/>
  <c r="AO735" i="1"/>
  <c r="EL735" i="1" s="1"/>
  <c r="EN735" i="1" s="1"/>
  <c r="AN735" i="1"/>
  <c r="EE734" i="1"/>
  <c r="CR734" i="1"/>
  <c r="AO734" i="1"/>
  <c r="EL734" i="1" s="1"/>
  <c r="EN734" i="1" s="1"/>
  <c r="AN734" i="1"/>
  <c r="EE733" i="1"/>
  <c r="CR733" i="1"/>
  <c r="AN733" i="1"/>
  <c r="AO733" i="1" s="1"/>
  <c r="EL733" i="1" s="1"/>
  <c r="EN733" i="1" s="1"/>
  <c r="CR732" i="1"/>
  <c r="EE732" i="1" s="1"/>
  <c r="AN732" i="1"/>
  <c r="AO732" i="1" s="1"/>
  <c r="EE731" i="1"/>
  <c r="CR731" i="1"/>
  <c r="AO731" i="1"/>
  <c r="EL731" i="1" s="1"/>
  <c r="EN731" i="1" s="1"/>
  <c r="AN731" i="1"/>
  <c r="EE730" i="1"/>
  <c r="CR730" i="1"/>
  <c r="AO730" i="1"/>
  <c r="EL730" i="1" s="1"/>
  <c r="EN730" i="1" s="1"/>
  <c r="AN730" i="1"/>
  <c r="EE729" i="1"/>
  <c r="CR729" i="1"/>
  <c r="AN729" i="1"/>
  <c r="AO729" i="1" s="1"/>
  <c r="EL729" i="1" s="1"/>
  <c r="EN729" i="1" s="1"/>
  <c r="CR728" i="1"/>
  <c r="EE728" i="1" s="1"/>
  <c r="AN728" i="1"/>
  <c r="AO728" i="1" s="1"/>
  <c r="EE727" i="1"/>
  <c r="CR727" i="1"/>
  <c r="AO727" i="1"/>
  <c r="EL727" i="1" s="1"/>
  <c r="EN727" i="1" s="1"/>
  <c r="AN727" i="1"/>
  <c r="EE726" i="1"/>
  <c r="CR726" i="1"/>
  <c r="AO726" i="1"/>
  <c r="EL726" i="1" s="1"/>
  <c r="EN726" i="1" s="1"/>
  <c r="AN726" i="1"/>
  <c r="EE725" i="1"/>
  <c r="CR725" i="1"/>
  <c r="AN725" i="1"/>
  <c r="AO725" i="1" s="1"/>
  <c r="EL725" i="1" s="1"/>
  <c r="EN725" i="1" s="1"/>
  <c r="CR724" i="1"/>
  <c r="EE724" i="1" s="1"/>
  <c r="AN724" i="1"/>
  <c r="AO724" i="1" s="1"/>
  <c r="EE723" i="1"/>
  <c r="CR723" i="1"/>
  <c r="AO723" i="1"/>
  <c r="EL723" i="1" s="1"/>
  <c r="EN723" i="1" s="1"/>
  <c r="AN723" i="1"/>
  <c r="EE722" i="1"/>
  <c r="CR722" i="1"/>
  <c r="AO722" i="1"/>
  <c r="EL722" i="1" s="1"/>
  <c r="EN722" i="1" s="1"/>
  <c r="AN722" i="1"/>
  <c r="EE721" i="1"/>
  <c r="CR721" i="1"/>
  <c r="AN721" i="1"/>
  <c r="AO721" i="1" s="1"/>
  <c r="EL721" i="1" s="1"/>
  <c r="EN721" i="1" s="1"/>
  <c r="CR720" i="1"/>
  <c r="EE720" i="1" s="1"/>
  <c r="AN720" i="1"/>
  <c r="AO720" i="1" s="1"/>
  <c r="EE719" i="1"/>
  <c r="CR719" i="1"/>
  <c r="AO719" i="1"/>
  <c r="EL719" i="1" s="1"/>
  <c r="EN719" i="1" s="1"/>
  <c r="AN719" i="1"/>
  <c r="EE718" i="1"/>
  <c r="CR718" i="1"/>
  <c r="AO718" i="1"/>
  <c r="EL718" i="1" s="1"/>
  <c r="EN718" i="1" s="1"/>
  <c r="AN718" i="1"/>
  <c r="EE717" i="1"/>
  <c r="CR717" i="1"/>
  <c r="AN717" i="1"/>
  <c r="AO717" i="1" s="1"/>
  <c r="EL717" i="1" s="1"/>
  <c r="EN717" i="1" s="1"/>
  <c r="CR716" i="1"/>
  <c r="EE716" i="1" s="1"/>
  <c r="AN716" i="1"/>
  <c r="AO716" i="1" s="1"/>
  <c r="EE715" i="1"/>
  <c r="CR715" i="1"/>
  <c r="AO715" i="1"/>
  <c r="EL715" i="1" s="1"/>
  <c r="EN715" i="1" s="1"/>
  <c r="AN715" i="1"/>
  <c r="EE714" i="1"/>
  <c r="CR714" i="1"/>
  <c r="AO714" i="1"/>
  <c r="EL714" i="1" s="1"/>
  <c r="EN714" i="1" s="1"/>
  <c r="AN714" i="1"/>
  <c r="EE713" i="1"/>
  <c r="CR713" i="1"/>
  <c r="AN713" i="1"/>
  <c r="AO713" i="1" s="1"/>
  <c r="EL713" i="1" s="1"/>
  <c r="EN713" i="1" s="1"/>
  <c r="CR712" i="1"/>
  <c r="EE712" i="1" s="1"/>
  <c r="AN712" i="1"/>
  <c r="AO712" i="1" s="1"/>
  <c r="EE711" i="1"/>
  <c r="CR711" i="1"/>
  <c r="AO711" i="1"/>
  <c r="EL711" i="1" s="1"/>
  <c r="EN711" i="1" s="1"/>
  <c r="AN711" i="1"/>
  <c r="EE710" i="1"/>
  <c r="CR710" i="1"/>
  <c r="AO710" i="1"/>
  <c r="EL710" i="1" s="1"/>
  <c r="EN710" i="1" s="1"/>
  <c r="AN710" i="1"/>
  <c r="CY709" i="1"/>
  <c r="CR709" i="1"/>
  <c r="EE709" i="1" s="1"/>
  <c r="AN709" i="1"/>
  <c r="AO709" i="1" s="1"/>
  <c r="CY708" i="1"/>
  <c r="CR708" i="1"/>
  <c r="EE708" i="1" s="1"/>
  <c r="AN708" i="1"/>
  <c r="AO708" i="1" s="1"/>
  <c r="CY707" i="1"/>
  <c r="CR707" i="1"/>
  <c r="EE707" i="1" s="1"/>
  <c r="AN707" i="1"/>
  <c r="AO707" i="1" s="1"/>
  <c r="CY706" i="1"/>
  <c r="CR706" i="1"/>
  <c r="EE706" i="1" s="1"/>
  <c r="AN706" i="1"/>
  <c r="AO706" i="1" s="1"/>
  <c r="CY705" i="1"/>
  <c r="CR705" i="1"/>
  <c r="EE705" i="1" s="1"/>
  <c r="AO705" i="1"/>
  <c r="AN705" i="1"/>
  <c r="CY704" i="1"/>
  <c r="CR704" i="1"/>
  <c r="EE704" i="1" s="1"/>
  <c r="AN704" i="1"/>
  <c r="AO704" i="1" s="1"/>
  <c r="CY703" i="1"/>
  <c r="CR703" i="1"/>
  <c r="EE703" i="1" s="1"/>
  <c r="AN703" i="1"/>
  <c r="AO703" i="1" s="1"/>
  <c r="CY702" i="1"/>
  <c r="CR702" i="1"/>
  <c r="EE702" i="1" s="1"/>
  <c r="AO702" i="1"/>
  <c r="AN702" i="1"/>
  <c r="CY701" i="1"/>
  <c r="CR701" i="1"/>
  <c r="EE701" i="1" s="1"/>
  <c r="AN701" i="1"/>
  <c r="AO701" i="1" s="1"/>
  <c r="CY700" i="1"/>
  <c r="CR700" i="1"/>
  <c r="EE700" i="1" s="1"/>
  <c r="AN700" i="1"/>
  <c r="AO700" i="1" s="1"/>
  <c r="CY699" i="1"/>
  <c r="CR699" i="1"/>
  <c r="EE699" i="1" s="1"/>
  <c r="AN699" i="1"/>
  <c r="AO699" i="1" s="1"/>
  <c r="CY698" i="1"/>
  <c r="CR698" i="1"/>
  <c r="EE698" i="1" s="1"/>
  <c r="AN698" i="1"/>
  <c r="AO698" i="1" s="1"/>
  <c r="CY697" i="1"/>
  <c r="CP697" i="1"/>
  <c r="CR697" i="1" s="1"/>
  <c r="EE697" i="1" s="1"/>
  <c r="AN697" i="1"/>
  <c r="AO697" i="1" s="1"/>
  <c r="CY696" i="1"/>
  <c r="CP696" i="1"/>
  <c r="CR696" i="1" s="1"/>
  <c r="EE696" i="1" s="1"/>
  <c r="AN696" i="1"/>
  <c r="AO696" i="1" s="1"/>
  <c r="CY695" i="1"/>
  <c r="CR695" i="1"/>
  <c r="EE695" i="1" s="1"/>
  <c r="CP695" i="1"/>
  <c r="AN695" i="1"/>
  <c r="AO695" i="1" s="1"/>
  <c r="EL695" i="1" s="1"/>
  <c r="EN695" i="1" s="1"/>
  <c r="CY694" i="1"/>
  <c r="CP694" i="1"/>
  <c r="CR694" i="1" s="1"/>
  <c r="EE694" i="1" s="1"/>
  <c r="AN694" i="1"/>
  <c r="AO694" i="1" s="1"/>
  <c r="CY693" i="1"/>
  <c r="CP693" i="1"/>
  <c r="CR693" i="1" s="1"/>
  <c r="EE693" i="1" s="1"/>
  <c r="AN693" i="1"/>
  <c r="AO693" i="1" s="1"/>
  <c r="CY692" i="1"/>
  <c r="CP692" i="1"/>
  <c r="CR692" i="1" s="1"/>
  <c r="EE692" i="1" s="1"/>
  <c r="AN692" i="1"/>
  <c r="AO692" i="1" s="1"/>
  <c r="CY691" i="1"/>
  <c r="CP691" i="1"/>
  <c r="CR691" i="1" s="1"/>
  <c r="EE691" i="1" s="1"/>
  <c r="AN691" i="1"/>
  <c r="AO691" i="1" s="1"/>
  <c r="CY690" i="1"/>
  <c r="CR690" i="1"/>
  <c r="EE690" i="1" s="1"/>
  <c r="CP690" i="1"/>
  <c r="AO690" i="1"/>
  <c r="EL690" i="1" s="1"/>
  <c r="EN690" i="1" s="1"/>
  <c r="AN690" i="1"/>
  <c r="CY689" i="1"/>
  <c r="CR689" i="1"/>
  <c r="EE689" i="1" s="1"/>
  <c r="CP689" i="1"/>
  <c r="AN689" i="1"/>
  <c r="AO689" i="1" s="1"/>
  <c r="EL689" i="1" s="1"/>
  <c r="EN689" i="1" s="1"/>
  <c r="CY688" i="1"/>
  <c r="CR688" i="1"/>
  <c r="EE688" i="1" s="1"/>
  <c r="CP688" i="1"/>
  <c r="AO688" i="1"/>
  <c r="EL688" i="1" s="1"/>
  <c r="EN688" i="1" s="1"/>
  <c r="AN688" i="1"/>
  <c r="CY687" i="1"/>
  <c r="CR687" i="1"/>
  <c r="EE687" i="1" s="1"/>
  <c r="CP687" i="1"/>
  <c r="AN687" i="1"/>
  <c r="AO687" i="1" s="1"/>
  <c r="EL687" i="1" s="1"/>
  <c r="EN687" i="1" s="1"/>
  <c r="CY686" i="1"/>
  <c r="CR686" i="1"/>
  <c r="EE686" i="1" s="1"/>
  <c r="CP686" i="1"/>
  <c r="AO686" i="1"/>
  <c r="EL686" i="1" s="1"/>
  <c r="EN686" i="1" s="1"/>
  <c r="AN686" i="1"/>
  <c r="CY685" i="1"/>
  <c r="CR685" i="1"/>
  <c r="EE685" i="1" s="1"/>
  <c r="CP685" i="1"/>
  <c r="AN685" i="1"/>
  <c r="AO685" i="1" s="1"/>
  <c r="EL685" i="1" s="1"/>
  <c r="EN685" i="1" s="1"/>
  <c r="CY684" i="1"/>
  <c r="CR684" i="1"/>
  <c r="EE684" i="1" s="1"/>
  <c r="CP684" i="1"/>
  <c r="AO684" i="1"/>
  <c r="EL684" i="1" s="1"/>
  <c r="EN684" i="1" s="1"/>
  <c r="AN684" i="1"/>
  <c r="CY683" i="1"/>
  <c r="CR683" i="1"/>
  <c r="EE683" i="1" s="1"/>
  <c r="CP683" i="1"/>
  <c r="AN683" i="1"/>
  <c r="AO683" i="1" s="1"/>
  <c r="EL683" i="1" s="1"/>
  <c r="EN683" i="1" s="1"/>
  <c r="CY682" i="1"/>
  <c r="CR682" i="1"/>
  <c r="EE682" i="1" s="1"/>
  <c r="CP682" i="1"/>
  <c r="AO682" i="1"/>
  <c r="EL682" i="1" s="1"/>
  <c r="EN682" i="1" s="1"/>
  <c r="AN682" i="1"/>
  <c r="CY681" i="1"/>
  <c r="CR681" i="1"/>
  <c r="EE681" i="1" s="1"/>
  <c r="CP681" i="1"/>
  <c r="AN681" i="1"/>
  <c r="AO681" i="1" s="1"/>
  <c r="EL681" i="1" s="1"/>
  <c r="EN681" i="1" s="1"/>
  <c r="CY680" i="1"/>
  <c r="CR680" i="1"/>
  <c r="EE680" i="1" s="1"/>
  <c r="CP680" i="1"/>
  <c r="BK680" i="1"/>
  <c r="AN680" i="1"/>
  <c r="AO680" i="1" s="1"/>
  <c r="CY679" i="1"/>
  <c r="CP679" i="1"/>
  <c r="CR679" i="1" s="1"/>
  <c r="EE679" i="1" s="1"/>
  <c r="BK679" i="1"/>
  <c r="AN679" i="1"/>
  <c r="AO679" i="1" s="1"/>
  <c r="EL679" i="1" s="1"/>
  <c r="EN679" i="1" s="1"/>
  <c r="CY678" i="1"/>
  <c r="CR678" i="1"/>
  <c r="EE678" i="1" s="1"/>
  <c r="CP678" i="1"/>
  <c r="BK678" i="1"/>
  <c r="AN678" i="1"/>
  <c r="AO678" i="1" s="1"/>
  <c r="CY677" i="1"/>
  <c r="CP677" i="1"/>
  <c r="CR677" i="1" s="1"/>
  <c r="EE677" i="1" s="1"/>
  <c r="BK677" i="1"/>
  <c r="AN677" i="1"/>
  <c r="AO677" i="1" s="1"/>
  <c r="EL677" i="1" s="1"/>
  <c r="EN677" i="1" s="1"/>
  <c r="CY676" i="1"/>
  <c r="CR676" i="1"/>
  <c r="EE676" i="1" s="1"/>
  <c r="CP676" i="1"/>
  <c r="BK676" i="1"/>
  <c r="AN676" i="1"/>
  <c r="AO676" i="1" s="1"/>
  <c r="CY675" i="1"/>
  <c r="CP675" i="1"/>
  <c r="CR675" i="1" s="1"/>
  <c r="EE675" i="1" s="1"/>
  <c r="BK675" i="1"/>
  <c r="AN675" i="1"/>
  <c r="AO675" i="1" s="1"/>
  <c r="EL675" i="1" s="1"/>
  <c r="EN675" i="1" s="1"/>
  <c r="CY674" i="1"/>
  <c r="CR674" i="1"/>
  <c r="EE674" i="1" s="1"/>
  <c r="CP674" i="1"/>
  <c r="BK674" i="1"/>
  <c r="AN674" i="1"/>
  <c r="AO674" i="1" s="1"/>
  <c r="CY673" i="1"/>
  <c r="CP673" i="1"/>
  <c r="CR673" i="1" s="1"/>
  <c r="EE673" i="1" s="1"/>
  <c r="BK673" i="1"/>
  <c r="AN673" i="1"/>
  <c r="AO673" i="1" s="1"/>
  <c r="EL673" i="1" s="1"/>
  <c r="EN673" i="1" s="1"/>
  <c r="CY672" i="1"/>
  <c r="CR672" i="1"/>
  <c r="EE672" i="1" s="1"/>
  <c r="CP672" i="1"/>
  <c r="BK672" i="1"/>
  <c r="AN672" i="1"/>
  <c r="AO672" i="1" s="1"/>
  <c r="CY671" i="1"/>
  <c r="CP671" i="1"/>
  <c r="CR671" i="1" s="1"/>
  <c r="EE671" i="1" s="1"/>
  <c r="BK671" i="1"/>
  <c r="AN671" i="1"/>
  <c r="AO671" i="1" s="1"/>
  <c r="EL671" i="1" s="1"/>
  <c r="EN671" i="1" s="1"/>
  <c r="EK670" i="1"/>
  <c r="DX670" i="1"/>
  <c r="DL670" i="1"/>
  <c r="CW670" i="1"/>
  <c r="CY670" i="1" s="1"/>
  <c r="CP670" i="1"/>
  <c r="CR670" i="1" s="1"/>
  <c r="BK670" i="1"/>
  <c r="BE670" i="1"/>
  <c r="AN670" i="1"/>
  <c r="AO670" i="1" s="1"/>
  <c r="EK669" i="1"/>
  <c r="DX669" i="1"/>
  <c r="DL669" i="1"/>
  <c r="DD669" i="1"/>
  <c r="CY669" i="1"/>
  <c r="CW669" i="1"/>
  <c r="CR669" i="1"/>
  <c r="EE669" i="1" s="1"/>
  <c r="CP669" i="1"/>
  <c r="BK669" i="1"/>
  <c r="BE669" i="1"/>
  <c r="AO669" i="1"/>
  <c r="EL669" i="1" s="1"/>
  <c r="EN669" i="1" s="1"/>
  <c r="AN669" i="1"/>
  <c r="EK668" i="1"/>
  <c r="DX668" i="1"/>
  <c r="DL668" i="1"/>
  <c r="DD668" i="1"/>
  <c r="CW668" i="1"/>
  <c r="CY668" i="1" s="1"/>
  <c r="CP668" i="1"/>
  <c r="CR668" i="1" s="1"/>
  <c r="BK668" i="1"/>
  <c r="BE668" i="1"/>
  <c r="AN668" i="1"/>
  <c r="AO668" i="1" s="1"/>
  <c r="EK667" i="1"/>
  <c r="DX667" i="1"/>
  <c r="DL667" i="1"/>
  <c r="DD667" i="1"/>
  <c r="CW667" i="1"/>
  <c r="CY667" i="1" s="1"/>
  <c r="CP667" i="1"/>
  <c r="CR667" i="1" s="1"/>
  <c r="BK667" i="1"/>
  <c r="BE667" i="1"/>
  <c r="AN667" i="1"/>
  <c r="AO667" i="1" s="1"/>
  <c r="EK666" i="1"/>
  <c r="DX666" i="1"/>
  <c r="DL666" i="1"/>
  <c r="DD666" i="1"/>
  <c r="CW666" i="1"/>
  <c r="CY666" i="1" s="1"/>
  <c r="CP666" i="1"/>
  <c r="CR666" i="1" s="1"/>
  <c r="BK666" i="1"/>
  <c r="BE666" i="1"/>
  <c r="AN666" i="1"/>
  <c r="AO666" i="1" s="1"/>
  <c r="EK665" i="1"/>
  <c r="DX665" i="1"/>
  <c r="DL665" i="1"/>
  <c r="DD665" i="1"/>
  <c r="CY665" i="1"/>
  <c r="CW665" i="1"/>
  <c r="CR665" i="1"/>
  <c r="EE665" i="1" s="1"/>
  <c r="CP665" i="1"/>
  <c r="BK665" i="1"/>
  <c r="BE665" i="1"/>
  <c r="AO665" i="1"/>
  <c r="EL665" i="1" s="1"/>
  <c r="EN665" i="1" s="1"/>
  <c r="AN665" i="1"/>
  <c r="EK664" i="1"/>
  <c r="DX664" i="1"/>
  <c r="DL664" i="1"/>
  <c r="DD664" i="1"/>
  <c r="CW664" i="1"/>
  <c r="CY664" i="1" s="1"/>
  <c r="CP664" i="1"/>
  <c r="CR664" i="1" s="1"/>
  <c r="BK664" i="1"/>
  <c r="BE664" i="1"/>
  <c r="AN664" i="1"/>
  <c r="AO664" i="1" s="1"/>
  <c r="EK663" i="1"/>
  <c r="DX663" i="1"/>
  <c r="DL663" i="1"/>
  <c r="DD663" i="1"/>
  <c r="CW663" i="1"/>
  <c r="CY663" i="1" s="1"/>
  <c r="CP663" i="1"/>
  <c r="CR663" i="1" s="1"/>
  <c r="BK663" i="1"/>
  <c r="BE663" i="1"/>
  <c r="AN663" i="1"/>
  <c r="AO663" i="1" s="1"/>
  <c r="EK662" i="1"/>
  <c r="DX662" i="1"/>
  <c r="DL662" i="1"/>
  <c r="DD662" i="1"/>
  <c r="CW662" i="1"/>
  <c r="CY662" i="1" s="1"/>
  <c r="CP662" i="1"/>
  <c r="CR662" i="1" s="1"/>
  <c r="BK662" i="1"/>
  <c r="BE662" i="1"/>
  <c r="EE662" i="1" s="1"/>
  <c r="AN662" i="1"/>
  <c r="AO662" i="1" s="1"/>
  <c r="EK661" i="1"/>
  <c r="DX661" i="1"/>
  <c r="DL661" i="1"/>
  <c r="DD661" i="1"/>
  <c r="CY661" i="1"/>
  <c r="CW661" i="1"/>
  <c r="CP661" i="1"/>
  <c r="CR661" i="1"/>
  <c r="BK661" i="1"/>
  <c r="BE661" i="1"/>
  <c r="AN661" i="1"/>
  <c r="AO661" i="1" s="1"/>
  <c r="EK660" i="1"/>
  <c r="DX660" i="1"/>
  <c r="DL660" i="1"/>
  <c r="DD660" i="1"/>
  <c r="CW660" i="1"/>
  <c r="CY660" i="1" s="1"/>
  <c r="CP660" i="1"/>
  <c r="CR660" i="1" s="1"/>
  <c r="BK660" i="1"/>
  <c r="BE660" i="1"/>
  <c r="AN660" i="1"/>
  <c r="AO660" i="1" s="1"/>
  <c r="EK659" i="1"/>
  <c r="DX659" i="1"/>
  <c r="DL659" i="1"/>
  <c r="DD659" i="1"/>
  <c r="CW659" i="1"/>
  <c r="CY659" i="1" s="1"/>
  <c r="CP659" i="1"/>
  <c r="CR659" i="1" s="1"/>
  <c r="BK659" i="1"/>
  <c r="BE659" i="1"/>
  <c r="AN659" i="1"/>
  <c r="AO659" i="1" s="1"/>
  <c r="EK658" i="1"/>
  <c r="DX658" i="1"/>
  <c r="DL658" i="1"/>
  <c r="DD658" i="1"/>
  <c r="CY658" i="1"/>
  <c r="CW658" i="1"/>
  <c r="CR658" i="1"/>
  <c r="EE658" i="1" s="1"/>
  <c r="CP658" i="1"/>
  <c r="BK658" i="1"/>
  <c r="BE658" i="1"/>
  <c r="AO658" i="1"/>
  <c r="EL658" i="1" s="1"/>
  <c r="EN658" i="1" s="1"/>
  <c r="AN658" i="1"/>
  <c r="EK657" i="1"/>
  <c r="DX657" i="1"/>
  <c r="DL657" i="1"/>
  <c r="DD657" i="1"/>
  <c r="CW657" i="1"/>
  <c r="CY657" i="1" s="1"/>
  <c r="CP657" i="1"/>
  <c r="CR657" i="1" s="1"/>
  <c r="BK657" i="1"/>
  <c r="BE657" i="1"/>
  <c r="AN657" i="1"/>
  <c r="AO657" i="1" s="1"/>
  <c r="EK656" i="1"/>
  <c r="DX656" i="1"/>
  <c r="DL656" i="1"/>
  <c r="DD656" i="1"/>
  <c r="CY656" i="1"/>
  <c r="CW656" i="1"/>
  <c r="CR656" i="1"/>
  <c r="EE656" i="1" s="1"/>
  <c r="CP656" i="1"/>
  <c r="BK656" i="1"/>
  <c r="BE656" i="1"/>
  <c r="AN656" i="1"/>
  <c r="AO656" i="1" s="1"/>
  <c r="EL656" i="1" s="1"/>
  <c r="EN656" i="1" s="1"/>
  <c r="EK655" i="1"/>
  <c r="DX655" i="1"/>
  <c r="DL655" i="1"/>
  <c r="DD655" i="1"/>
  <c r="CW655" i="1"/>
  <c r="CY655" i="1" s="1"/>
  <c r="CP655" i="1"/>
  <c r="CR655" i="1" s="1"/>
  <c r="BK655" i="1"/>
  <c r="BE655" i="1"/>
  <c r="AN655" i="1"/>
  <c r="AO655" i="1" s="1"/>
  <c r="EK654" i="1"/>
  <c r="DX654" i="1"/>
  <c r="DL654" i="1"/>
  <c r="DD654" i="1"/>
  <c r="CW654" i="1"/>
  <c r="CY654" i="1" s="1"/>
  <c r="CP654" i="1"/>
  <c r="CR654" i="1" s="1"/>
  <c r="BK654" i="1"/>
  <c r="BE654" i="1"/>
  <c r="AN654" i="1"/>
  <c r="AO654" i="1" s="1"/>
  <c r="CR653" i="1"/>
  <c r="EE653" i="1" s="1"/>
  <c r="BK653" i="1"/>
  <c r="AO653" i="1"/>
  <c r="EL653" i="1" s="1"/>
  <c r="EN653" i="1" s="1"/>
  <c r="AN653" i="1"/>
  <c r="EK652" i="1"/>
  <c r="DX652" i="1"/>
  <c r="DL652" i="1"/>
  <c r="DD652" i="1"/>
  <c r="CY652" i="1"/>
  <c r="CW652" i="1"/>
  <c r="CR652" i="1"/>
  <c r="CP652" i="1"/>
  <c r="BK652" i="1"/>
  <c r="BE652" i="1"/>
  <c r="AN652" i="1"/>
  <c r="AO652" i="1" s="1"/>
  <c r="EK651" i="1"/>
  <c r="DX651" i="1"/>
  <c r="DL651" i="1"/>
  <c r="DD651" i="1"/>
  <c r="CW651" i="1"/>
  <c r="CY651" i="1" s="1"/>
  <c r="CP651" i="1"/>
  <c r="CR651" i="1" s="1"/>
  <c r="BK651" i="1"/>
  <c r="BE651" i="1"/>
  <c r="EE651" i="1" s="1"/>
  <c r="AN651" i="1"/>
  <c r="AO651" i="1" s="1"/>
  <c r="EK650" i="1"/>
  <c r="DX650" i="1"/>
  <c r="DL650" i="1"/>
  <c r="DD650" i="1"/>
  <c r="CY650" i="1"/>
  <c r="CW650" i="1"/>
  <c r="CR650" i="1"/>
  <c r="EE650" i="1" s="1"/>
  <c r="CP650" i="1"/>
  <c r="BK650" i="1"/>
  <c r="BE650" i="1"/>
  <c r="AO650" i="1"/>
  <c r="EL650" i="1" s="1"/>
  <c r="EN650" i="1" s="1"/>
  <c r="AN650" i="1"/>
  <c r="EK649" i="1"/>
  <c r="DX649" i="1"/>
  <c r="DL649" i="1"/>
  <c r="DD649" i="1"/>
  <c r="CW649" i="1"/>
  <c r="CY649" i="1" s="1"/>
  <c r="CP649" i="1"/>
  <c r="CR649" i="1" s="1"/>
  <c r="BK649" i="1"/>
  <c r="BE649" i="1"/>
  <c r="EE649" i="1" s="1"/>
  <c r="AN649" i="1"/>
  <c r="AO649" i="1" s="1"/>
  <c r="EK648" i="1"/>
  <c r="DX648" i="1"/>
  <c r="DL648" i="1"/>
  <c r="DD648" i="1"/>
  <c r="CY648" i="1"/>
  <c r="CW648" i="1"/>
  <c r="CR648" i="1"/>
  <c r="EE648" i="1" s="1"/>
  <c r="CP648" i="1"/>
  <c r="BK648" i="1"/>
  <c r="BE648" i="1"/>
  <c r="AN648" i="1"/>
  <c r="AO648" i="1" s="1"/>
  <c r="EL648" i="1" s="1"/>
  <c r="EN648" i="1" s="1"/>
  <c r="EK647" i="1"/>
  <c r="DX647" i="1"/>
  <c r="DL647" i="1"/>
  <c r="DD647" i="1"/>
  <c r="CW647" i="1"/>
  <c r="CY647" i="1" s="1"/>
  <c r="CP647" i="1"/>
  <c r="BK647" i="1"/>
  <c r="BE647" i="1"/>
  <c r="AO647" i="1"/>
  <c r="AN647" i="1"/>
  <c r="EK646" i="1"/>
  <c r="DX646" i="1"/>
  <c r="DL646" i="1"/>
  <c r="DD646" i="1"/>
  <c r="CW646" i="1"/>
  <c r="CY646" i="1" s="1"/>
  <c r="CP646" i="1"/>
  <c r="CR646" i="1" s="1"/>
  <c r="BK646" i="1"/>
  <c r="BE646" i="1"/>
  <c r="EE646" i="1" s="1"/>
  <c r="AN646" i="1"/>
  <c r="AO646" i="1" s="1"/>
  <c r="EK645" i="1"/>
  <c r="DX645" i="1"/>
  <c r="DL645" i="1"/>
  <c r="DD645" i="1"/>
  <c r="CW645" i="1"/>
  <c r="CY645" i="1" s="1"/>
  <c r="CP645" i="1"/>
  <c r="CR645" i="1" s="1"/>
  <c r="BK645" i="1"/>
  <c r="BE645" i="1"/>
  <c r="EE645" i="1" s="1"/>
  <c r="AN645" i="1"/>
  <c r="AO645" i="1" s="1"/>
  <c r="EK644" i="1"/>
  <c r="DX644" i="1"/>
  <c r="DL644" i="1"/>
  <c r="DD644" i="1"/>
  <c r="CW644" i="1"/>
  <c r="CY644" i="1" s="1"/>
  <c r="CP644" i="1"/>
  <c r="CR644" i="1" s="1"/>
  <c r="BK644" i="1"/>
  <c r="BE644" i="1"/>
  <c r="AN644" i="1"/>
  <c r="AO644" i="1" s="1"/>
  <c r="EK643" i="1"/>
  <c r="DX643" i="1"/>
  <c r="DL643" i="1"/>
  <c r="DD643" i="1"/>
  <c r="CY643" i="1"/>
  <c r="CW643" i="1"/>
  <c r="CR643" i="1"/>
  <c r="EE643" i="1" s="1"/>
  <c r="CP643" i="1"/>
  <c r="BK643" i="1"/>
  <c r="BE643" i="1"/>
  <c r="AO643" i="1"/>
  <c r="EL643" i="1" s="1"/>
  <c r="EN643" i="1" s="1"/>
  <c r="AN643" i="1"/>
  <c r="EK642" i="1"/>
  <c r="DX642" i="1"/>
  <c r="DL642" i="1"/>
  <c r="DD642" i="1"/>
  <c r="CW642" i="1"/>
  <c r="CY642" i="1" s="1"/>
  <c r="CP642" i="1"/>
  <c r="CR642" i="1" s="1"/>
  <c r="BK642" i="1"/>
  <c r="BE642" i="1"/>
  <c r="AN642" i="1"/>
  <c r="AO642" i="1" s="1"/>
  <c r="EK641" i="1"/>
  <c r="DX641" i="1"/>
  <c r="DL641" i="1"/>
  <c r="DD641" i="1"/>
  <c r="CY641" i="1"/>
  <c r="CW641" i="1"/>
  <c r="CR641" i="1"/>
  <c r="EE641" i="1" s="1"/>
  <c r="CP641" i="1"/>
  <c r="BK641" i="1"/>
  <c r="BE641" i="1"/>
  <c r="AN641" i="1"/>
  <c r="AO641" i="1" s="1"/>
  <c r="EL641" i="1" s="1"/>
  <c r="EN641" i="1" s="1"/>
  <c r="EK640" i="1"/>
  <c r="DX640" i="1"/>
  <c r="DL640" i="1"/>
  <c r="DD640" i="1"/>
  <c r="CW640" i="1"/>
  <c r="CY640" i="1" s="1"/>
  <c r="CP640" i="1"/>
  <c r="CR640" i="1" s="1"/>
  <c r="BK640" i="1"/>
  <c r="BE640" i="1"/>
  <c r="AN640" i="1"/>
  <c r="AO640" i="1" s="1"/>
  <c r="EK639" i="1"/>
  <c r="DX639" i="1"/>
  <c r="DL639" i="1"/>
  <c r="DD639" i="1"/>
  <c r="CY639" i="1"/>
  <c r="CW639" i="1"/>
  <c r="CR639" i="1"/>
  <c r="CP639" i="1"/>
  <c r="CI639" i="1"/>
  <c r="CA639" i="1"/>
  <c r="BS639" i="1"/>
  <c r="BK639" i="1"/>
  <c r="BE639" i="1"/>
  <c r="EE639" i="1" s="1"/>
  <c r="AN639" i="1"/>
  <c r="AO639" i="1" s="1"/>
  <c r="EK638" i="1"/>
  <c r="DX638" i="1"/>
  <c r="DL638" i="1"/>
  <c r="DD638" i="1"/>
  <c r="CY638" i="1"/>
  <c r="CW638" i="1"/>
  <c r="CR638" i="1"/>
  <c r="CP638" i="1"/>
  <c r="CI638" i="1"/>
  <c r="CA638" i="1"/>
  <c r="BS638" i="1"/>
  <c r="BK638" i="1"/>
  <c r="BE638" i="1"/>
  <c r="EE638" i="1" s="1"/>
  <c r="AN638" i="1"/>
  <c r="AO638" i="1" s="1"/>
  <c r="EK637" i="1"/>
  <c r="DX637" i="1"/>
  <c r="DL637" i="1"/>
  <c r="DD637" i="1"/>
  <c r="CY637" i="1"/>
  <c r="CW637" i="1"/>
  <c r="CR637" i="1"/>
  <c r="CP637" i="1"/>
  <c r="CI637" i="1"/>
  <c r="CA637" i="1"/>
  <c r="BS637" i="1"/>
  <c r="BK637" i="1"/>
  <c r="BE637" i="1"/>
  <c r="EE637" i="1" s="1"/>
  <c r="AN637" i="1"/>
  <c r="AO637" i="1" s="1"/>
  <c r="EK636" i="1"/>
  <c r="DX636" i="1"/>
  <c r="DL636" i="1"/>
  <c r="DD636" i="1"/>
  <c r="CY636" i="1"/>
  <c r="CW636" i="1"/>
  <c r="CR636" i="1"/>
  <c r="CP636" i="1"/>
  <c r="CI636" i="1"/>
  <c r="CA636" i="1"/>
  <c r="BS636" i="1"/>
  <c r="BK636" i="1"/>
  <c r="BE636" i="1"/>
  <c r="EE636" i="1" s="1"/>
  <c r="AN636" i="1"/>
  <c r="AO636" i="1" s="1"/>
  <c r="EK635" i="1"/>
  <c r="DX635" i="1"/>
  <c r="DL635" i="1"/>
  <c r="DD635" i="1"/>
  <c r="CY635" i="1"/>
  <c r="CW635" i="1"/>
  <c r="CR635" i="1"/>
  <c r="CP635" i="1"/>
  <c r="CI635" i="1"/>
  <c r="CA635" i="1"/>
  <c r="BS635" i="1"/>
  <c r="BK635" i="1"/>
  <c r="BE635" i="1"/>
  <c r="EE635" i="1" s="1"/>
  <c r="AN635" i="1"/>
  <c r="AO635" i="1" s="1"/>
  <c r="EK634" i="1"/>
  <c r="DX634" i="1"/>
  <c r="DL634" i="1"/>
  <c r="DD634" i="1"/>
  <c r="CY634" i="1"/>
  <c r="CW634" i="1"/>
  <c r="CR634" i="1"/>
  <c r="CP634" i="1"/>
  <c r="CI634" i="1"/>
  <c r="CA634" i="1"/>
  <c r="BS634" i="1"/>
  <c r="BK634" i="1"/>
  <c r="BE634" i="1"/>
  <c r="EE634" i="1" s="1"/>
  <c r="AN634" i="1"/>
  <c r="AO634" i="1" s="1"/>
  <c r="EK633" i="1"/>
  <c r="DX633" i="1"/>
  <c r="DL633" i="1"/>
  <c r="DD633" i="1"/>
  <c r="CY633" i="1"/>
  <c r="CW633" i="1"/>
  <c r="CR633" i="1"/>
  <c r="CP633" i="1"/>
  <c r="CI633" i="1"/>
  <c r="CA633" i="1"/>
  <c r="BS633" i="1"/>
  <c r="BK633" i="1"/>
  <c r="BE633" i="1"/>
  <c r="EE633" i="1" s="1"/>
  <c r="AN633" i="1"/>
  <c r="AO633" i="1" s="1"/>
  <c r="EK632" i="1"/>
  <c r="DX632" i="1"/>
  <c r="DL632" i="1"/>
  <c r="DD632" i="1"/>
  <c r="CY632" i="1"/>
  <c r="CW632" i="1"/>
  <c r="CR632" i="1"/>
  <c r="CP632" i="1"/>
  <c r="CI632" i="1"/>
  <c r="CA632" i="1"/>
  <c r="BS632" i="1"/>
  <c r="BK632" i="1"/>
  <c r="BE632" i="1"/>
  <c r="EE632" i="1" s="1"/>
  <c r="AN632" i="1"/>
  <c r="AO632" i="1" s="1"/>
  <c r="EK631" i="1"/>
  <c r="DX631" i="1"/>
  <c r="DL631" i="1"/>
  <c r="DD631" i="1"/>
  <c r="CY631" i="1"/>
  <c r="CW631" i="1"/>
  <c r="CR631" i="1"/>
  <c r="CP631" i="1"/>
  <c r="CI631" i="1"/>
  <c r="CA631" i="1"/>
  <c r="BS631" i="1"/>
  <c r="BK631" i="1"/>
  <c r="BE631" i="1"/>
  <c r="EE631" i="1" s="1"/>
  <c r="AN631" i="1"/>
  <c r="AO631" i="1" s="1"/>
  <c r="EK630" i="1"/>
  <c r="DX630" i="1"/>
  <c r="DL630" i="1"/>
  <c r="DD630" i="1"/>
  <c r="CY630" i="1"/>
  <c r="CW630" i="1"/>
  <c r="CR630" i="1"/>
  <c r="CP630" i="1"/>
  <c r="CI630" i="1"/>
  <c r="CA630" i="1"/>
  <c r="BS630" i="1"/>
  <c r="BK630" i="1"/>
  <c r="BE630" i="1"/>
  <c r="EE630" i="1" s="1"/>
  <c r="AN630" i="1"/>
  <c r="AO630" i="1" s="1"/>
  <c r="EK629" i="1"/>
  <c r="DX629" i="1"/>
  <c r="DL629" i="1"/>
  <c r="DD629" i="1"/>
  <c r="CY629" i="1"/>
  <c r="CW629" i="1"/>
  <c r="CR629" i="1"/>
  <c r="CP629" i="1"/>
  <c r="CI629" i="1"/>
  <c r="CA629" i="1"/>
  <c r="BS629" i="1"/>
  <c r="BK629" i="1"/>
  <c r="BE629" i="1"/>
  <c r="EE629" i="1" s="1"/>
  <c r="AN629" i="1"/>
  <c r="AO629" i="1" s="1"/>
  <c r="EE628" i="1"/>
  <c r="DD628" i="1"/>
  <c r="BK628" i="1"/>
  <c r="DD627" i="1"/>
  <c r="CR627" i="1"/>
  <c r="EE627" i="1" s="1"/>
  <c r="BK627" i="1"/>
  <c r="DX626" i="1"/>
  <c r="DT626" i="1"/>
  <c r="DH626" i="1"/>
  <c r="DD626" i="1"/>
  <c r="CR626" i="1"/>
  <c r="EE626" i="1" s="1"/>
  <c r="BK626" i="1"/>
  <c r="DT625" i="1"/>
  <c r="DR625" i="1"/>
  <c r="DX625" i="1" s="1"/>
  <c r="EE625" i="1" s="1"/>
  <c r="DH625" i="1"/>
  <c r="DG625" i="1"/>
  <c r="DD625" i="1"/>
  <c r="CR625" i="1"/>
  <c r="BK625" i="1"/>
  <c r="BE625" i="1"/>
  <c r="EK624" i="1"/>
  <c r="DK624" i="1"/>
  <c r="DF624" i="1"/>
  <c r="DD624" i="1"/>
  <c r="CW624" i="1"/>
  <c r="CY624" i="1" s="1"/>
  <c r="CP624" i="1"/>
  <c r="CR624" i="1" s="1"/>
  <c r="BK624" i="1"/>
  <c r="BM624" i="1" s="1"/>
  <c r="BC624" i="1"/>
  <c r="BE624" i="1" s="1"/>
  <c r="AU624" i="1"/>
  <c r="AO624" i="1"/>
  <c r="AN624" i="1"/>
  <c r="DP623" i="1"/>
  <c r="DR623" i="1" s="1"/>
  <c r="DT623" i="1" s="1"/>
  <c r="DV623" i="1" s="1"/>
  <c r="AQ623" i="1"/>
  <c r="DN623" i="1" s="1"/>
  <c r="DN622" i="1"/>
  <c r="AQ622" i="1"/>
  <c r="DH621" i="1"/>
  <c r="AQ621" i="1"/>
  <c r="DN621" i="1" s="1"/>
  <c r="DH620" i="1"/>
  <c r="AO620" i="1"/>
  <c r="AQ620" i="1" s="1"/>
  <c r="DN620" i="1" s="1"/>
  <c r="AN620" i="1"/>
  <c r="DH619" i="1"/>
  <c r="AO619" i="1"/>
  <c r="AQ619" i="1" s="1"/>
  <c r="DN619" i="1" s="1"/>
  <c r="AN619" i="1"/>
  <c r="AO618" i="1"/>
  <c r="AQ618" i="1" s="1"/>
  <c r="DN618" i="1" s="1"/>
  <c r="AN618" i="1"/>
  <c r="EK617" i="1"/>
  <c r="DK617" i="1"/>
  <c r="CW617" i="1"/>
  <c r="CY617" i="1" s="1"/>
  <c r="CR617" i="1"/>
  <c r="BS617" i="1"/>
  <c r="BK617" i="1"/>
  <c r="BM617" i="1" s="1"/>
  <c r="BC617" i="1"/>
  <c r="BE617" i="1" s="1"/>
  <c r="AU617" i="1"/>
  <c r="AN617" i="1"/>
  <c r="AO617" i="1" s="1"/>
  <c r="EK616" i="1"/>
  <c r="DK616" i="1"/>
  <c r="CW616" i="1"/>
  <c r="CY616" i="1" s="1"/>
  <c r="CR616" i="1"/>
  <c r="BS616" i="1"/>
  <c r="BU616" i="1" s="1"/>
  <c r="BK616" i="1"/>
  <c r="BM616" i="1" s="1"/>
  <c r="BC616" i="1"/>
  <c r="BE616" i="1" s="1"/>
  <c r="AU616" i="1"/>
  <c r="AN616" i="1"/>
  <c r="AO616" i="1" s="1"/>
  <c r="EK615" i="1"/>
  <c r="DK615" i="1"/>
  <c r="CR615" i="1"/>
  <c r="AU615" i="1"/>
  <c r="AN615" i="1"/>
  <c r="AO615" i="1" s="1"/>
  <c r="AQ615" i="1" s="1"/>
  <c r="DN615" i="1" s="1"/>
  <c r="EK614" i="1"/>
  <c r="DK614" i="1"/>
  <c r="CR614" i="1"/>
  <c r="AU614" i="1"/>
  <c r="AO614" i="1"/>
  <c r="AQ614" i="1" s="1"/>
  <c r="AN614" i="1"/>
  <c r="EK613" i="1"/>
  <c r="DK613" i="1"/>
  <c r="CR613" i="1"/>
  <c r="AU613" i="1"/>
  <c r="AQ613" i="1"/>
  <c r="DN613" i="1" s="1"/>
  <c r="AN613" i="1"/>
  <c r="AO613" i="1" s="1"/>
  <c r="EK612" i="1"/>
  <c r="DK612" i="1"/>
  <c r="CR612" i="1"/>
  <c r="AU612" i="1"/>
  <c r="AO612" i="1"/>
  <c r="AQ612" i="1" s="1"/>
  <c r="AN612" i="1"/>
  <c r="EK611" i="1"/>
  <c r="DK611" i="1"/>
  <c r="CR611" i="1"/>
  <c r="AU611" i="1"/>
  <c r="AQ611" i="1"/>
  <c r="DN611" i="1" s="1"/>
  <c r="AN611" i="1"/>
  <c r="AO611" i="1" s="1"/>
  <c r="EK610" i="1"/>
  <c r="DK610" i="1"/>
  <c r="CY610" i="1"/>
  <c r="CW610" i="1"/>
  <c r="CR610" i="1"/>
  <c r="AU610" i="1"/>
  <c r="AO610" i="1"/>
  <c r="AQ610" i="1" s="1"/>
  <c r="AN610" i="1"/>
  <c r="EK609" i="1"/>
  <c r="DK609" i="1"/>
  <c r="CW609" i="1"/>
  <c r="CY609" i="1" s="1"/>
  <c r="CR609" i="1"/>
  <c r="AU609" i="1"/>
  <c r="AN609" i="1"/>
  <c r="AO609" i="1" s="1"/>
  <c r="EK608" i="1"/>
  <c r="DK608" i="1"/>
  <c r="CY608" i="1"/>
  <c r="CW608" i="1"/>
  <c r="CR608" i="1"/>
  <c r="AU608" i="1"/>
  <c r="AN608" i="1"/>
  <c r="AO608" i="1" s="1"/>
  <c r="AQ608" i="1" s="1"/>
  <c r="EK607" i="1"/>
  <c r="DK607" i="1"/>
  <c r="CW607" i="1"/>
  <c r="CY607" i="1" s="1"/>
  <c r="CR607" i="1"/>
  <c r="AU607" i="1"/>
  <c r="AQ607" i="1"/>
  <c r="DN607" i="1" s="1"/>
  <c r="AN607" i="1"/>
  <c r="AO607" i="1" s="1"/>
  <c r="EK606" i="1"/>
  <c r="DK606" i="1"/>
  <c r="CY606" i="1"/>
  <c r="CW606" i="1"/>
  <c r="CR606" i="1"/>
  <c r="AU606" i="1"/>
  <c r="AO606" i="1"/>
  <c r="AQ606" i="1" s="1"/>
  <c r="AN606" i="1"/>
  <c r="EK605" i="1"/>
  <c r="DK605" i="1"/>
  <c r="CW605" i="1"/>
  <c r="CY605" i="1" s="1"/>
  <c r="CR605" i="1"/>
  <c r="AU605" i="1"/>
  <c r="AN605" i="1"/>
  <c r="AO605" i="1" s="1"/>
  <c r="EK604" i="1"/>
  <c r="DK604" i="1"/>
  <c r="CY604" i="1"/>
  <c r="CW604" i="1"/>
  <c r="CR604" i="1"/>
  <c r="AU604" i="1"/>
  <c r="AO604" i="1"/>
  <c r="AQ604" i="1" s="1"/>
  <c r="AN604" i="1"/>
  <c r="EK603" i="1"/>
  <c r="DK603" i="1"/>
  <c r="CY603" i="1"/>
  <c r="CW603" i="1"/>
  <c r="CR603" i="1"/>
  <c r="AU603" i="1"/>
  <c r="AN603" i="1"/>
  <c r="AO603" i="1" s="1"/>
  <c r="EK602" i="1"/>
  <c r="DK602" i="1"/>
  <c r="CW602" i="1"/>
  <c r="CY602" i="1" s="1"/>
  <c r="CR602" i="1"/>
  <c r="AU602" i="1"/>
  <c r="AN602" i="1"/>
  <c r="AO602" i="1" s="1"/>
  <c r="EK601" i="1"/>
  <c r="DK601" i="1"/>
  <c r="CY601" i="1"/>
  <c r="CW601" i="1"/>
  <c r="CR601" i="1"/>
  <c r="BC601" i="1"/>
  <c r="BE601" i="1" s="1"/>
  <c r="AU601" i="1"/>
  <c r="AN601" i="1"/>
  <c r="AO601" i="1" s="1"/>
  <c r="AQ601" i="1" s="1"/>
  <c r="DN601" i="1" s="1"/>
  <c r="EK600" i="1"/>
  <c r="DK600" i="1"/>
  <c r="CW600" i="1"/>
  <c r="CY600" i="1" s="1"/>
  <c r="CR600" i="1"/>
  <c r="BE600" i="1"/>
  <c r="BC600" i="1"/>
  <c r="AU600" i="1"/>
  <c r="AN600" i="1"/>
  <c r="AO600" i="1" s="1"/>
  <c r="EK599" i="1"/>
  <c r="DK599" i="1"/>
  <c r="CY599" i="1"/>
  <c r="CW599" i="1"/>
  <c r="CR599" i="1"/>
  <c r="BC599" i="1"/>
  <c r="BE599" i="1" s="1"/>
  <c r="AU599" i="1"/>
  <c r="AN599" i="1"/>
  <c r="AO599" i="1" s="1"/>
  <c r="AQ599" i="1" s="1"/>
  <c r="DN599" i="1" s="1"/>
  <c r="EK598" i="1"/>
  <c r="DK598" i="1"/>
  <c r="CW598" i="1"/>
  <c r="CY598" i="1" s="1"/>
  <c r="CR598" i="1"/>
  <c r="BE598" i="1"/>
  <c r="BC598" i="1"/>
  <c r="AU598" i="1"/>
  <c r="AN598" i="1"/>
  <c r="AO598" i="1" s="1"/>
  <c r="EK597" i="1"/>
  <c r="DK597" i="1"/>
  <c r="CY597" i="1"/>
  <c r="CW597" i="1"/>
  <c r="CR597" i="1"/>
  <c r="BC597" i="1"/>
  <c r="BE597" i="1" s="1"/>
  <c r="AU597" i="1"/>
  <c r="AN597" i="1"/>
  <c r="AO597" i="1" s="1"/>
  <c r="AQ597" i="1" s="1"/>
  <c r="DN597" i="1" s="1"/>
  <c r="EK596" i="1"/>
  <c r="DK596" i="1"/>
  <c r="CW596" i="1"/>
  <c r="CY596" i="1" s="1"/>
  <c r="CR596" i="1"/>
  <c r="BE596" i="1"/>
  <c r="BC596" i="1"/>
  <c r="AU596" i="1"/>
  <c r="AN596" i="1"/>
  <c r="AO596" i="1" s="1"/>
  <c r="EK595" i="1"/>
  <c r="DK595" i="1"/>
  <c r="CY595" i="1"/>
  <c r="CW595" i="1"/>
  <c r="CR595" i="1"/>
  <c r="BC595" i="1"/>
  <c r="BE595" i="1" s="1"/>
  <c r="AU595" i="1"/>
  <c r="AN595" i="1"/>
  <c r="AO595" i="1" s="1"/>
  <c r="AQ595" i="1" s="1"/>
  <c r="DN595" i="1" s="1"/>
  <c r="EK594" i="1"/>
  <c r="DK594" i="1"/>
  <c r="CW594" i="1"/>
  <c r="CY594" i="1" s="1"/>
  <c r="CR594" i="1"/>
  <c r="BE594" i="1"/>
  <c r="BC594" i="1"/>
  <c r="AU594" i="1"/>
  <c r="AN594" i="1"/>
  <c r="AO594" i="1" s="1"/>
  <c r="EK593" i="1"/>
  <c r="DK593" i="1"/>
  <c r="CY593" i="1"/>
  <c r="CW593" i="1"/>
  <c r="CR593" i="1"/>
  <c r="BC593" i="1"/>
  <c r="BE593" i="1" s="1"/>
  <c r="AU593" i="1"/>
  <c r="AN593" i="1"/>
  <c r="AO593" i="1" s="1"/>
  <c r="AQ593" i="1" s="1"/>
  <c r="DN593" i="1" s="1"/>
  <c r="EK592" i="1"/>
  <c r="DK592" i="1"/>
  <c r="CY592" i="1"/>
  <c r="CW592" i="1"/>
  <c r="CR592" i="1"/>
  <c r="BC592" i="1"/>
  <c r="BE592" i="1" s="1"/>
  <c r="AU592" i="1"/>
  <c r="AO592" i="1"/>
  <c r="AN592" i="1"/>
  <c r="EK591" i="1"/>
  <c r="DK591" i="1"/>
  <c r="CW591" i="1"/>
  <c r="CY591" i="1" s="1"/>
  <c r="CR591" i="1"/>
  <c r="BM591" i="1"/>
  <c r="BK591" i="1"/>
  <c r="BE591" i="1"/>
  <c r="BC591" i="1"/>
  <c r="AU591" i="1"/>
  <c r="AN591" i="1"/>
  <c r="AO591" i="1" s="1"/>
  <c r="AQ591" i="1" s="1"/>
  <c r="DN591" i="1" s="1"/>
  <c r="EK590" i="1"/>
  <c r="DK590" i="1"/>
  <c r="CY590" i="1"/>
  <c r="CW590" i="1"/>
  <c r="CR590" i="1"/>
  <c r="BK590" i="1"/>
  <c r="BM590" i="1" s="1"/>
  <c r="BC590" i="1"/>
  <c r="BE590" i="1" s="1"/>
  <c r="AU590" i="1"/>
  <c r="AN590" i="1"/>
  <c r="AO590" i="1" s="1"/>
  <c r="AQ590" i="1" s="1"/>
  <c r="EK589" i="1"/>
  <c r="DK589" i="1"/>
  <c r="CW589" i="1"/>
  <c r="CY589" i="1" s="1"/>
  <c r="CR589" i="1"/>
  <c r="BU589" i="1"/>
  <c r="BS589" i="1"/>
  <c r="BM589" i="1"/>
  <c r="BK589" i="1"/>
  <c r="BE589" i="1"/>
  <c r="BC589" i="1"/>
  <c r="AU589" i="1"/>
  <c r="AN589" i="1"/>
  <c r="AO589" i="1" s="1"/>
  <c r="EK588" i="1"/>
  <c r="DK588" i="1"/>
  <c r="DF588" i="1"/>
  <c r="DD588" i="1"/>
  <c r="CY588" i="1"/>
  <c r="CW588" i="1"/>
  <c r="CR588" i="1"/>
  <c r="BC588" i="1"/>
  <c r="BE588" i="1" s="1"/>
  <c r="AU588" i="1"/>
  <c r="AN588" i="1"/>
  <c r="AO588" i="1" s="1"/>
  <c r="AQ588" i="1" s="1"/>
  <c r="DN588" i="1" s="1"/>
  <c r="EK587" i="1"/>
  <c r="DK587" i="1"/>
  <c r="CW587" i="1"/>
  <c r="CY587" i="1" s="1"/>
  <c r="CR587" i="1"/>
  <c r="BM587" i="1"/>
  <c r="BK587" i="1"/>
  <c r="BE587" i="1"/>
  <c r="BC587" i="1"/>
  <c r="AU587" i="1"/>
  <c r="AN587" i="1"/>
  <c r="AO587" i="1" s="1"/>
  <c r="EK586" i="1"/>
  <c r="DK586" i="1"/>
  <c r="DF586" i="1"/>
  <c r="DD586" i="1"/>
  <c r="CY586" i="1"/>
  <c r="CW586" i="1"/>
  <c r="CR586" i="1"/>
  <c r="CP586" i="1"/>
  <c r="CK586" i="1"/>
  <c r="CI586" i="1"/>
  <c r="CC586" i="1"/>
  <c r="CA586" i="1"/>
  <c r="BU586" i="1"/>
  <c r="BS586" i="1"/>
  <c r="BM586" i="1"/>
  <c r="BK586" i="1"/>
  <c r="BE586" i="1"/>
  <c r="BC586" i="1"/>
  <c r="AU586" i="1"/>
  <c r="AQ586" i="1"/>
  <c r="AN586" i="1"/>
  <c r="AO586" i="1" s="1"/>
  <c r="EK585" i="1"/>
  <c r="DK585" i="1"/>
  <c r="DF585" i="1"/>
  <c r="DD585" i="1"/>
  <c r="CY585" i="1"/>
  <c r="CW585" i="1"/>
  <c r="CR585" i="1"/>
  <c r="BM585" i="1"/>
  <c r="BE585" i="1"/>
  <c r="BC585" i="1"/>
  <c r="AU585" i="1"/>
  <c r="AN585" i="1"/>
  <c r="AO585" i="1" s="1"/>
  <c r="AQ585" i="1" s="1"/>
  <c r="EK584" i="1"/>
  <c r="DK584" i="1"/>
  <c r="DD584" i="1"/>
  <c r="CW584" i="1"/>
  <c r="CY584" i="1" s="1"/>
  <c r="CR584" i="1"/>
  <c r="BM584" i="1"/>
  <c r="BK584" i="1"/>
  <c r="BE584" i="1"/>
  <c r="BC584" i="1"/>
  <c r="AU584" i="1"/>
  <c r="AN584" i="1"/>
  <c r="AO584" i="1" s="1"/>
  <c r="EK583" i="1"/>
  <c r="DK583" i="1"/>
  <c r="CY583" i="1"/>
  <c r="CW583" i="1"/>
  <c r="CR583" i="1"/>
  <c r="BK583" i="1"/>
  <c r="BM583" i="1" s="1"/>
  <c r="BC583" i="1"/>
  <c r="BE583" i="1" s="1"/>
  <c r="AU583" i="1"/>
  <c r="AN583" i="1"/>
  <c r="AO583" i="1" s="1"/>
  <c r="AQ583" i="1" s="1"/>
  <c r="EK582" i="1"/>
  <c r="DK582" i="1"/>
  <c r="DD582" i="1"/>
  <c r="CY582" i="1"/>
  <c r="CW582" i="1"/>
  <c r="CR582" i="1"/>
  <c r="CP582" i="1"/>
  <c r="CK582" i="1"/>
  <c r="CI582" i="1"/>
  <c r="CC582" i="1"/>
  <c r="CA582" i="1"/>
  <c r="BU582" i="1"/>
  <c r="BS582" i="1"/>
  <c r="BM582" i="1"/>
  <c r="BK582" i="1"/>
  <c r="BE582" i="1"/>
  <c r="BC582" i="1"/>
  <c r="AU582" i="1"/>
  <c r="AN582" i="1"/>
  <c r="AO582" i="1" s="1"/>
  <c r="EK581" i="1"/>
  <c r="DK581" i="1"/>
  <c r="DF581" i="1"/>
  <c r="CW581" i="1"/>
  <c r="CY581" i="1" s="1"/>
  <c r="CP581" i="1"/>
  <c r="CR581" i="1" s="1"/>
  <c r="CI581" i="1"/>
  <c r="CK581" i="1" s="1"/>
  <c r="CA581" i="1"/>
  <c r="CC581" i="1" s="1"/>
  <c r="BS581" i="1"/>
  <c r="BU581" i="1" s="1"/>
  <c r="BK581" i="1"/>
  <c r="BM581" i="1" s="1"/>
  <c r="BC581" i="1"/>
  <c r="BE581" i="1" s="1"/>
  <c r="AU581" i="1"/>
  <c r="AO581" i="1"/>
  <c r="AQ581" i="1" s="1"/>
  <c r="DN581" i="1" s="1"/>
  <c r="AN581" i="1"/>
  <c r="EK580" i="1"/>
  <c r="DK580" i="1"/>
  <c r="DF580" i="1"/>
  <c r="DD580" i="1"/>
  <c r="CW580" i="1"/>
  <c r="CY580" i="1" s="1"/>
  <c r="CR580" i="1"/>
  <c r="BM580" i="1"/>
  <c r="BK580" i="1"/>
  <c r="BE580" i="1"/>
  <c r="BC580" i="1"/>
  <c r="AU580" i="1"/>
  <c r="AN580" i="1"/>
  <c r="AO580" i="1" s="1"/>
  <c r="EK579" i="1"/>
  <c r="DK579" i="1"/>
  <c r="CY579" i="1"/>
  <c r="CW579" i="1"/>
  <c r="CR579" i="1"/>
  <c r="BK579" i="1"/>
  <c r="BM579" i="1" s="1"/>
  <c r="BC579" i="1"/>
  <c r="BE579" i="1" s="1"/>
  <c r="AU579" i="1"/>
  <c r="AO579" i="1"/>
  <c r="AQ579" i="1" s="1"/>
  <c r="AN579" i="1"/>
  <c r="EK578" i="1"/>
  <c r="DK578" i="1"/>
  <c r="CW578" i="1"/>
  <c r="CY578" i="1" s="1"/>
  <c r="CR578" i="1"/>
  <c r="BM578" i="1"/>
  <c r="BK578" i="1"/>
  <c r="BE578" i="1"/>
  <c r="BC578" i="1"/>
  <c r="AU578" i="1"/>
  <c r="AN578" i="1"/>
  <c r="AO578" i="1" s="1"/>
  <c r="AQ578" i="1" s="1"/>
  <c r="DN578" i="1" s="1"/>
  <c r="EK577" i="1"/>
  <c r="DK577" i="1"/>
  <c r="CY577" i="1"/>
  <c r="CW577" i="1"/>
  <c r="CR577" i="1"/>
  <c r="BS577" i="1"/>
  <c r="BM577" i="1"/>
  <c r="BK577" i="1"/>
  <c r="BE577" i="1"/>
  <c r="BC577" i="1"/>
  <c r="AU577" i="1"/>
  <c r="AN577" i="1"/>
  <c r="AO577" i="1" s="1"/>
  <c r="AQ577" i="1" s="1"/>
  <c r="EK576" i="1"/>
  <c r="DK576" i="1"/>
  <c r="CY576" i="1"/>
  <c r="CW576" i="1"/>
  <c r="CR576" i="1"/>
  <c r="BS576" i="1"/>
  <c r="BM576" i="1"/>
  <c r="BK576" i="1"/>
  <c r="BE576" i="1"/>
  <c r="BC576" i="1"/>
  <c r="AU576" i="1"/>
  <c r="AQ576" i="1"/>
  <c r="DH576" i="1" s="1"/>
  <c r="DL576" i="1" s="1"/>
  <c r="AN576" i="1"/>
  <c r="AO576" i="1" s="1"/>
  <c r="EK575" i="1"/>
  <c r="DK575" i="1"/>
  <c r="CW575" i="1"/>
  <c r="CY575" i="1" s="1"/>
  <c r="CR575" i="1"/>
  <c r="BS575" i="1"/>
  <c r="BK575" i="1"/>
  <c r="BM575" i="1" s="1"/>
  <c r="BC575" i="1"/>
  <c r="BE575" i="1" s="1"/>
  <c r="AU575" i="1"/>
  <c r="AN575" i="1"/>
  <c r="AO575" i="1" s="1"/>
  <c r="AQ575" i="1" s="1"/>
  <c r="EK574" i="1"/>
  <c r="DK574" i="1"/>
  <c r="CW574" i="1"/>
  <c r="CY574" i="1" s="1"/>
  <c r="CR574" i="1"/>
  <c r="BU574" i="1"/>
  <c r="BS574" i="1"/>
  <c r="BM574" i="1"/>
  <c r="BK574" i="1"/>
  <c r="BE574" i="1"/>
  <c r="BC574" i="1"/>
  <c r="AU574" i="1"/>
  <c r="AQ574" i="1"/>
  <c r="DN574" i="1" s="1"/>
  <c r="AN574" i="1"/>
  <c r="AO574" i="1" s="1"/>
  <c r="EK573" i="1"/>
  <c r="DK573" i="1"/>
  <c r="CY573" i="1"/>
  <c r="CW573" i="1"/>
  <c r="CR573" i="1"/>
  <c r="BS573" i="1"/>
  <c r="BU573" i="1" s="1"/>
  <c r="BK573" i="1"/>
  <c r="BM573" i="1" s="1"/>
  <c r="BC573" i="1"/>
  <c r="BE573" i="1" s="1"/>
  <c r="AU573" i="1"/>
  <c r="AN573" i="1"/>
  <c r="AO573" i="1" s="1"/>
  <c r="AQ573" i="1" s="1"/>
  <c r="EK572" i="1"/>
  <c r="DK572" i="1"/>
  <c r="CW572" i="1"/>
  <c r="CY572" i="1" s="1"/>
  <c r="CR572" i="1"/>
  <c r="BU572" i="1"/>
  <c r="BS572" i="1"/>
  <c r="BM572" i="1"/>
  <c r="BK572" i="1"/>
  <c r="BE572" i="1"/>
  <c r="BC572" i="1"/>
  <c r="AU572" i="1"/>
  <c r="AQ572" i="1"/>
  <c r="DN572" i="1" s="1"/>
  <c r="AN572" i="1"/>
  <c r="AO572" i="1" s="1"/>
  <c r="EK571" i="1"/>
  <c r="DK571" i="1"/>
  <c r="CY571" i="1"/>
  <c r="CW571" i="1"/>
  <c r="CR571" i="1"/>
  <c r="BS571" i="1"/>
  <c r="BU571" i="1" s="1"/>
  <c r="BK571" i="1"/>
  <c r="BM571" i="1" s="1"/>
  <c r="BC571" i="1"/>
  <c r="BE571" i="1" s="1"/>
  <c r="AU571" i="1"/>
  <c r="AN571" i="1"/>
  <c r="AO571" i="1" s="1"/>
  <c r="AQ571" i="1" s="1"/>
  <c r="EK570" i="1"/>
  <c r="DK570" i="1"/>
  <c r="CW570" i="1"/>
  <c r="CY570" i="1" s="1"/>
  <c r="CR570" i="1"/>
  <c r="BU570" i="1"/>
  <c r="BS570" i="1"/>
  <c r="BM570" i="1"/>
  <c r="BK570" i="1"/>
  <c r="BE570" i="1"/>
  <c r="BC570" i="1"/>
  <c r="AU570" i="1"/>
  <c r="AQ570" i="1"/>
  <c r="DN570" i="1" s="1"/>
  <c r="AN570" i="1"/>
  <c r="AO570" i="1" s="1"/>
  <c r="EK569" i="1"/>
  <c r="DK569" i="1"/>
  <c r="CY569" i="1"/>
  <c r="CW569" i="1"/>
  <c r="CR569" i="1"/>
  <c r="BS569" i="1"/>
  <c r="BU569" i="1" s="1"/>
  <c r="BK569" i="1"/>
  <c r="BM569" i="1" s="1"/>
  <c r="BC569" i="1"/>
  <c r="BE569" i="1" s="1"/>
  <c r="AU569" i="1"/>
  <c r="AN569" i="1"/>
  <c r="AO569" i="1" s="1"/>
  <c r="AQ569" i="1" s="1"/>
  <c r="EK568" i="1"/>
  <c r="DK568" i="1"/>
  <c r="CW568" i="1"/>
  <c r="CY568" i="1" s="1"/>
  <c r="CR568" i="1"/>
  <c r="BU568" i="1"/>
  <c r="BS568" i="1"/>
  <c r="BM568" i="1"/>
  <c r="BK568" i="1"/>
  <c r="BE568" i="1"/>
  <c r="BC568" i="1"/>
  <c r="AU568" i="1"/>
  <c r="AQ568" i="1"/>
  <c r="DN568" i="1" s="1"/>
  <c r="AN568" i="1"/>
  <c r="AO568" i="1" s="1"/>
  <c r="EK567" i="1"/>
  <c r="DK567" i="1"/>
  <c r="CY567" i="1"/>
  <c r="CW567" i="1"/>
  <c r="CR567" i="1"/>
  <c r="BS567" i="1"/>
  <c r="BU567" i="1" s="1"/>
  <c r="BK567" i="1"/>
  <c r="BM567" i="1" s="1"/>
  <c r="BC567" i="1"/>
  <c r="BE567" i="1" s="1"/>
  <c r="AU567" i="1"/>
  <c r="AN567" i="1"/>
  <c r="AO567" i="1" s="1"/>
  <c r="AQ567" i="1" s="1"/>
  <c r="EK566" i="1"/>
  <c r="DK566" i="1"/>
  <c r="CW566" i="1"/>
  <c r="CY566" i="1" s="1"/>
  <c r="CR566" i="1"/>
  <c r="BU566" i="1"/>
  <c r="BS566" i="1"/>
  <c r="BM566" i="1"/>
  <c r="BK566" i="1"/>
  <c r="BE566" i="1"/>
  <c r="BC566" i="1"/>
  <c r="AU566" i="1"/>
  <c r="AQ566" i="1"/>
  <c r="DN566" i="1" s="1"/>
  <c r="AN566" i="1"/>
  <c r="AO566" i="1" s="1"/>
  <c r="EK565" i="1"/>
  <c r="DK565" i="1"/>
  <c r="CY565" i="1"/>
  <c r="CW565" i="1"/>
  <c r="CR565" i="1"/>
  <c r="BS565" i="1"/>
  <c r="BU565" i="1" s="1"/>
  <c r="BK565" i="1"/>
  <c r="BM565" i="1" s="1"/>
  <c r="BC565" i="1"/>
  <c r="BE565" i="1" s="1"/>
  <c r="AU565" i="1"/>
  <c r="AN565" i="1"/>
  <c r="AO565" i="1" s="1"/>
  <c r="AQ565" i="1" s="1"/>
  <c r="EK564" i="1"/>
  <c r="DK564" i="1"/>
  <c r="CW564" i="1"/>
  <c r="CY564" i="1" s="1"/>
  <c r="CR564" i="1"/>
  <c r="BU564" i="1"/>
  <c r="BS564" i="1"/>
  <c r="BM564" i="1"/>
  <c r="BK564" i="1"/>
  <c r="BE564" i="1"/>
  <c r="BC564" i="1"/>
  <c r="AU564" i="1"/>
  <c r="AQ564" i="1"/>
  <c r="DN564" i="1" s="1"/>
  <c r="AN564" i="1"/>
  <c r="AO564" i="1" s="1"/>
  <c r="EK563" i="1"/>
  <c r="DK563" i="1"/>
  <c r="CY563" i="1"/>
  <c r="CW563" i="1"/>
  <c r="CR563" i="1"/>
  <c r="BS563" i="1"/>
  <c r="BU563" i="1" s="1"/>
  <c r="BK563" i="1"/>
  <c r="BM563" i="1" s="1"/>
  <c r="BC563" i="1"/>
  <c r="BE563" i="1" s="1"/>
  <c r="AU563" i="1"/>
  <c r="AN563" i="1"/>
  <c r="AO563" i="1" s="1"/>
  <c r="AQ563" i="1" s="1"/>
  <c r="EK562" i="1"/>
  <c r="DK562" i="1"/>
  <c r="CW562" i="1"/>
  <c r="CY562" i="1" s="1"/>
  <c r="CR562" i="1"/>
  <c r="BU562" i="1"/>
  <c r="BS562" i="1"/>
  <c r="BM562" i="1"/>
  <c r="BK562" i="1"/>
  <c r="BE562" i="1"/>
  <c r="BC562" i="1"/>
  <c r="AU562" i="1"/>
  <c r="AN562" i="1"/>
  <c r="AO562" i="1" s="1"/>
  <c r="EK561" i="1"/>
  <c r="DK561" i="1"/>
  <c r="DF561" i="1"/>
  <c r="CW561" i="1"/>
  <c r="CY561" i="1" s="1"/>
  <c r="CP561" i="1"/>
  <c r="CR561" i="1" s="1"/>
  <c r="BS561" i="1"/>
  <c r="BU561" i="1" s="1"/>
  <c r="BK561" i="1"/>
  <c r="BM561" i="1" s="1"/>
  <c r="BC561" i="1"/>
  <c r="BE561" i="1" s="1"/>
  <c r="AU561" i="1"/>
  <c r="AO561" i="1"/>
  <c r="AQ561" i="1" s="1"/>
  <c r="AN561" i="1"/>
  <c r="EK560" i="1"/>
  <c r="DK560" i="1"/>
  <c r="CW560" i="1"/>
  <c r="CY560" i="1" s="1"/>
  <c r="CR560" i="1"/>
  <c r="BU560" i="1"/>
  <c r="BS560" i="1"/>
  <c r="BM560" i="1"/>
  <c r="BK560" i="1"/>
  <c r="BE560" i="1"/>
  <c r="BC560" i="1"/>
  <c r="AU560" i="1"/>
  <c r="AN560" i="1"/>
  <c r="AO560" i="1" s="1"/>
  <c r="EK559" i="1"/>
  <c r="DK559" i="1"/>
  <c r="CY559" i="1"/>
  <c r="CW559" i="1"/>
  <c r="CR559" i="1"/>
  <c r="BS559" i="1"/>
  <c r="BU559" i="1" s="1"/>
  <c r="BK559" i="1"/>
  <c r="BM559" i="1" s="1"/>
  <c r="BC559" i="1"/>
  <c r="BE559" i="1" s="1"/>
  <c r="AU559" i="1"/>
  <c r="AN559" i="1"/>
  <c r="AO559" i="1" s="1"/>
  <c r="AQ559" i="1" s="1"/>
  <c r="EK558" i="1"/>
  <c r="DK558" i="1"/>
  <c r="CW558" i="1"/>
  <c r="CY558" i="1" s="1"/>
  <c r="CR558" i="1"/>
  <c r="BU558" i="1"/>
  <c r="BS558" i="1"/>
  <c r="BM558" i="1"/>
  <c r="BK558" i="1"/>
  <c r="BE558" i="1"/>
  <c r="BC558" i="1"/>
  <c r="AU558" i="1"/>
  <c r="AN558" i="1"/>
  <c r="AO558" i="1" s="1"/>
  <c r="EK557" i="1"/>
  <c r="DK557" i="1"/>
  <c r="CY557" i="1"/>
  <c r="CW557" i="1"/>
  <c r="CR557" i="1"/>
  <c r="BS557" i="1"/>
  <c r="BU557" i="1" s="1"/>
  <c r="BK557" i="1"/>
  <c r="BM557" i="1" s="1"/>
  <c r="BC557" i="1"/>
  <c r="BE557" i="1" s="1"/>
  <c r="AU557" i="1"/>
  <c r="AO557" i="1"/>
  <c r="AQ557" i="1" s="1"/>
  <c r="AN557" i="1"/>
  <c r="EK556" i="1"/>
  <c r="DK556" i="1"/>
  <c r="DF556" i="1"/>
  <c r="DD556" i="1"/>
  <c r="CW556" i="1"/>
  <c r="CY556" i="1" s="1"/>
  <c r="CP556" i="1"/>
  <c r="CR556" i="1" s="1"/>
  <c r="BS556" i="1"/>
  <c r="BU556" i="1" s="1"/>
  <c r="BK556" i="1"/>
  <c r="BM556" i="1" s="1"/>
  <c r="BC556" i="1"/>
  <c r="BE556" i="1" s="1"/>
  <c r="AU556" i="1"/>
  <c r="AO556" i="1"/>
  <c r="AN556" i="1"/>
  <c r="EK555" i="1"/>
  <c r="DK555" i="1"/>
  <c r="DF555" i="1"/>
  <c r="DD555" i="1"/>
  <c r="CW555" i="1"/>
  <c r="CY555" i="1" s="1"/>
  <c r="CP555" i="1"/>
  <c r="CR555" i="1" s="1"/>
  <c r="BS555" i="1"/>
  <c r="BU555" i="1" s="1"/>
  <c r="BM555" i="1"/>
  <c r="BE555" i="1"/>
  <c r="BC555" i="1"/>
  <c r="AU555" i="1"/>
  <c r="AN555" i="1"/>
  <c r="AO555" i="1" s="1"/>
  <c r="EK554" i="1"/>
  <c r="DK554" i="1"/>
  <c r="CY554" i="1"/>
  <c r="CW554" i="1"/>
  <c r="CR554" i="1"/>
  <c r="BS554" i="1"/>
  <c r="BU554" i="1" s="1"/>
  <c r="BK554" i="1"/>
  <c r="BM554" i="1" s="1"/>
  <c r="BC554" i="1"/>
  <c r="BE554" i="1" s="1"/>
  <c r="AU554" i="1"/>
  <c r="AN554" i="1"/>
  <c r="AO554" i="1" s="1"/>
  <c r="AQ554" i="1" s="1"/>
  <c r="EK553" i="1"/>
  <c r="DK553" i="1"/>
  <c r="CW553" i="1"/>
  <c r="CY553" i="1" s="1"/>
  <c r="CR553" i="1"/>
  <c r="BU553" i="1"/>
  <c r="BS553" i="1"/>
  <c r="BM553" i="1"/>
  <c r="BK553" i="1"/>
  <c r="BE553" i="1"/>
  <c r="BC553" i="1"/>
  <c r="AU553" i="1"/>
  <c r="AN553" i="1"/>
  <c r="AO553" i="1" s="1"/>
  <c r="EK552" i="1"/>
  <c r="DK552" i="1"/>
  <c r="CY552" i="1"/>
  <c r="CW552" i="1"/>
  <c r="CR552" i="1"/>
  <c r="BS552" i="1"/>
  <c r="BU552" i="1" s="1"/>
  <c r="BK552" i="1"/>
  <c r="BM552" i="1" s="1"/>
  <c r="BC552" i="1"/>
  <c r="BE552" i="1" s="1"/>
  <c r="AU552" i="1"/>
  <c r="AN552" i="1"/>
  <c r="AO552" i="1" s="1"/>
  <c r="AQ552" i="1" s="1"/>
  <c r="DN552" i="1" s="1"/>
  <c r="EK551" i="1"/>
  <c r="DK551" i="1"/>
  <c r="CW551" i="1"/>
  <c r="CY551" i="1" s="1"/>
  <c r="CR551" i="1"/>
  <c r="BU551" i="1"/>
  <c r="BS551" i="1"/>
  <c r="BM551" i="1"/>
  <c r="BK551" i="1"/>
  <c r="BE551" i="1"/>
  <c r="BC551" i="1"/>
  <c r="AU551" i="1"/>
  <c r="AN551" i="1"/>
  <c r="AO551" i="1" s="1"/>
  <c r="EK550" i="1"/>
  <c r="DK550" i="1"/>
  <c r="CY550" i="1"/>
  <c r="CW550" i="1"/>
  <c r="CR550" i="1"/>
  <c r="BS550" i="1"/>
  <c r="BU550" i="1" s="1"/>
  <c r="BK550" i="1"/>
  <c r="BM550" i="1" s="1"/>
  <c r="BC550" i="1"/>
  <c r="BE550" i="1" s="1"/>
  <c r="AU550" i="1"/>
  <c r="AN550" i="1"/>
  <c r="AO550" i="1" s="1"/>
  <c r="AQ550" i="1" s="1"/>
  <c r="DN550" i="1" s="1"/>
  <c r="EK549" i="1"/>
  <c r="DK549" i="1"/>
  <c r="CW549" i="1"/>
  <c r="CY549" i="1" s="1"/>
  <c r="CR549" i="1"/>
  <c r="BU549" i="1"/>
  <c r="BS549" i="1"/>
  <c r="BM549" i="1"/>
  <c r="BK549" i="1"/>
  <c r="BE549" i="1"/>
  <c r="BC549" i="1"/>
  <c r="AU549" i="1"/>
  <c r="AN549" i="1"/>
  <c r="AO549" i="1" s="1"/>
  <c r="EK548" i="1"/>
  <c r="DK548" i="1"/>
  <c r="CY548" i="1"/>
  <c r="CW548" i="1"/>
  <c r="CR548" i="1"/>
  <c r="BS548" i="1"/>
  <c r="BU548" i="1" s="1"/>
  <c r="BK548" i="1"/>
  <c r="BM548" i="1" s="1"/>
  <c r="BC548" i="1"/>
  <c r="BE548" i="1" s="1"/>
  <c r="AU548" i="1"/>
  <c r="AN548" i="1"/>
  <c r="AO548" i="1" s="1"/>
  <c r="AQ548" i="1" s="1"/>
  <c r="DN548" i="1" s="1"/>
  <c r="EK547" i="1"/>
  <c r="DK547" i="1"/>
  <c r="CW547" i="1"/>
  <c r="CY547" i="1" s="1"/>
  <c r="CR547" i="1"/>
  <c r="BU547" i="1"/>
  <c r="BS547" i="1"/>
  <c r="BM547" i="1"/>
  <c r="BK547" i="1"/>
  <c r="BE547" i="1"/>
  <c r="BC547" i="1"/>
  <c r="AU547" i="1"/>
  <c r="AN547" i="1"/>
  <c r="AO547" i="1" s="1"/>
  <c r="EK546" i="1"/>
  <c r="DK546" i="1"/>
  <c r="CY546" i="1"/>
  <c r="CW546" i="1"/>
  <c r="CR546" i="1"/>
  <c r="BS546" i="1"/>
  <c r="BU546" i="1" s="1"/>
  <c r="BK546" i="1"/>
  <c r="BM546" i="1" s="1"/>
  <c r="BC546" i="1"/>
  <c r="BE546" i="1" s="1"/>
  <c r="AU546" i="1"/>
  <c r="AN546" i="1"/>
  <c r="AO546" i="1" s="1"/>
  <c r="AQ546" i="1" s="1"/>
  <c r="DN546" i="1" s="1"/>
  <c r="EK545" i="1"/>
  <c r="DK545" i="1"/>
  <c r="DF545" i="1"/>
  <c r="DD545" i="1"/>
  <c r="CW545" i="1"/>
  <c r="CY545" i="1" s="1"/>
  <c r="CR545" i="1"/>
  <c r="BU545" i="1"/>
  <c r="BS545" i="1"/>
  <c r="BM545" i="1"/>
  <c r="BK545" i="1"/>
  <c r="BE545" i="1"/>
  <c r="BC545" i="1"/>
  <c r="AU545" i="1"/>
  <c r="AN545" i="1"/>
  <c r="AO545" i="1" s="1"/>
  <c r="EK544" i="1"/>
  <c r="DK544" i="1"/>
  <c r="DF544" i="1"/>
  <c r="DD544" i="1"/>
  <c r="CY544" i="1"/>
  <c r="CW544" i="1"/>
  <c r="CR544" i="1"/>
  <c r="BS544" i="1"/>
  <c r="BU544" i="1" s="1"/>
  <c r="BK544" i="1"/>
  <c r="BM544" i="1" s="1"/>
  <c r="BC544" i="1"/>
  <c r="BE544" i="1" s="1"/>
  <c r="AU544" i="1"/>
  <c r="AN544" i="1"/>
  <c r="AO544" i="1" s="1"/>
  <c r="AQ544" i="1" s="1"/>
  <c r="DN544" i="1" s="1"/>
  <c r="EK543" i="1"/>
  <c r="DK543" i="1"/>
  <c r="DF543" i="1"/>
  <c r="DD543" i="1"/>
  <c r="CW543" i="1"/>
  <c r="CY543" i="1" s="1"/>
  <c r="CP543" i="1"/>
  <c r="CR543" i="1" s="1"/>
  <c r="BS543" i="1"/>
  <c r="BU543" i="1" s="1"/>
  <c r="BK543" i="1"/>
  <c r="BM543" i="1" s="1"/>
  <c r="BC543" i="1"/>
  <c r="BE543" i="1" s="1"/>
  <c r="AU543" i="1"/>
  <c r="AN543" i="1"/>
  <c r="AO543" i="1" s="1"/>
  <c r="EK542" i="1"/>
  <c r="DK542" i="1"/>
  <c r="DF542" i="1"/>
  <c r="DD542" i="1"/>
  <c r="CW542" i="1"/>
  <c r="CY542" i="1" s="1"/>
  <c r="CR542" i="1"/>
  <c r="BU542" i="1"/>
  <c r="BS542" i="1"/>
  <c r="BM542" i="1"/>
  <c r="BK542" i="1"/>
  <c r="BE542" i="1"/>
  <c r="BC542" i="1"/>
  <c r="AU542" i="1"/>
  <c r="AN542" i="1"/>
  <c r="AO542" i="1" s="1"/>
  <c r="EK541" i="1"/>
  <c r="DK541" i="1"/>
  <c r="CY541" i="1"/>
  <c r="CW541" i="1"/>
  <c r="CR541" i="1"/>
  <c r="BS541" i="1"/>
  <c r="BU541" i="1" s="1"/>
  <c r="BK541" i="1"/>
  <c r="BM541" i="1" s="1"/>
  <c r="BC541" i="1"/>
  <c r="BE541" i="1" s="1"/>
  <c r="AU541" i="1"/>
  <c r="AN541" i="1"/>
  <c r="AO541" i="1" s="1"/>
  <c r="AQ541" i="1" s="1"/>
  <c r="DN541" i="1" s="1"/>
  <c r="EK540" i="1"/>
  <c r="DK540" i="1"/>
  <c r="DF540" i="1"/>
  <c r="DD540" i="1"/>
  <c r="CW540" i="1"/>
  <c r="CY540" i="1" s="1"/>
  <c r="CR540" i="1"/>
  <c r="BU540" i="1"/>
  <c r="BS540" i="1"/>
  <c r="BM540" i="1"/>
  <c r="BK540" i="1"/>
  <c r="BE540" i="1"/>
  <c r="BC540" i="1"/>
  <c r="AU540" i="1"/>
  <c r="AN540" i="1"/>
  <c r="AO540" i="1" s="1"/>
  <c r="EK539" i="1"/>
  <c r="DK539" i="1"/>
  <c r="DF539" i="1"/>
  <c r="DD539" i="1"/>
  <c r="CY539" i="1"/>
  <c r="CW539" i="1"/>
  <c r="CR539" i="1"/>
  <c r="CP539" i="1"/>
  <c r="BU539" i="1"/>
  <c r="BS539" i="1"/>
  <c r="BM539" i="1"/>
  <c r="BC539" i="1"/>
  <c r="BE539" i="1" s="1"/>
  <c r="AU539" i="1"/>
  <c r="AN539" i="1"/>
  <c r="AO539" i="1" s="1"/>
  <c r="AQ539" i="1" s="1"/>
  <c r="DN539" i="1" s="1"/>
  <c r="EK538" i="1"/>
  <c r="DK538" i="1"/>
  <c r="DF538" i="1"/>
  <c r="DD538" i="1"/>
  <c r="CW538" i="1"/>
  <c r="CY538" i="1" s="1"/>
  <c r="CR538" i="1"/>
  <c r="BU538" i="1"/>
  <c r="BS538" i="1"/>
  <c r="BM538" i="1"/>
  <c r="BC538" i="1"/>
  <c r="BE538" i="1" s="1"/>
  <c r="AU538" i="1"/>
  <c r="AO538" i="1"/>
  <c r="AN538" i="1"/>
  <c r="EK537" i="1"/>
  <c r="DK537" i="1"/>
  <c r="DF537" i="1"/>
  <c r="DD537" i="1"/>
  <c r="CW537" i="1"/>
  <c r="CY537" i="1" s="1"/>
  <c r="CR537" i="1"/>
  <c r="BU537" i="1"/>
  <c r="BS537" i="1"/>
  <c r="BM537" i="1"/>
  <c r="BK537" i="1"/>
  <c r="BE537" i="1"/>
  <c r="BC537" i="1"/>
  <c r="AU537" i="1"/>
  <c r="AN537" i="1"/>
  <c r="AO537" i="1" s="1"/>
  <c r="AQ537" i="1" s="1"/>
  <c r="DN537" i="1" s="1"/>
  <c r="EK536" i="1"/>
  <c r="DK536" i="1"/>
  <c r="DF536" i="1"/>
  <c r="DD536" i="1"/>
  <c r="CY536" i="1"/>
  <c r="CW536" i="1"/>
  <c r="CR536" i="1"/>
  <c r="BS536" i="1"/>
  <c r="BU536" i="1" s="1"/>
  <c r="BK536" i="1"/>
  <c r="BM536" i="1" s="1"/>
  <c r="BC536" i="1"/>
  <c r="BE536" i="1" s="1"/>
  <c r="AU536" i="1"/>
  <c r="AO536" i="1"/>
  <c r="AQ536" i="1" s="1"/>
  <c r="AN536" i="1"/>
  <c r="EK535" i="1"/>
  <c r="DK535" i="1"/>
  <c r="DF535" i="1"/>
  <c r="DD535" i="1"/>
  <c r="CW535" i="1"/>
  <c r="CY535" i="1" s="1"/>
  <c r="CR535" i="1"/>
  <c r="BU535" i="1"/>
  <c r="BS535" i="1"/>
  <c r="BM535" i="1"/>
  <c r="BK535" i="1"/>
  <c r="BE535" i="1"/>
  <c r="BC535" i="1"/>
  <c r="AU535" i="1"/>
  <c r="AN535" i="1"/>
  <c r="AO535" i="1" s="1"/>
  <c r="AQ535" i="1" s="1"/>
  <c r="DN535" i="1" s="1"/>
  <c r="EK534" i="1"/>
  <c r="DK534" i="1"/>
  <c r="DF534" i="1"/>
  <c r="DD534" i="1"/>
  <c r="CW534" i="1"/>
  <c r="CY534" i="1" s="1"/>
  <c r="CP534" i="1"/>
  <c r="CR534" i="1" s="1"/>
  <c r="CI534" i="1"/>
  <c r="CK534" i="1" s="1"/>
  <c r="CA534" i="1"/>
  <c r="CC534" i="1" s="1"/>
  <c r="BS534" i="1"/>
  <c r="BU534" i="1" s="1"/>
  <c r="BK534" i="1"/>
  <c r="BM534" i="1" s="1"/>
  <c r="BC534" i="1"/>
  <c r="BE534" i="1" s="1"/>
  <c r="AU534" i="1"/>
  <c r="AN534" i="1"/>
  <c r="AO534" i="1" s="1"/>
  <c r="AQ534" i="1" s="1"/>
  <c r="EK533" i="1"/>
  <c r="DK533" i="1"/>
  <c r="DF533" i="1"/>
  <c r="DD533" i="1"/>
  <c r="CW533" i="1"/>
  <c r="CY533" i="1" s="1"/>
  <c r="CR533" i="1"/>
  <c r="BM533" i="1"/>
  <c r="BC533" i="1"/>
  <c r="BE533" i="1" s="1"/>
  <c r="AU533" i="1"/>
  <c r="AO533" i="1"/>
  <c r="AN533" i="1"/>
  <c r="EK532" i="1"/>
  <c r="DK532" i="1"/>
  <c r="DF532" i="1"/>
  <c r="DD532" i="1"/>
  <c r="CW532" i="1"/>
  <c r="CY532" i="1" s="1"/>
  <c r="CR532" i="1"/>
  <c r="BM532" i="1"/>
  <c r="BC532" i="1"/>
  <c r="BE532" i="1" s="1"/>
  <c r="AU532" i="1"/>
  <c r="AN532" i="1"/>
  <c r="AO532" i="1" s="1"/>
  <c r="EK531" i="1"/>
  <c r="DK531" i="1"/>
  <c r="DF531" i="1"/>
  <c r="DD531" i="1"/>
  <c r="CW531" i="1"/>
  <c r="CY531" i="1" s="1"/>
  <c r="CR531" i="1"/>
  <c r="BM531" i="1"/>
  <c r="BC531" i="1"/>
  <c r="BE531" i="1" s="1"/>
  <c r="AU531" i="1"/>
  <c r="AO531" i="1"/>
  <c r="AN531" i="1"/>
  <c r="EK530" i="1"/>
  <c r="DK530" i="1"/>
  <c r="DF530" i="1"/>
  <c r="DD530" i="1"/>
  <c r="CW530" i="1"/>
  <c r="CY530" i="1" s="1"/>
  <c r="CR530" i="1"/>
  <c r="BM530" i="1"/>
  <c r="BC530" i="1"/>
  <c r="BE530" i="1" s="1"/>
  <c r="AU530" i="1"/>
  <c r="AN530" i="1"/>
  <c r="AO530" i="1" s="1"/>
  <c r="EK529" i="1"/>
  <c r="DK529" i="1"/>
  <c r="DF529" i="1"/>
  <c r="DD529" i="1"/>
  <c r="CW529" i="1"/>
  <c r="CY529" i="1" s="1"/>
  <c r="CR529" i="1"/>
  <c r="BM529" i="1"/>
  <c r="BC529" i="1"/>
  <c r="BE529" i="1" s="1"/>
  <c r="AU529" i="1"/>
  <c r="AO529" i="1"/>
  <c r="AN529" i="1"/>
  <c r="EK528" i="1"/>
  <c r="DK528" i="1"/>
  <c r="DF528" i="1"/>
  <c r="DD528" i="1"/>
  <c r="CW528" i="1"/>
  <c r="CY528" i="1" s="1"/>
  <c r="CR528" i="1"/>
  <c r="BM528" i="1"/>
  <c r="BC528" i="1"/>
  <c r="BE528" i="1" s="1"/>
  <c r="AU528" i="1"/>
  <c r="AN528" i="1"/>
  <c r="AO528" i="1" s="1"/>
  <c r="EK527" i="1"/>
  <c r="DK527" i="1"/>
  <c r="DF527" i="1"/>
  <c r="DD527" i="1"/>
  <c r="CW527" i="1"/>
  <c r="CY527" i="1" s="1"/>
  <c r="CR527" i="1"/>
  <c r="BE527" i="1"/>
  <c r="BC527" i="1"/>
  <c r="AU527" i="1"/>
  <c r="AQ527" i="1"/>
  <c r="DN527" i="1" s="1"/>
  <c r="AN527" i="1"/>
  <c r="AO527" i="1" s="1"/>
  <c r="EK526" i="1"/>
  <c r="DK526" i="1"/>
  <c r="DF526" i="1"/>
  <c r="DD526" i="1"/>
  <c r="CY526" i="1"/>
  <c r="CW526" i="1"/>
  <c r="CR526" i="1"/>
  <c r="BC526" i="1"/>
  <c r="BE526" i="1" s="1"/>
  <c r="AU526" i="1"/>
  <c r="AN526" i="1"/>
  <c r="AO526" i="1" s="1"/>
  <c r="AQ526" i="1" s="1"/>
  <c r="EK525" i="1"/>
  <c r="DK525" i="1"/>
  <c r="DF525" i="1"/>
  <c r="DD525" i="1"/>
  <c r="CW525" i="1"/>
  <c r="CY525" i="1" s="1"/>
  <c r="CR525" i="1"/>
  <c r="BE525" i="1"/>
  <c r="BC525" i="1"/>
  <c r="AU525" i="1"/>
  <c r="AQ525" i="1"/>
  <c r="DN525" i="1" s="1"/>
  <c r="AN525" i="1"/>
  <c r="AO525" i="1" s="1"/>
  <c r="EK524" i="1"/>
  <c r="DK524" i="1"/>
  <c r="DF524" i="1"/>
  <c r="DD524" i="1"/>
  <c r="CY524" i="1"/>
  <c r="CW524" i="1"/>
  <c r="CR524" i="1"/>
  <c r="BC524" i="1"/>
  <c r="BE524" i="1" s="1"/>
  <c r="AU524" i="1"/>
  <c r="AN524" i="1"/>
  <c r="AO524" i="1" s="1"/>
  <c r="AQ524" i="1" s="1"/>
  <c r="EK523" i="1"/>
  <c r="DK523" i="1"/>
  <c r="DF523" i="1"/>
  <c r="DD523" i="1"/>
  <c r="CW523" i="1"/>
  <c r="CY523" i="1" s="1"/>
  <c r="CR523" i="1"/>
  <c r="CK523" i="1"/>
  <c r="CI523" i="1"/>
  <c r="CC523" i="1"/>
  <c r="CA523" i="1"/>
  <c r="BU523" i="1"/>
  <c r="BS523" i="1"/>
  <c r="BM523" i="1"/>
  <c r="BK523" i="1"/>
  <c r="BE523" i="1"/>
  <c r="BC523" i="1"/>
  <c r="AU523" i="1"/>
  <c r="AN523" i="1"/>
  <c r="AO523" i="1" s="1"/>
  <c r="EK522" i="1"/>
  <c r="DK522" i="1"/>
  <c r="DF522" i="1"/>
  <c r="DD522" i="1"/>
  <c r="CY522" i="1"/>
  <c r="CW522" i="1"/>
  <c r="CR522" i="1"/>
  <c r="BC522" i="1"/>
  <c r="BE522" i="1" s="1"/>
  <c r="AU522" i="1"/>
  <c r="AO522" i="1"/>
  <c r="AQ522" i="1" s="1"/>
  <c r="AN522" i="1"/>
  <c r="EK521" i="1"/>
  <c r="DK521" i="1"/>
  <c r="DF521" i="1"/>
  <c r="DD521" i="1"/>
  <c r="CW521" i="1"/>
  <c r="CY521" i="1" s="1"/>
  <c r="CR521" i="1"/>
  <c r="BE521" i="1"/>
  <c r="BC521" i="1"/>
  <c r="AU521" i="1"/>
  <c r="AN521" i="1"/>
  <c r="AO521" i="1" s="1"/>
  <c r="EK520" i="1"/>
  <c r="DK520" i="1"/>
  <c r="DF520" i="1"/>
  <c r="DD520" i="1"/>
  <c r="CY520" i="1"/>
  <c r="CW520" i="1"/>
  <c r="CR520" i="1"/>
  <c r="BC520" i="1"/>
  <c r="BE520" i="1" s="1"/>
  <c r="AU520" i="1"/>
  <c r="AN520" i="1"/>
  <c r="AO520" i="1" s="1"/>
  <c r="AQ520" i="1" s="1"/>
  <c r="EK519" i="1"/>
  <c r="DK519" i="1"/>
  <c r="DF519" i="1"/>
  <c r="DD519" i="1"/>
  <c r="CW519" i="1"/>
  <c r="CY519" i="1" s="1"/>
  <c r="CR519" i="1"/>
  <c r="BM519" i="1"/>
  <c r="BC519" i="1"/>
  <c r="BE519" i="1" s="1"/>
  <c r="AU519" i="1"/>
  <c r="AO519" i="1"/>
  <c r="AN519" i="1"/>
  <c r="EK518" i="1"/>
  <c r="DK518" i="1"/>
  <c r="DF518" i="1"/>
  <c r="DD518" i="1"/>
  <c r="CY518" i="1"/>
  <c r="CR518" i="1"/>
  <c r="BM518" i="1"/>
  <c r="BC518" i="1"/>
  <c r="BE518" i="1" s="1"/>
  <c r="AU518" i="1"/>
  <c r="AO518" i="1"/>
  <c r="AN518" i="1"/>
  <c r="EK517" i="1"/>
  <c r="DK517" i="1"/>
  <c r="DF517" i="1"/>
  <c r="DD517" i="1"/>
  <c r="CW517" i="1"/>
  <c r="CY517" i="1" s="1"/>
  <c r="CR517" i="1"/>
  <c r="BM517" i="1"/>
  <c r="BC517" i="1"/>
  <c r="BE517" i="1" s="1"/>
  <c r="AU517" i="1"/>
  <c r="AN517" i="1"/>
  <c r="AO517" i="1" s="1"/>
  <c r="EK516" i="1"/>
  <c r="DK516" i="1"/>
  <c r="DF516" i="1"/>
  <c r="DD516" i="1"/>
  <c r="CW516" i="1"/>
  <c r="CY516" i="1" s="1"/>
  <c r="CP516" i="1"/>
  <c r="CR516" i="1" s="1"/>
  <c r="CI516" i="1"/>
  <c r="CK516" i="1" s="1"/>
  <c r="CA516" i="1"/>
  <c r="CC516" i="1" s="1"/>
  <c r="BS516" i="1"/>
  <c r="BU516" i="1" s="1"/>
  <c r="BK516" i="1"/>
  <c r="BM516" i="1" s="1"/>
  <c r="BC516" i="1"/>
  <c r="BE516" i="1" s="1"/>
  <c r="AU516" i="1"/>
  <c r="AN516" i="1"/>
  <c r="AO516" i="1" s="1"/>
  <c r="EK515" i="1"/>
  <c r="DK515" i="1"/>
  <c r="DF515" i="1"/>
  <c r="DD515" i="1"/>
  <c r="CW515" i="1"/>
  <c r="CY515" i="1" s="1"/>
  <c r="CR515" i="1"/>
  <c r="BM515" i="1"/>
  <c r="BK515" i="1"/>
  <c r="BE515" i="1"/>
  <c r="BC515" i="1"/>
  <c r="AU515" i="1"/>
  <c r="AN515" i="1"/>
  <c r="AO515" i="1" s="1"/>
  <c r="EK514" i="1"/>
  <c r="DK514" i="1"/>
  <c r="DF514" i="1"/>
  <c r="DD514" i="1"/>
  <c r="CY514" i="1"/>
  <c r="CW514" i="1"/>
  <c r="CR514" i="1"/>
  <c r="BM514" i="1"/>
  <c r="BE514" i="1"/>
  <c r="BC514" i="1"/>
  <c r="AU514" i="1"/>
  <c r="AN514" i="1"/>
  <c r="AO514" i="1" s="1"/>
  <c r="EK513" i="1"/>
  <c r="DK513" i="1"/>
  <c r="DF513" i="1"/>
  <c r="DD513" i="1"/>
  <c r="CY513" i="1"/>
  <c r="CW513" i="1"/>
  <c r="CR513" i="1"/>
  <c r="BM513" i="1"/>
  <c r="BE513" i="1"/>
  <c r="BC513" i="1"/>
  <c r="AU513" i="1"/>
  <c r="AN513" i="1"/>
  <c r="AO513" i="1" s="1"/>
  <c r="EK512" i="1"/>
  <c r="DK512" i="1"/>
  <c r="DF512" i="1"/>
  <c r="DD512" i="1"/>
  <c r="CY512" i="1"/>
  <c r="CW512" i="1"/>
  <c r="CR512" i="1"/>
  <c r="BM512" i="1"/>
  <c r="BE512" i="1"/>
  <c r="BC512" i="1"/>
  <c r="AU512" i="1"/>
  <c r="AN512" i="1"/>
  <c r="AO512" i="1" s="1"/>
  <c r="EK511" i="1"/>
  <c r="DK511" i="1"/>
  <c r="DF511" i="1"/>
  <c r="DD511" i="1"/>
  <c r="CY511" i="1"/>
  <c r="CW511" i="1"/>
  <c r="CR511" i="1"/>
  <c r="BM511" i="1"/>
  <c r="BE511" i="1"/>
  <c r="BC511" i="1"/>
  <c r="AU511" i="1"/>
  <c r="AN511" i="1"/>
  <c r="AO511" i="1" s="1"/>
  <c r="EK510" i="1"/>
  <c r="DK510" i="1"/>
  <c r="DF510" i="1"/>
  <c r="DD510" i="1"/>
  <c r="CY510" i="1"/>
  <c r="CW510" i="1"/>
  <c r="CR510" i="1"/>
  <c r="BM510" i="1"/>
  <c r="BE510" i="1"/>
  <c r="BC510" i="1"/>
  <c r="AU510" i="1"/>
  <c r="AN510" i="1"/>
  <c r="AO510" i="1" s="1"/>
  <c r="EK509" i="1"/>
  <c r="DK509" i="1"/>
  <c r="DF509" i="1"/>
  <c r="DD509" i="1"/>
  <c r="CY509" i="1"/>
  <c r="CW509" i="1"/>
  <c r="CR509" i="1"/>
  <c r="BM509" i="1"/>
  <c r="BE509" i="1"/>
  <c r="BC509" i="1"/>
  <c r="AU509" i="1"/>
  <c r="AN509" i="1"/>
  <c r="AO509" i="1" s="1"/>
  <c r="EK508" i="1"/>
  <c r="DK508" i="1"/>
  <c r="DF508" i="1"/>
  <c r="DD508" i="1"/>
  <c r="CY508" i="1"/>
  <c r="CW508" i="1"/>
  <c r="CR508" i="1"/>
  <c r="BM508" i="1"/>
  <c r="BE508" i="1"/>
  <c r="BC508" i="1"/>
  <c r="AU508" i="1"/>
  <c r="AN508" i="1"/>
  <c r="AO508" i="1" s="1"/>
  <c r="EK507" i="1"/>
  <c r="DK507" i="1"/>
  <c r="DF507" i="1"/>
  <c r="DD507" i="1"/>
  <c r="CY507" i="1"/>
  <c r="CW507" i="1"/>
  <c r="CR507" i="1"/>
  <c r="CP507" i="1"/>
  <c r="BM507" i="1"/>
  <c r="BC507" i="1"/>
  <c r="BE507" i="1" s="1"/>
  <c r="AU507" i="1"/>
  <c r="AO507" i="1"/>
  <c r="AQ507" i="1" s="1"/>
  <c r="AN507" i="1"/>
  <c r="EK506" i="1"/>
  <c r="DK506" i="1"/>
  <c r="DF506" i="1"/>
  <c r="DD506" i="1"/>
  <c r="CY506" i="1"/>
  <c r="CW506" i="1"/>
  <c r="CR506" i="1"/>
  <c r="CP506" i="1"/>
  <c r="BM506" i="1"/>
  <c r="BC506" i="1"/>
  <c r="BE506" i="1" s="1"/>
  <c r="AU506" i="1"/>
  <c r="AO506" i="1"/>
  <c r="AN506" i="1"/>
  <c r="EK505" i="1"/>
  <c r="DK505" i="1"/>
  <c r="DF505" i="1"/>
  <c r="DD505" i="1"/>
  <c r="CW505" i="1"/>
  <c r="CY505" i="1" s="1"/>
  <c r="CP505" i="1"/>
  <c r="CR505" i="1" s="1"/>
  <c r="BM505" i="1"/>
  <c r="BE505" i="1"/>
  <c r="BC505" i="1"/>
  <c r="AU505" i="1"/>
  <c r="AN505" i="1"/>
  <c r="AO505" i="1" s="1"/>
  <c r="EK504" i="1"/>
  <c r="DK504" i="1"/>
  <c r="DF504" i="1"/>
  <c r="DD504" i="1"/>
  <c r="CY504" i="1"/>
  <c r="CW504" i="1"/>
  <c r="CR504" i="1"/>
  <c r="CP504" i="1"/>
  <c r="BM504" i="1"/>
  <c r="BC504" i="1"/>
  <c r="BE504" i="1" s="1"/>
  <c r="AU504" i="1"/>
  <c r="AO504" i="1"/>
  <c r="AQ504" i="1" s="1"/>
  <c r="AN504" i="1"/>
  <c r="EK503" i="1"/>
  <c r="DK503" i="1"/>
  <c r="DF503" i="1"/>
  <c r="DD503" i="1"/>
  <c r="CW503" i="1"/>
  <c r="CY503" i="1" s="1"/>
  <c r="CP503" i="1"/>
  <c r="CR503" i="1" s="1"/>
  <c r="BM503" i="1"/>
  <c r="BE503" i="1"/>
  <c r="BC503" i="1"/>
  <c r="AU503" i="1"/>
  <c r="AN503" i="1"/>
  <c r="AO503" i="1" s="1"/>
  <c r="EK502" i="1"/>
  <c r="DK502" i="1"/>
  <c r="DF502" i="1"/>
  <c r="DD502" i="1"/>
  <c r="CW502" i="1"/>
  <c r="CY502" i="1" s="1"/>
  <c r="CR502" i="1"/>
  <c r="CP502" i="1"/>
  <c r="BM502" i="1"/>
  <c r="BC502" i="1"/>
  <c r="BE502" i="1" s="1"/>
  <c r="AU502" i="1"/>
  <c r="AO502" i="1"/>
  <c r="AQ502" i="1" s="1"/>
  <c r="AN502" i="1"/>
  <c r="EK501" i="1"/>
  <c r="DK501" i="1"/>
  <c r="DF501" i="1"/>
  <c r="DD501" i="1"/>
  <c r="CW501" i="1"/>
  <c r="CY501" i="1" s="1"/>
  <c r="CR501" i="1"/>
  <c r="CP501" i="1"/>
  <c r="BM501" i="1"/>
  <c r="BC501" i="1"/>
  <c r="BE501" i="1" s="1"/>
  <c r="AU501" i="1"/>
  <c r="AO501" i="1"/>
  <c r="AN501" i="1"/>
  <c r="EK500" i="1"/>
  <c r="DK500" i="1"/>
  <c r="DF500" i="1"/>
  <c r="DD500" i="1"/>
  <c r="CW500" i="1"/>
  <c r="CY500" i="1" s="1"/>
  <c r="CR500" i="1"/>
  <c r="CP500" i="1"/>
  <c r="BM500" i="1"/>
  <c r="BC500" i="1"/>
  <c r="BE500" i="1" s="1"/>
  <c r="AU500" i="1"/>
  <c r="AO500" i="1"/>
  <c r="AN500" i="1"/>
  <c r="EK499" i="1"/>
  <c r="DK499" i="1"/>
  <c r="DF499" i="1"/>
  <c r="DD499" i="1"/>
  <c r="CW499" i="1"/>
  <c r="CY499" i="1" s="1"/>
  <c r="CP499" i="1"/>
  <c r="CR499" i="1" s="1"/>
  <c r="BM499" i="1"/>
  <c r="BE499" i="1"/>
  <c r="BC499" i="1"/>
  <c r="AU499" i="1"/>
  <c r="AN499" i="1"/>
  <c r="AO499" i="1" s="1"/>
  <c r="EK498" i="1"/>
  <c r="DK498" i="1"/>
  <c r="DF498" i="1"/>
  <c r="DD498" i="1"/>
  <c r="CW498" i="1"/>
  <c r="CY498" i="1" s="1"/>
  <c r="CR498" i="1"/>
  <c r="CP498" i="1"/>
  <c r="BM498" i="1"/>
  <c r="BC498" i="1"/>
  <c r="BE498" i="1" s="1"/>
  <c r="AU498" i="1"/>
  <c r="AO498" i="1"/>
  <c r="AQ498" i="1" s="1"/>
  <c r="AN498" i="1"/>
  <c r="EK497" i="1"/>
  <c r="DK497" i="1"/>
  <c r="DF497" i="1"/>
  <c r="DD497" i="1"/>
  <c r="CW497" i="1"/>
  <c r="CY497" i="1" s="1"/>
  <c r="CR497" i="1"/>
  <c r="CP497" i="1"/>
  <c r="BM497" i="1"/>
  <c r="BC497" i="1"/>
  <c r="BE497" i="1" s="1"/>
  <c r="AU497" i="1"/>
  <c r="AO497" i="1"/>
  <c r="AN497" i="1"/>
  <c r="EK496" i="1"/>
  <c r="DK496" i="1"/>
  <c r="DF496" i="1"/>
  <c r="DD496" i="1"/>
  <c r="CW496" i="1"/>
  <c r="CY496" i="1" s="1"/>
  <c r="CR496" i="1"/>
  <c r="CP496" i="1"/>
  <c r="BM496" i="1"/>
  <c r="BC496" i="1"/>
  <c r="BE496" i="1" s="1"/>
  <c r="AU496" i="1"/>
  <c r="AO496" i="1"/>
  <c r="AN496" i="1"/>
  <c r="EK495" i="1"/>
  <c r="DK495" i="1"/>
  <c r="DF495" i="1"/>
  <c r="DD495" i="1"/>
  <c r="CW495" i="1"/>
  <c r="CY495" i="1" s="1"/>
  <c r="CP495" i="1"/>
  <c r="CR495" i="1" s="1"/>
  <c r="BC495" i="1"/>
  <c r="BE495" i="1" s="1"/>
  <c r="AU495" i="1"/>
  <c r="AO495" i="1"/>
  <c r="AN495" i="1"/>
  <c r="EK494" i="1"/>
  <c r="DK494" i="1"/>
  <c r="DF494" i="1"/>
  <c r="DD494" i="1"/>
  <c r="CW494" i="1"/>
  <c r="CY494" i="1" s="1"/>
  <c r="CR494" i="1"/>
  <c r="CP494" i="1"/>
  <c r="BE494" i="1"/>
  <c r="BC494" i="1"/>
  <c r="AU494" i="1"/>
  <c r="AN494" i="1"/>
  <c r="AO494" i="1" s="1"/>
  <c r="EK493" i="1"/>
  <c r="DK493" i="1"/>
  <c r="DF493" i="1"/>
  <c r="DD493" i="1"/>
  <c r="CW493" i="1"/>
  <c r="CY493" i="1" s="1"/>
  <c r="CP493" i="1"/>
  <c r="CR493" i="1" s="1"/>
  <c r="BC493" i="1"/>
  <c r="BE493" i="1" s="1"/>
  <c r="AU493" i="1"/>
  <c r="AO493" i="1"/>
  <c r="AQ493" i="1" s="1"/>
  <c r="AN493" i="1"/>
  <c r="EK492" i="1"/>
  <c r="DK492" i="1"/>
  <c r="DF492" i="1"/>
  <c r="DD492" i="1"/>
  <c r="CW492" i="1"/>
  <c r="CY492" i="1" s="1"/>
  <c r="CP492" i="1"/>
  <c r="CR492" i="1" s="1"/>
  <c r="BC492" i="1"/>
  <c r="BE492" i="1" s="1"/>
  <c r="AU492" i="1"/>
  <c r="AO492" i="1"/>
  <c r="AN492" i="1"/>
  <c r="EK491" i="1"/>
  <c r="DK491" i="1"/>
  <c r="DD491" i="1"/>
  <c r="CW491" i="1"/>
  <c r="CY491" i="1" s="1"/>
  <c r="CP491" i="1"/>
  <c r="CR491" i="1" s="1"/>
  <c r="BK491" i="1"/>
  <c r="BM491" i="1" s="1"/>
  <c r="BC491" i="1"/>
  <c r="BE491" i="1" s="1"/>
  <c r="AU491" i="1"/>
  <c r="AO491" i="1"/>
  <c r="AN491" i="1"/>
  <c r="EK490" i="1"/>
  <c r="DK490" i="1"/>
  <c r="DF490" i="1"/>
  <c r="DD490" i="1"/>
  <c r="CW490" i="1"/>
  <c r="CY490" i="1" s="1"/>
  <c r="CP490" i="1"/>
  <c r="CR490" i="1" s="1"/>
  <c r="BC490" i="1"/>
  <c r="BE490" i="1" s="1"/>
  <c r="AU490" i="1"/>
  <c r="AO490" i="1"/>
  <c r="AN490" i="1"/>
  <c r="EK489" i="1"/>
  <c r="DK489" i="1"/>
  <c r="DF489" i="1"/>
  <c r="DD489" i="1"/>
  <c r="CW489" i="1"/>
  <c r="CY489" i="1" s="1"/>
  <c r="CP489" i="1"/>
  <c r="CR489" i="1" s="1"/>
  <c r="BC489" i="1"/>
  <c r="BE489" i="1" s="1"/>
  <c r="AU489" i="1"/>
  <c r="AO489" i="1"/>
  <c r="AN489" i="1"/>
  <c r="EK488" i="1"/>
  <c r="DK488" i="1"/>
  <c r="DF488" i="1"/>
  <c r="DD488" i="1"/>
  <c r="CW488" i="1"/>
  <c r="CY488" i="1" s="1"/>
  <c r="CP488" i="1"/>
  <c r="CR488" i="1" s="1"/>
  <c r="BC488" i="1"/>
  <c r="BE488" i="1" s="1"/>
  <c r="AU488" i="1"/>
  <c r="AO488" i="1"/>
  <c r="AN488" i="1"/>
  <c r="EK487" i="1"/>
  <c r="DK487" i="1"/>
  <c r="DF487" i="1"/>
  <c r="DD487" i="1"/>
  <c r="CW487" i="1"/>
  <c r="CY487" i="1" s="1"/>
  <c r="CP487" i="1"/>
  <c r="CR487" i="1" s="1"/>
  <c r="BC487" i="1"/>
  <c r="BE487" i="1" s="1"/>
  <c r="AU487" i="1"/>
  <c r="AO487" i="1"/>
  <c r="AN487" i="1"/>
  <c r="EK486" i="1"/>
  <c r="DK486" i="1"/>
  <c r="DF486" i="1"/>
  <c r="DD486" i="1"/>
  <c r="CW486" i="1"/>
  <c r="CY486" i="1" s="1"/>
  <c r="CP486" i="1"/>
  <c r="CR486" i="1" s="1"/>
  <c r="BC486" i="1"/>
  <c r="BE486" i="1" s="1"/>
  <c r="AU486" i="1"/>
  <c r="AO486" i="1"/>
  <c r="AN486" i="1"/>
  <c r="EK485" i="1"/>
  <c r="DK485" i="1"/>
  <c r="DF485" i="1"/>
  <c r="DD485" i="1"/>
  <c r="CW485" i="1"/>
  <c r="CY485" i="1" s="1"/>
  <c r="CP485" i="1"/>
  <c r="CR485" i="1" s="1"/>
  <c r="BC485" i="1"/>
  <c r="BE485" i="1" s="1"/>
  <c r="AU485" i="1"/>
  <c r="AO485" i="1"/>
  <c r="AN485" i="1"/>
  <c r="EK484" i="1"/>
  <c r="DK484" i="1"/>
  <c r="DF484" i="1"/>
  <c r="DD484" i="1"/>
  <c r="CW484" i="1"/>
  <c r="CY484" i="1" s="1"/>
  <c r="CP484" i="1"/>
  <c r="CR484" i="1" s="1"/>
  <c r="BC484" i="1"/>
  <c r="BE484" i="1" s="1"/>
  <c r="AU484" i="1"/>
  <c r="AO484" i="1"/>
  <c r="AN484" i="1"/>
  <c r="EK483" i="1"/>
  <c r="DK483" i="1"/>
  <c r="DF483" i="1"/>
  <c r="DD483" i="1"/>
  <c r="DA483" i="1"/>
  <c r="CZ483" i="1"/>
  <c r="CW483" i="1"/>
  <c r="CY483" i="1" s="1"/>
  <c r="CP483" i="1"/>
  <c r="CR483" i="1" s="1"/>
  <c r="CJ483" i="1"/>
  <c r="CF483" i="1"/>
  <c r="CE483" i="1"/>
  <c r="CD483" i="1"/>
  <c r="CB483" i="1"/>
  <c r="BX483" i="1"/>
  <c r="BW483" i="1"/>
  <c r="BV483" i="1"/>
  <c r="BT483" i="1"/>
  <c r="BP483" i="1"/>
  <c r="BO483" i="1"/>
  <c r="BN483" i="1"/>
  <c r="BH483" i="1"/>
  <c r="BG483" i="1"/>
  <c r="BF483" i="1"/>
  <c r="BE483" i="1"/>
  <c r="BC483" i="1"/>
  <c r="AU483" i="1"/>
  <c r="AQ483" i="1"/>
  <c r="AN483" i="1"/>
  <c r="AO483" i="1" s="1"/>
  <c r="EK482" i="1"/>
  <c r="DK482" i="1"/>
  <c r="DF482" i="1"/>
  <c r="DD482" i="1"/>
  <c r="CY482" i="1"/>
  <c r="CW482" i="1"/>
  <c r="CR482" i="1"/>
  <c r="CP482" i="1"/>
  <c r="BE482" i="1"/>
  <c r="BC482" i="1"/>
  <c r="AU482" i="1"/>
  <c r="AN482" i="1"/>
  <c r="AO482" i="1" s="1"/>
  <c r="AQ482" i="1" s="1"/>
  <c r="EK481" i="1"/>
  <c r="DN481" i="1"/>
  <c r="DH481" i="1"/>
  <c r="DL481" i="1" s="1"/>
  <c r="DF481" i="1"/>
  <c r="DD481" i="1"/>
  <c r="CW481" i="1"/>
  <c r="CY481" i="1" s="1"/>
  <c r="CP481" i="1"/>
  <c r="CR481" i="1" s="1"/>
  <c r="BC481" i="1"/>
  <c r="BE481" i="1" s="1"/>
  <c r="AU481" i="1"/>
  <c r="AW481" i="1" s="1"/>
  <c r="AN481" i="1"/>
  <c r="AO481" i="1" s="1"/>
  <c r="DX480" i="1"/>
  <c r="AO480" i="1"/>
  <c r="AN480" i="1"/>
  <c r="DX479" i="1"/>
  <c r="AN479" i="1"/>
  <c r="AO479" i="1" s="1"/>
  <c r="DX478" i="1"/>
  <c r="EE478" i="1" s="1"/>
  <c r="AN478" i="1"/>
  <c r="AO478" i="1" s="1"/>
  <c r="DX477" i="1"/>
  <c r="EE477" i="1" s="1"/>
  <c r="AN477" i="1"/>
  <c r="AO477" i="1" s="1"/>
  <c r="DX476" i="1"/>
  <c r="CY476" i="1"/>
  <c r="AO476" i="1"/>
  <c r="AN476" i="1"/>
  <c r="EK475" i="1"/>
  <c r="DP475" i="1"/>
  <c r="DN475" i="1"/>
  <c r="DL475" i="1"/>
  <c r="DF475" i="1"/>
  <c r="DD475" i="1"/>
  <c r="CW475" i="1"/>
  <c r="CY475" i="1" s="1"/>
  <c r="CP475" i="1"/>
  <c r="CR475" i="1" s="1"/>
  <c r="BK475" i="1"/>
  <c r="BM475" i="1" s="1"/>
  <c r="BC475" i="1"/>
  <c r="BE475" i="1" s="1"/>
  <c r="AU475" i="1"/>
  <c r="AW475" i="1" s="1"/>
  <c r="AN475" i="1"/>
  <c r="AO475" i="1" s="1"/>
  <c r="EK474" i="1"/>
  <c r="DN474" i="1"/>
  <c r="DH474" i="1"/>
  <c r="DF474" i="1"/>
  <c r="DD474" i="1"/>
  <c r="CY474" i="1"/>
  <c r="CW474" i="1"/>
  <c r="CR474" i="1"/>
  <c r="BC474" i="1"/>
  <c r="BE474" i="1" s="1"/>
  <c r="AU474" i="1"/>
  <c r="AW474" i="1" s="1"/>
  <c r="AN474" i="1"/>
  <c r="AO474" i="1" s="1"/>
  <c r="EK473" i="1"/>
  <c r="DX473" i="1"/>
  <c r="CY473" i="1"/>
  <c r="CR473" i="1"/>
  <c r="BE473" i="1"/>
  <c r="BC473" i="1"/>
  <c r="AW473" i="1"/>
  <c r="EE473" i="1" s="1"/>
  <c r="AU473" i="1"/>
  <c r="AO473" i="1"/>
  <c r="EL473" i="1" s="1"/>
  <c r="EN473" i="1" s="1"/>
  <c r="AN473" i="1"/>
  <c r="EK472" i="1"/>
  <c r="DX472" i="1"/>
  <c r="CY472" i="1"/>
  <c r="CR472" i="1"/>
  <c r="BC472" i="1"/>
  <c r="BE472" i="1" s="1"/>
  <c r="AU472" i="1"/>
  <c r="AW472" i="1" s="1"/>
  <c r="EE472" i="1" s="1"/>
  <c r="AN472" i="1"/>
  <c r="AO472" i="1" s="1"/>
  <c r="EK471" i="1"/>
  <c r="DX471" i="1"/>
  <c r="CY471" i="1"/>
  <c r="CR471" i="1"/>
  <c r="AW471" i="1"/>
  <c r="EE471" i="1" s="1"/>
  <c r="AU471" i="1"/>
  <c r="AO471" i="1"/>
  <c r="EL471" i="1" s="1"/>
  <c r="EN471" i="1" s="1"/>
  <c r="AN471" i="1"/>
  <c r="EK470" i="1"/>
  <c r="DX470" i="1"/>
  <c r="CY470" i="1"/>
  <c r="CR470" i="1"/>
  <c r="AU470" i="1"/>
  <c r="AW470" i="1" s="1"/>
  <c r="AN470" i="1"/>
  <c r="AO470" i="1" s="1"/>
  <c r="EK469" i="1"/>
  <c r="DX469" i="1"/>
  <c r="CY469" i="1"/>
  <c r="CR469" i="1"/>
  <c r="AW469" i="1"/>
  <c r="EE469" i="1" s="1"/>
  <c r="AU469" i="1"/>
  <c r="AO469" i="1"/>
  <c r="EL469" i="1" s="1"/>
  <c r="EN469" i="1" s="1"/>
  <c r="AN469" i="1"/>
  <c r="EK468" i="1"/>
  <c r="DX468" i="1"/>
  <c r="CY468" i="1"/>
  <c r="CR468" i="1"/>
  <c r="BC468" i="1"/>
  <c r="BE468" i="1" s="1"/>
  <c r="AU468" i="1"/>
  <c r="AW468" i="1" s="1"/>
  <c r="AN468" i="1"/>
  <c r="AO468" i="1" s="1"/>
  <c r="EK467" i="1"/>
  <c r="DX467" i="1"/>
  <c r="CY467" i="1"/>
  <c r="CR467" i="1"/>
  <c r="BE467" i="1"/>
  <c r="BC467" i="1"/>
  <c r="AW467" i="1"/>
  <c r="EE467" i="1" s="1"/>
  <c r="AU467" i="1"/>
  <c r="AO467" i="1"/>
  <c r="EL467" i="1" s="1"/>
  <c r="EN467" i="1" s="1"/>
  <c r="AN467" i="1"/>
  <c r="EK466" i="1"/>
  <c r="DX466" i="1"/>
  <c r="CY466" i="1"/>
  <c r="CR466" i="1"/>
  <c r="BC466" i="1"/>
  <c r="BE466" i="1" s="1"/>
  <c r="AU466" i="1"/>
  <c r="AW466" i="1" s="1"/>
  <c r="AN466" i="1"/>
  <c r="AO466" i="1" s="1"/>
  <c r="EK465" i="1"/>
  <c r="DX465" i="1"/>
  <c r="CY465" i="1"/>
  <c r="CR465" i="1"/>
  <c r="BE465" i="1"/>
  <c r="BC465" i="1"/>
  <c r="AW465" i="1"/>
  <c r="EE465" i="1" s="1"/>
  <c r="AU465" i="1"/>
  <c r="AO465" i="1"/>
  <c r="EL465" i="1" s="1"/>
  <c r="EN465" i="1" s="1"/>
  <c r="AN465" i="1"/>
  <c r="EK464" i="1"/>
  <c r="DT464" i="1"/>
  <c r="DV464" i="1" s="1"/>
  <c r="DP464" i="1"/>
  <c r="DR464" i="1" s="1"/>
  <c r="DN464" i="1"/>
  <c r="DL464" i="1"/>
  <c r="DF464" i="1"/>
  <c r="DD464" i="1"/>
  <c r="CW464" i="1"/>
  <c r="CY464" i="1" s="1"/>
  <c r="CR464" i="1"/>
  <c r="CP464" i="1"/>
  <c r="BC464" i="1"/>
  <c r="BE464" i="1" s="1"/>
  <c r="AU464" i="1"/>
  <c r="AW464" i="1" s="1"/>
  <c r="AN464" i="1"/>
  <c r="AO464" i="1" s="1"/>
  <c r="EK463" i="1"/>
  <c r="DN463" i="1"/>
  <c r="DH463" i="1"/>
  <c r="DL463" i="1" s="1"/>
  <c r="DF463" i="1"/>
  <c r="DD463" i="1"/>
  <c r="CW463" i="1"/>
  <c r="CY463" i="1" s="1"/>
  <c r="CP463" i="1"/>
  <c r="CR463" i="1" s="1"/>
  <c r="BC463" i="1"/>
  <c r="BE463" i="1" s="1"/>
  <c r="AU463" i="1"/>
  <c r="AW463" i="1" s="1"/>
  <c r="AN463" i="1"/>
  <c r="AO463" i="1" s="1"/>
  <c r="EK462" i="1"/>
  <c r="DN462" i="1"/>
  <c r="DH462" i="1"/>
  <c r="DL462" i="1" s="1"/>
  <c r="DF462" i="1"/>
  <c r="DD462" i="1"/>
  <c r="CW462" i="1"/>
  <c r="CY462" i="1" s="1"/>
  <c r="CP462" i="1"/>
  <c r="CR462" i="1" s="1"/>
  <c r="BC462" i="1"/>
  <c r="BE462" i="1" s="1"/>
  <c r="AU462" i="1"/>
  <c r="AW462" i="1" s="1"/>
  <c r="AN462" i="1"/>
  <c r="AO462" i="1" s="1"/>
  <c r="EK461" i="1"/>
  <c r="DN461" i="1"/>
  <c r="DH461" i="1"/>
  <c r="DL461" i="1" s="1"/>
  <c r="DF461" i="1"/>
  <c r="DD461" i="1"/>
  <c r="CW461" i="1"/>
  <c r="CY461" i="1" s="1"/>
  <c r="CP461" i="1"/>
  <c r="CR461" i="1" s="1"/>
  <c r="BC461" i="1"/>
  <c r="BE461" i="1" s="1"/>
  <c r="AU461" i="1"/>
  <c r="AW461" i="1" s="1"/>
  <c r="AN461" i="1"/>
  <c r="AO461" i="1" s="1"/>
  <c r="EK460" i="1"/>
  <c r="DN460" i="1"/>
  <c r="DH460" i="1"/>
  <c r="DL460" i="1" s="1"/>
  <c r="DF460" i="1"/>
  <c r="DD460" i="1"/>
  <c r="CW460" i="1"/>
  <c r="CY460" i="1" s="1"/>
  <c r="CP460" i="1"/>
  <c r="CR460" i="1" s="1"/>
  <c r="BC460" i="1"/>
  <c r="BE460" i="1" s="1"/>
  <c r="AU460" i="1"/>
  <c r="AW460" i="1" s="1"/>
  <c r="AN460" i="1"/>
  <c r="AO460" i="1" s="1"/>
  <c r="EK459" i="1"/>
  <c r="DN459" i="1"/>
  <c r="DH459" i="1"/>
  <c r="DL459" i="1" s="1"/>
  <c r="DF459" i="1"/>
  <c r="DD459" i="1"/>
  <c r="CW459" i="1"/>
  <c r="CY459" i="1" s="1"/>
  <c r="CP459" i="1"/>
  <c r="CR459" i="1" s="1"/>
  <c r="BC459" i="1"/>
  <c r="BE459" i="1" s="1"/>
  <c r="AU459" i="1"/>
  <c r="AW459" i="1" s="1"/>
  <c r="AN459" i="1"/>
  <c r="AO459" i="1" s="1"/>
  <c r="EK458" i="1"/>
  <c r="DN458" i="1"/>
  <c r="DH458" i="1"/>
  <c r="DL458" i="1" s="1"/>
  <c r="DF458" i="1"/>
  <c r="DD458" i="1"/>
  <c r="CW458" i="1"/>
  <c r="CY458" i="1" s="1"/>
  <c r="CP458" i="1"/>
  <c r="CR458" i="1" s="1"/>
  <c r="BC458" i="1"/>
  <c r="BE458" i="1" s="1"/>
  <c r="AU458" i="1"/>
  <c r="AW458" i="1" s="1"/>
  <c r="AN458" i="1"/>
  <c r="AO458" i="1" s="1"/>
  <c r="EK457" i="1"/>
  <c r="DN457" i="1"/>
  <c r="DH457" i="1"/>
  <c r="DL457" i="1" s="1"/>
  <c r="DF457" i="1"/>
  <c r="DD457" i="1"/>
  <c r="CW457" i="1"/>
  <c r="CY457" i="1" s="1"/>
  <c r="CP457" i="1"/>
  <c r="CR457" i="1" s="1"/>
  <c r="BC457" i="1"/>
  <c r="BE457" i="1" s="1"/>
  <c r="AU457" i="1"/>
  <c r="AW457" i="1" s="1"/>
  <c r="AN457" i="1"/>
  <c r="AO457" i="1" s="1"/>
  <c r="EK456" i="1"/>
  <c r="DN456" i="1"/>
  <c r="DH456" i="1"/>
  <c r="DL456" i="1" s="1"/>
  <c r="DF456" i="1"/>
  <c r="DD456" i="1"/>
  <c r="CW456" i="1"/>
  <c r="CY456" i="1" s="1"/>
  <c r="CP456" i="1"/>
  <c r="CR456" i="1" s="1"/>
  <c r="BC456" i="1"/>
  <c r="BE456" i="1" s="1"/>
  <c r="AU456" i="1"/>
  <c r="AW456" i="1" s="1"/>
  <c r="AN456" i="1"/>
  <c r="AO456" i="1" s="1"/>
  <c r="EK455" i="1"/>
  <c r="DN455" i="1"/>
  <c r="DH455" i="1"/>
  <c r="DL455" i="1" s="1"/>
  <c r="DF455" i="1"/>
  <c r="DD455" i="1"/>
  <c r="CW455" i="1"/>
  <c r="CY455" i="1" s="1"/>
  <c r="CP455" i="1"/>
  <c r="CR455" i="1" s="1"/>
  <c r="BC455" i="1"/>
  <c r="BE455" i="1" s="1"/>
  <c r="AU455" i="1"/>
  <c r="AW455" i="1" s="1"/>
  <c r="AN455" i="1"/>
  <c r="AO455" i="1" s="1"/>
  <c r="EK454" i="1"/>
  <c r="DN454" i="1"/>
  <c r="DH454" i="1"/>
  <c r="DL454" i="1" s="1"/>
  <c r="DF454" i="1"/>
  <c r="DD454" i="1"/>
  <c r="CW454" i="1"/>
  <c r="CY454" i="1" s="1"/>
  <c r="CP454" i="1"/>
  <c r="CR454" i="1" s="1"/>
  <c r="BC454" i="1"/>
  <c r="BE454" i="1" s="1"/>
  <c r="AU454" i="1"/>
  <c r="AW454" i="1" s="1"/>
  <c r="AN454" i="1"/>
  <c r="AO454" i="1" s="1"/>
  <c r="EK453" i="1"/>
  <c r="DN453" i="1"/>
  <c r="DH453" i="1"/>
  <c r="DL453" i="1" s="1"/>
  <c r="DF453" i="1"/>
  <c r="DD453" i="1"/>
  <c r="CW453" i="1"/>
  <c r="CY453" i="1" s="1"/>
  <c r="CP453" i="1"/>
  <c r="CR453" i="1" s="1"/>
  <c r="BC453" i="1"/>
  <c r="BE453" i="1" s="1"/>
  <c r="AU453" i="1"/>
  <c r="AW453" i="1" s="1"/>
  <c r="AN453" i="1"/>
  <c r="AO453" i="1" s="1"/>
  <c r="EK452" i="1"/>
  <c r="DN452" i="1"/>
  <c r="DL452" i="1"/>
  <c r="DF452" i="1"/>
  <c r="DD452" i="1"/>
  <c r="CY452" i="1"/>
  <c r="CW452" i="1"/>
  <c r="CR452" i="1"/>
  <c r="CP452" i="1"/>
  <c r="BE452" i="1"/>
  <c r="BC452" i="1"/>
  <c r="AW452" i="1"/>
  <c r="AU452" i="1"/>
  <c r="AO452" i="1"/>
  <c r="AN452" i="1"/>
  <c r="EK451" i="1"/>
  <c r="DT451" i="1"/>
  <c r="DV451" i="1" s="1"/>
  <c r="DP451" i="1"/>
  <c r="DR451" i="1" s="1"/>
  <c r="DN451" i="1"/>
  <c r="DL451" i="1"/>
  <c r="DF451" i="1"/>
  <c r="DD451" i="1"/>
  <c r="CW451" i="1"/>
  <c r="CY451" i="1" s="1"/>
  <c r="CP451" i="1"/>
  <c r="CR451" i="1" s="1"/>
  <c r="BC451" i="1"/>
  <c r="BE451" i="1" s="1"/>
  <c r="AU451" i="1"/>
  <c r="AW451" i="1" s="1"/>
  <c r="AN451" i="1"/>
  <c r="AO451" i="1" s="1"/>
  <c r="EK450" i="1"/>
  <c r="DN450" i="1"/>
  <c r="DL450" i="1"/>
  <c r="DF450" i="1"/>
  <c r="DD450" i="1"/>
  <c r="CY450" i="1"/>
  <c r="CW450" i="1"/>
  <c r="CR450" i="1"/>
  <c r="CP450" i="1"/>
  <c r="BE450" i="1"/>
  <c r="BC450" i="1"/>
  <c r="AW450" i="1"/>
  <c r="AU450" i="1"/>
  <c r="AO450" i="1"/>
  <c r="AN450" i="1"/>
  <c r="EK449" i="1"/>
  <c r="DP449" i="1"/>
  <c r="DN449" i="1"/>
  <c r="DL449" i="1"/>
  <c r="DF449" i="1"/>
  <c r="DD449" i="1"/>
  <c r="CW449" i="1"/>
  <c r="CY449" i="1" s="1"/>
  <c r="CR449" i="1"/>
  <c r="CP449" i="1"/>
  <c r="BE449" i="1"/>
  <c r="BC449" i="1"/>
  <c r="AW449" i="1"/>
  <c r="AU449" i="1"/>
  <c r="AO449" i="1"/>
  <c r="AN449" i="1"/>
  <c r="EK448" i="1"/>
  <c r="DX448" i="1"/>
  <c r="DP448" i="1"/>
  <c r="DR448" i="1" s="1"/>
  <c r="DT448" i="1" s="1"/>
  <c r="DV448" i="1" s="1"/>
  <c r="DN448" i="1"/>
  <c r="DL448" i="1"/>
  <c r="DF448" i="1"/>
  <c r="DD448" i="1"/>
  <c r="CW448" i="1"/>
  <c r="CY448" i="1" s="1"/>
  <c r="CP448" i="1"/>
  <c r="CR448" i="1" s="1"/>
  <c r="BC448" i="1"/>
  <c r="BE448" i="1" s="1"/>
  <c r="AU448" i="1"/>
  <c r="AW448" i="1" s="1"/>
  <c r="AN448" i="1"/>
  <c r="AO448" i="1" s="1"/>
  <c r="EK447" i="1"/>
  <c r="DN447" i="1"/>
  <c r="DL447" i="1"/>
  <c r="DF447" i="1"/>
  <c r="DD447" i="1"/>
  <c r="CY447" i="1"/>
  <c r="CW447" i="1"/>
  <c r="CR447" i="1"/>
  <c r="CP447" i="1"/>
  <c r="BE447" i="1"/>
  <c r="BC447" i="1"/>
  <c r="AW447" i="1"/>
  <c r="AU447" i="1"/>
  <c r="AO447" i="1"/>
  <c r="AN447" i="1"/>
  <c r="EK446" i="1"/>
  <c r="DT446" i="1"/>
  <c r="DV446" i="1" s="1"/>
  <c r="DP446" i="1"/>
  <c r="DR446" i="1" s="1"/>
  <c r="DN446" i="1"/>
  <c r="DL446" i="1"/>
  <c r="DF446" i="1"/>
  <c r="DD446" i="1"/>
  <c r="CW446" i="1"/>
  <c r="CY446" i="1" s="1"/>
  <c r="CP446" i="1"/>
  <c r="CR446" i="1" s="1"/>
  <c r="BC446" i="1"/>
  <c r="BE446" i="1" s="1"/>
  <c r="AU446" i="1"/>
  <c r="AW446" i="1" s="1"/>
  <c r="AN446" i="1"/>
  <c r="AO446" i="1" s="1"/>
  <c r="EK445" i="1"/>
  <c r="DN445" i="1"/>
  <c r="DL445" i="1"/>
  <c r="DF445" i="1"/>
  <c r="DD445" i="1"/>
  <c r="CY445" i="1"/>
  <c r="CW445" i="1"/>
  <c r="CR445" i="1"/>
  <c r="CP445" i="1"/>
  <c r="BE445" i="1"/>
  <c r="BC445" i="1"/>
  <c r="AW445" i="1"/>
  <c r="AU445" i="1"/>
  <c r="AO445" i="1"/>
  <c r="AN445" i="1"/>
  <c r="EK444" i="1"/>
  <c r="DP444" i="1"/>
  <c r="DR444" i="1" s="1"/>
  <c r="DT444" i="1" s="1"/>
  <c r="DV444" i="1" s="1"/>
  <c r="DN444" i="1"/>
  <c r="DL444" i="1"/>
  <c r="DF444" i="1"/>
  <c r="DD444" i="1"/>
  <c r="CW444" i="1"/>
  <c r="CY444" i="1" s="1"/>
  <c r="CP444" i="1"/>
  <c r="CR444" i="1" s="1"/>
  <c r="BC444" i="1"/>
  <c r="BE444" i="1" s="1"/>
  <c r="AU444" i="1"/>
  <c r="AW444" i="1" s="1"/>
  <c r="AN444" i="1"/>
  <c r="AO444" i="1" s="1"/>
  <c r="EK443" i="1"/>
  <c r="DR443" i="1"/>
  <c r="DT443" i="1" s="1"/>
  <c r="DV443" i="1" s="1"/>
  <c r="DP443" i="1"/>
  <c r="DL443" i="1"/>
  <c r="DF443" i="1"/>
  <c r="DD443" i="1"/>
  <c r="CW443" i="1"/>
  <c r="CY443" i="1" s="1"/>
  <c r="CP443" i="1"/>
  <c r="CR443" i="1" s="1"/>
  <c r="BC443" i="1"/>
  <c r="BE443" i="1" s="1"/>
  <c r="AU443" i="1"/>
  <c r="AW443" i="1" s="1"/>
  <c r="AN443" i="1"/>
  <c r="AO443" i="1" s="1"/>
  <c r="EK442" i="1"/>
  <c r="DN442" i="1"/>
  <c r="DL442" i="1"/>
  <c r="DF442" i="1"/>
  <c r="DD442" i="1"/>
  <c r="CY442" i="1"/>
  <c r="CW442" i="1"/>
  <c r="CR442" i="1"/>
  <c r="CP442" i="1"/>
  <c r="BE442" i="1"/>
  <c r="BC442" i="1"/>
  <c r="AW442" i="1"/>
  <c r="AU442" i="1"/>
  <c r="AO442" i="1"/>
  <c r="AN442" i="1"/>
  <c r="EK441" i="1"/>
  <c r="DT441" i="1"/>
  <c r="DV441" i="1" s="1"/>
  <c r="DP441" i="1"/>
  <c r="DR441" i="1" s="1"/>
  <c r="DN441" i="1"/>
  <c r="DL441" i="1"/>
  <c r="DF441" i="1"/>
  <c r="DD441" i="1"/>
  <c r="CW441" i="1"/>
  <c r="CY441" i="1" s="1"/>
  <c r="CP441" i="1"/>
  <c r="CR441" i="1" s="1"/>
  <c r="BC441" i="1"/>
  <c r="BE441" i="1" s="1"/>
  <c r="AU441" i="1"/>
  <c r="AW441" i="1" s="1"/>
  <c r="AN441" i="1"/>
  <c r="AO441" i="1" s="1"/>
  <c r="EK440" i="1"/>
  <c r="DN440" i="1"/>
  <c r="DL440" i="1"/>
  <c r="DF440" i="1"/>
  <c r="DD440" i="1"/>
  <c r="CY440" i="1"/>
  <c r="CW440" i="1"/>
  <c r="CR440" i="1"/>
  <c r="CP440" i="1"/>
  <c r="BE440" i="1"/>
  <c r="BC440" i="1"/>
  <c r="AW440" i="1"/>
  <c r="AU440" i="1"/>
  <c r="AO440" i="1"/>
  <c r="AN440" i="1"/>
  <c r="EK439" i="1"/>
  <c r="DP439" i="1"/>
  <c r="DR439" i="1" s="1"/>
  <c r="DT439" i="1" s="1"/>
  <c r="DV439" i="1" s="1"/>
  <c r="DL439" i="1"/>
  <c r="DF439" i="1"/>
  <c r="DD439" i="1"/>
  <c r="CY439" i="1"/>
  <c r="CW439" i="1"/>
  <c r="CR439" i="1"/>
  <c r="CP439" i="1"/>
  <c r="BE439" i="1"/>
  <c r="BC439" i="1"/>
  <c r="AW439" i="1"/>
  <c r="AU439" i="1"/>
  <c r="AO439" i="1"/>
  <c r="AN439" i="1"/>
  <c r="EK438" i="1"/>
  <c r="DX438" i="1"/>
  <c r="DP438" i="1"/>
  <c r="DR438" i="1" s="1"/>
  <c r="DT438" i="1" s="1"/>
  <c r="DV438" i="1" s="1"/>
  <c r="DN438" i="1"/>
  <c r="DL438" i="1"/>
  <c r="DF438" i="1"/>
  <c r="DD438" i="1"/>
  <c r="CW438" i="1"/>
  <c r="CY438" i="1" s="1"/>
  <c r="CR438" i="1"/>
  <c r="BE438" i="1"/>
  <c r="BC438" i="1"/>
  <c r="AW438" i="1"/>
  <c r="AU438" i="1"/>
  <c r="AO438" i="1"/>
  <c r="AN438" i="1"/>
  <c r="EK437" i="1"/>
  <c r="DV437" i="1"/>
  <c r="DP437" i="1"/>
  <c r="DX437" i="1" s="1"/>
  <c r="DL437" i="1"/>
  <c r="DF437" i="1"/>
  <c r="DD437" i="1"/>
  <c r="CY437" i="1"/>
  <c r="CP437" i="1"/>
  <c r="CR437" i="1" s="1"/>
  <c r="BC437" i="1"/>
  <c r="BE437" i="1" s="1"/>
  <c r="AU437" i="1"/>
  <c r="AW437" i="1" s="1"/>
  <c r="AN437" i="1"/>
  <c r="AO437" i="1" s="1"/>
  <c r="EK436" i="1"/>
  <c r="DN436" i="1"/>
  <c r="DF436" i="1"/>
  <c r="DD436" i="1"/>
  <c r="CY436" i="1"/>
  <c r="CW436" i="1"/>
  <c r="CR436" i="1"/>
  <c r="CP436" i="1"/>
  <c r="BE436" i="1"/>
  <c r="BC436" i="1"/>
  <c r="AW436" i="1"/>
  <c r="EE436" i="1" s="1"/>
  <c r="AU436" i="1"/>
  <c r="AO436" i="1"/>
  <c r="EL436" i="1" s="1"/>
  <c r="EN436" i="1" s="1"/>
  <c r="AN436" i="1"/>
  <c r="EK435" i="1"/>
  <c r="DV435" i="1"/>
  <c r="DP435" i="1"/>
  <c r="DX435" i="1" s="1"/>
  <c r="DN435" i="1"/>
  <c r="DL435" i="1"/>
  <c r="DF435" i="1"/>
  <c r="DD435" i="1"/>
  <c r="CW435" i="1"/>
  <c r="CY435" i="1" s="1"/>
  <c r="CP435" i="1"/>
  <c r="CR435" i="1" s="1"/>
  <c r="BC435" i="1"/>
  <c r="BE435" i="1" s="1"/>
  <c r="AU435" i="1"/>
  <c r="AW435" i="1" s="1"/>
  <c r="AN435" i="1"/>
  <c r="AO435" i="1" s="1"/>
  <c r="EK434" i="1"/>
  <c r="EE434" i="1"/>
  <c r="EL434" i="1" s="1"/>
  <c r="EN434" i="1" s="1"/>
  <c r="DV434" i="1"/>
  <c r="DX434" i="1" s="1"/>
  <c r="DL434" i="1"/>
  <c r="DF434" i="1"/>
  <c r="DD434" i="1"/>
  <c r="CY434" i="1"/>
  <c r="CW434" i="1"/>
  <c r="CR434" i="1"/>
  <c r="CP434" i="1"/>
  <c r="BE434" i="1"/>
  <c r="BC434" i="1"/>
  <c r="AW434" i="1"/>
  <c r="AU434" i="1"/>
  <c r="AO434" i="1"/>
  <c r="AN434" i="1"/>
  <c r="EK433" i="1"/>
  <c r="DN433" i="1"/>
  <c r="DF433" i="1"/>
  <c r="DD433" i="1"/>
  <c r="CW433" i="1"/>
  <c r="CY433" i="1" s="1"/>
  <c r="CP433" i="1"/>
  <c r="CR433" i="1" s="1"/>
  <c r="BC433" i="1"/>
  <c r="BE433" i="1" s="1"/>
  <c r="AU433" i="1"/>
  <c r="AW433" i="1" s="1"/>
  <c r="AN433" i="1"/>
  <c r="AO433" i="1" s="1"/>
  <c r="EK432" i="1"/>
  <c r="DV432" i="1"/>
  <c r="DN432" i="1"/>
  <c r="DL432" i="1"/>
  <c r="DF432" i="1"/>
  <c r="DD432" i="1"/>
  <c r="CY432" i="1"/>
  <c r="CW432" i="1"/>
  <c r="CR432" i="1"/>
  <c r="BC432" i="1"/>
  <c r="BE432" i="1" s="1"/>
  <c r="AU432" i="1"/>
  <c r="AW432" i="1" s="1"/>
  <c r="AN432" i="1"/>
  <c r="AO432" i="1" s="1"/>
  <c r="EK431" i="1"/>
  <c r="DV431" i="1"/>
  <c r="DN431" i="1"/>
  <c r="DL431" i="1"/>
  <c r="DF431" i="1"/>
  <c r="DD431" i="1"/>
  <c r="CY431" i="1"/>
  <c r="CW431" i="1"/>
  <c r="CR431" i="1"/>
  <c r="BC431" i="1"/>
  <c r="BE431" i="1" s="1"/>
  <c r="AU431" i="1"/>
  <c r="AW431" i="1" s="1"/>
  <c r="AN431" i="1"/>
  <c r="AO431" i="1" s="1"/>
  <c r="EK430" i="1"/>
  <c r="DV430" i="1"/>
  <c r="DN430" i="1"/>
  <c r="DL430" i="1"/>
  <c r="DF430" i="1"/>
  <c r="DD430" i="1"/>
  <c r="CY430" i="1"/>
  <c r="CW430" i="1"/>
  <c r="CR430" i="1"/>
  <c r="CP430" i="1"/>
  <c r="BE430" i="1"/>
  <c r="BC430" i="1"/>
  <c r="AW430" i="1"/>
  <c r="AU430" i="1"/>
  <c r="AO430" i="1"/>
  <c r="AN430" i="1"/>
  <c r="EK429" i="1"/>
  <c r="DT429" i="1"/>
  <c r="DR429" i="1"/>
  <c r="DX429" i="1" s="1"/>
  <c r="DK429" i="1"/>
  <c r="DL429" i="1" s="1"/>
  <c r="DF429" i="1"/>
  <c r="DD429" i="1"/>
  <c r="CW429" i="1"/>
  <c r="CY429" i="1" s="1"/>
  <c r="CR429" i="1"/>
  <c r="BM429" i="1"/>
  <c r="BK429" i="1"/>
  <c r="BE429" i="1"/>
  <c r="BC429" i="1"/>
  <c r="AW429" i="1"/>
  <c r="AU429" i="1"/>
  <c r="AO429" i="1"/>
  <c r="AN429" i="1"/>
  <c r="EK428" i="1"/>
  <c r="DV428" i="1"/>
  <c r="DP428" i="1"/>
  <c r="DX428" i="1" s="1"/>
  <c r="DL428" i="1"/>
  <c r="DF428" i="1"/>
  <c r="DD428" i="1"/>
  <c r="CY428" i="1"/>
  <c r="CW428" i="1"/>
  <c r="CR428" i="1"/>
  <c r="CP428" i="1"/>
  <c r="BM428" i="1"/>
  <c r="BK428" i="1"/>
  <c r="BE428" i="1"/>
  <c r="BC428" i="1"/>
  <c r="AW428" i="1"/>
  <c r="AU428" i="1"/>
  <c r="AO428" i="1"/>
  <c r="AN428" i="1"/>
  <c r="EK427" i="1"/>
  <c r="DT427" i="1"/>
  <c r="DV427" i="1" s="1"/>
  <c r="DP427" i="1"/>
  <c r="DR427" i="1" s="1"/>
  <c r="DN427" i="1"/>
  <c r="DL427" i="1"/>
  <c r="DF427" i="1"/>
  <c r="DD427" i="1"/>
  <c r="CW427" i="1"/>
  <c r="CY427" i="1" s="1"/>
  <c r="CP427" i="1"/>
  <c r="CR427" i="1" s="1"/>
  <c r="BK427" i="1"/>
  <c r="BM427" i="1" s="1"/>
  <c r="BC427" i="1"/>
  <c r="BE427" i="1" s="1"/>
  <c r="AU427" i="1"/>
  <c r="AW427" i="1" s="1"/>
  <c r="AN427" i="1"/>
  <c r="AO427" i="1" s="1"/>
  <c r="EK426" i="1"/>
  <c r="DV426" i="1"/>
  <c r="DP426" i="1"/>
  <c r="DR426" i="1" s="1"/>
  <c r="DN426" i="1"/>
  <c r="DL426" i="1"/>
  <c r="DF426" i="1"/>
  <c r="DD426" i="1"/>
  <c r="CW426" i="1"/>
  <c r="CY426" i="1" s="1"/>
  <c r="CP426" i="1"/>
  <c r="CR426" i="1" s="1"/>
  <c r="BK426" i="1"/>
  <c r="BM426" i="1" s="1"/>
  <c r="BC426" i="1"/>
  <c r="BE426" i="1" s="1"/>
  <c r="AU426" i="1"/>
  <c r="AW426" i="1" s="1"/>
  <c r="AN426" i="1"/>
  <c r="AO426" i="1" s="1"/>
  <c r="EK425" i="1"/>
  <c r="DN425" i="1"/>
  <c r="DL425" i="1"/>
  <c r="DF425" i="1"/>
  <c r="DD425" i="1"/>
  <c r="CY425" i="1"/>
  <c r="CW425" i="1"/>
  <c r="CR425" i="1"/>
  <c r="CP425" i="1"/>
  <c r="BM425" i="1"/>
  <c r="BK425" i="1"/>
  <c r="BE425" i="1"/>
  <c r="BC425" i="1"/>
  <c r="AW425" i="1"/>
  <c r="AU425" i="1"/>
  <c r="AO425" i="1"/>
  <c r="AN425" i="1"/>
  <c r="EK424" i="1"/>
  <c r="DP424" i="1"/>
  <c r="DN424" i="1"/>
  <c r="DL424" i="1"/>
  <c r="DF424" i="1"/>
  <c r="DD424" i="1"/>
  <c r="CW424" i="1"/>
  <c r="CY424" i="1" s="1"/>
  <c r="CP424" i="1"/>
  <c r="CR424" i="1" s="1"/>
  <c r="BK424" i="1"/>
  <c r="BM424" i="1" s="1"/>
  <c r="BC424" i="1"/>
  <c r="BE424" i="1" s="1"/>
  <c r="AU424" i="1"/>
  <c r="AW424" i="1" s="1"/>
  <c r="AN424" i="1"/>
  <c r="AO424" i="1" s="1"/>
  <c r="EK423" i="1"/>
  <c r="DT423" i="1"/>
  <c r="DV423" i="1" s="1"/>
  <c r="DP423" i="1"/>
  <c r="DR423" i="1" s="1"/>
  <c r="DL423" i="1"/>
  <c r="DF423" i="1"/>
  <c r="DD423" i="1"/>
  <c r="CY423" i="1"/>
  <c r="CW423" i="1"/>
  <c r="CR423" i="1"/>
  <c r="CP423" i="1"/>
  <c r="BM423" i="1"/>
  <c r="BK423" i="1"/>
  <c r="BC423" i="1"/>
  <c r="BE423" i="1" s="1"/>
  <c r="AU423" i="1"/>
  <c r="AW423" i="1" s="1"/>
  <c r="AN423" i="1"/>
  <c r="AO423" i="1" s="1"/>
  <c r="EK422" i="1"/>
  <c r="DT422" i="1"/>
  <c r="DV422" i="1" s="1"/>
  <c r="DP422" i="1"/>
  <c r="DR422" i="1" s="1"/>
  <c r="DL422" i="1"/>
  <c r="DF422" i="1"/>
  <c r="DD422" i="1"/>
  <c r="CY422" i="1"/>
  <c r="CW422" i="1"/>
  <c r="CR422" i="1"/>
  <c r="CP422" i="1"/>
  <c r="BM422" i="1"/>
  <c r="BK422" i="1"/>
  <c r="BC422" i="1"/>
  <c r="BE422" i="1" s="1"/>
  <c r="AW422" i="1"/>
  <c r="AU422" i="1"/>
  <c r="AN422" i="1"/>
  <c r="AO422" i="1" s="1"/>
  <c r="EK421" i="1"/>
  <c r="DT421" i="1"/>
  <c r="DV421" i="1" s="1"/>
  <c r="DP421" i="1"/>
  <c r="DR421" i="1" s="1"/>
  <c r="DL421" i="1"/>
  <c r="DF421" i="1"/>
  <c r="DD421" i="1"/>
  <c r="CY421" i="1"/>
  <c r="CW421" i="1"/>
  <c r="CR421" i="1"/>
  <c r="CP421" i="1"/>
  <c r="BM421" i="1"/>
  <c r="BK421" i="1"/>
  <c r="BE421" i="1"/>
  <c r="BC421" i="1"/>
  <c r="AU421" i="1"/>
  <c r="AW421" i="1" s="1"/>
  <c r="AN421" i="1"/>
  <c r="AO421" i="1" s="1"/>
  <c r="EK420" i="1"/>
  <c r="DT420" i="1"/>
  <c r="DV420" i="1" s="1"/>
  <c r="DP420" i="1"/>
  <c r="DR420" i="1" s="1"/>
  <c r="DN420" i="1"/>
  <c r="DL420" i="1"/>
  <c r="DF420" i="1"/>
  <c r="DD420" i="1"/>
  <c r="CW420" i="1"/>
  <c r="CY420" i="1" s="1"/>
  <c r="CP420" i="1"/>
  <c r="CR420" i="1" s="1"/>
  <c r="BK420" i="1"/>
  <c r="BM420" i="1" s="1"/>
  <c r="BC420" i="1"/>
  <c r="BE420" i="1" s="1"/>
  <c r="AU420" i="1"/>
  <c r="AW420" i="1" s="1"/>
  <c r="AN420" i="1"/>
  <c r="AO420" i="1" s="1"/>
  <c r="EK419" i="1"/>
  <c r="DR419" i="1"/>
  <c r="DP419" i="1"/>
  <c r="DL419" i="1"/>
  <c r="DF419" i="1"/>
  <c r="DD419" i="1"/>
  <c r="CW419" i="1"/>
  <c r="CY419" i="1" s="1"/>
  <c r="CP419" i="1"/>
  <c r="CR419" i="1" s="1"/>
  <c r="BK419" i="1"/>
  <c r="BM419" i="1" s="1"/>
  <c r="BC419" i="1"/>
  <c r="BE419" i="1" s="1"/>
  <c r="AU419" i="1"/>
  <c r="AW419" i="1" s="1"/>
  <c r="AN419" i="1"/>
  <c r="AO419" i="1" s="1"/>
  <c r="EK418" i="1"/>
  <c r="DN418" i="1"/>
  <c r="DL418" i="1"/>
  <c r="DF418" i="1"/>
  <c r="DD418" i="1"/>
  <c r="CY418" i="1"/>
  <c r="CW418" i="1"/>
  <c r="CR418" i="1"/>
  <c r="CP418" i="1"/>
  <c r="BM418" i="1"/>
  <c r="BK418" i="1"/>
  <c r="BE418" i="1"/>
  <c r="BC418" i="1"/>
  <c r="AW418" i="1"/>
  <c r="AU418" i="1"/>
  <c r="AN418" i="1"/>
  <c r="AO418" i="1" s="1"/>
  <c r="EK417" i="1"/>
  <c r="DP417" i="1"/>
  <c r="DL417" i="1"/>
  <c r="DF417" i="1"/>
  <c r="DD417" i="1"/>
  <c r="CY417" i="1"/>
  <c r="CW417" i="1"/>
  <c r="CR417" i="1"/>
  <c r="CP417" i="1"/>
  <c r="BM417" i="1"/>
  <c r="BK417" i="1"/>
  <c r="BE417" i="1"/>
  <c r="BC417" i="1"/>
  <c r="AW417" i="1"/>
  <c r="AU417" i="1"/>
  <c r="AO417" i="1"/>
  <c r="AN417" i="1"/>
  <c r="EK416" i="1"/>
  <c r="DV416" i="1"/>
  <c r="DP416" i="1"/>
  <c r="DX416" i="1" s="1"/>
  <c r="DL416" i="1"/>
  <c r="DF416" i="1"/>
  <c r="DD416" i="1"/>
  <c r="CY416" i="1"/>
  <c r="CW416" i="1"/>
  <c r="CR416" i="1"/>
  <c r="CP416" i="1"/>
  <c r="BM416" i="1"/>
  <c r="BK416" i="1"/>
  <c r="BE416" i="1"/>
  <c r="BC416" i="1"/>
  <c r="AW416" i="1"/>
  <c r="AU416" i="1"/>
  <c r="AO416" i="1"/>
  <c r="AN416" i="1"/>
  <c r="EK415" i="1"/>
  <c r="DP415" i="1"/>
  <c r="DL415" i="1"/>
  <c r="DF415" i="1"/>
  <c r="DD415" i="1"/>
  <c r="CW415" i="1"/>
  <c r="CY415" i="1" s="1"/>
  <c r="CP415" i="1"/>
  <c r="CR415" i="1" s="1"/>
  <c r="BM415" i="1"/>
  <c r="BK415" i="1"/>
  <c r="BC415" i="1"/>
  <c r="BE415" i="1" s="1"/>
  <c r="AU415" i="1"/>
  <c r="AW415" i="1" s="1"/>
  <c r="AN415" i="1"/>
  <c r="AO415" i="1" s="1"/>
  <c r="EK414" i="1"/>
  <c r="DP414" i="1"/>
  <c r="DN414" i="1"/>
  <c r="DL414" i="1"/>
  <c r="DF414" i="1"/>
  <c r="DD414" i="1"/>
  <c r="CW414" i="1"/>
  <c r="CY414" i="1" s="1"/>
  <c r="CP414" i="1"/>
  <c r="CR414" i="1" s="1"/>
  <c r="BK414" i="1"/>
  <c r="BM414" i="1" s="1"/>
  <c r="BC414" i="1"/>
  <c r="BE414" i="1" s="1"/>
  <c r="AU414" i="1"/>
  <c r="AW414" i="1" s="1"/>
  <c r="AN414" i="1"/>
  <c r="AO414" i="1" s="1"/>
  <c r="EK413" i="1"/>
  <c r="DR413" i="1"/>
  <c r="CP413" i="1"/>
  <c r="CR413" i="1" s="1"/>
  <c r="BK413" i="1"/>
  <c r="BM413" i="1" s="1"/>
  <c r="BC413" i="1"/>
  <c r="BE413" i="1" s="1"/>
  <c r="AU413" i="1"/>
  <c r="AW413" i="1" s="1"/>
  <c r="AN413" i="1"/>
  <c r="AO413" i="1" s="1"/>
  <c r="EK412" i="1"/>
  <c r="DN412" i="1"/>
  <c r="DL412" i="1"/>
  <c r="DF412" i="1"/>
  <c r="DD412" i="1"/>
  <c r="CW412" i="1"/>
  <c r="CY412" i="1" s="1"/>
  <c r="CR412" i="1"/>
  <c r="CP412" i="1"/>
  <c r="BM412" i="1"/>
  <c r="BK412" i="1"/>
  <c r="BC412" i="1"/>
  <c r="BE412" i="1" s="1"/>
  <c r="AW412" i="1"/>
  <c r="AU412" i="1"/>
  <c r="AN412" i="1"/>
  <c r="AO412" i="1" s="1"/>
  <c r="EK411" i="1"/>
  <c r="DN411" i="1"/>
  <c r="DP411" i="1" s="1"/>
  <c r="DK411" i="1"/>
  <c r="DL411" i="1" s="1"/>
  <c r="DF411" i="1"/>
  <c r="CW411" i="1"/>
  <c r="CY411" i="1" s="1"/>
  <c r="CR411" i="1"/>
  <c r="CP411" i="1"/>
  <c r="CK411" i="1"/>
  <c r="CI411" i="1"/>
  <c r="CC411" i="1"/>
  <c r="CA411" i="1"/>
  <c r="BU411" i="1"/>
  <c r="BS411" i="1"/>
  <c r="BM411" i="1"/>
  <c r="BK411" i="1"/>
  <c r="BE411" i="1"/>
  <c r="BC411" i="1"/>
  <c r="AU411" i="1"/>
  <c r="AW411" i="1" s="1"/>
  <c r="AN411" i="1"/>
  <c r="AO411" i="1" s="1"/>
  <c r="EK410" i="1"/>
  <c r="DT410" i="1"/>
  <c r="DV410" i="1" s="1"/>
  <c r="DP410" i="1"/>
  <c r="DR410" i="1" s="1"/>
  <c r="DL410" i="1"/>
  <c r="DF410" i="1"/>
  <c r="DD410" i="1"/>
  <c r="CW410" i="1"/>
  <c r="CY410" i="1" s="1"/>
  <c r="CR410" i="1"/>
  <c r="CP410" i="1"/>
  <c r="BM410" i="1"/>
  <c r="BC410" i="1"/>
  <c r="BE410" i="1" s="1"/>
  <c r="AU410" i="1"/>
  <c r="AW410" i="1" s="1"/>
  <c r="AN410" i="1"/>
  <c r="AO410" i="1" s="1"/>
  <c r="EK409" i="1"/>
  <c r="DN409" i="1"/>
  <c r="DH409" i="1"/>
  <c r="DL409" i="1" s="1"/>
  <c r="DF409" i="1"/>
  <c r="DD409" i="1"/>
  <c r="CW409" i="1"/>
  <c r="CY409" i="1" s="1"/>
  <c r="CP409" i="1"/>
  <c r="CR409" i="1" s="1"/>
  <c r="BK409" i="1"/>
  <c r="BM409" i="1" s="1"/>
  <c r="BC409" i="1"/>
  <c r="BE409" i="1" s="1"/>
  <c r="AU409" i="1"/>
  <c r="AW409" i="1" s="1"/>
  <c r="AN409" i="1"/>
  <c r="AO409" i="1" s="1"/>
  <c r="EK408" i="1"/>
  <c r="DR408" i="1"/>
  <c r="DP408" i="1"/>
  <c r="DL408" i="1"/>
  <c r="DF408" i="1"/>
  <c r="DD408" i="1"/>
  <c r="CW408" i="1"/>
  <c r="CY408" i="1" s="1"/>
  <c r="CP408" i="1"/>
  <c r="CR408" i="1" s="1"/>
  <c r="BM408" i="1"/>
  <c r="BE408" i="1"/>
  <c r="BC408" i="1"/>
  <c r="AW408" i="1"/>
  <c r="AU408" i="1"/>
  <c r="AN408" i="1"/>
  <c r="AO408" i="1" s="1"/>
  <c r="EK407" i="1"/>
  <c r="DP407" i="1"/>
  <c r="DL407" i="1"/>
  <c r="DF407" i="1"/>
  <c r="DD407" i="1"/>
  <c r="CW407" i="1"/>
  <c r="CY407" i="1" s="1"/>
  <c r="CR407" i="1"/>
  <c r="CP407" i="1"/>
  <c r="BM407" i="1"/>
  <c r="BC407" i="1"/>
  <c r="BE407" i="1" s="1"/>
  <c r="AU407" i="1"/>
  <c r="AW407" i="1" s="1"/>
  <c r="AN407" i="1"/>
  <c r="AO407" i="1" s="1"/>
  <c r="EK406" i="1"/>
  <c r="DN406" i="1"/>
  <c r="DL406" i="1"/>
  <c r="DF406" i="1"/>
  <c r="DD406" i="1"/>
  <c r="CY406" i="1"/>
  <c r="CW406" i="1"/>
  <c r="CP406" i="1"/>
  <c r="CR406" i="1" s="1"/>
  <c r="BM406" i="1"/>
  <c r="BC406" i="1"/>
  <c r="BE406" i="1" s="1"/>
  <c r="AU406" i="1"/>
  <c r="AW406" i="1" s="1"/>
  <c r="AN406" i="1"/>
  <c r="AO406" i="1" s="1"/>
  <c r="EK405" i="1"/>
  <c r="DN405" i="1"/>
  <c r="DL405" i="1"/>
  <c r="DF405" i="1"/>
  <c r="DD405" i="1"/>
  <c r="CY405" i="1"/>
  <c r="CW405" i="1"/>
  <c r="CR405" i="1"/>
  <c r="CP405" i="1"/>
  <c r="BM405" i="1"/>
  <c r="BC405" i="1"/>
  <c r="BE405" i="1" s="1"/>
  <c r="AU405" i="1"/>
  <c r="AW405" i="1" s="1"/>
  <c r="AN405" i="1"/>
  <c r="AO405" i="1" s="1"/>
  <c r="EK404" i="1"/>
  <c r="DN404" i="1"/>
  <c r="DL404" i="1"/>
  <c r="DF404" i="1"/>
  <c r="DD404" i="1"/>
  <c r="CW404" i="1"/>
  <c r="CY404" i="1" s="1"/>
  <c r="CP404" i="1"/>
  <c r="CR404" i="1" s="1"/>
  <c r="BM404" i="1"/>
  <c r="BC404" i="1"/>
  <c r="BE404" i="1" s="1"/>
  <c r="AU404" i="1"/>
  <c r="AW404" i="1" s="1"/>
  <c r="AN404" i="1"/>
  <c r="AO404" i="1" s="1"/>
  <c r="EK403" i="1"/>
  <c r="DR403" i="1"/>
  <c r="DP403" i="1"/>
  <c r="DL403" i="1"/>
  <c r="DF403" i="1"/>
  <c r="CW403" i="1"/>
  <c r="CY403" i="1" s="1"/>
  <c r="CR403" i="1"/>
  <c r="CP403" i="1"/>
  <c r="BM403" i="1"/>
  <c r="BC403" i="1"/>
  <c r="BE403" i="1" s="1"/>
  <c r="AU403" i="1"/>
  <c r="AW403" i="1" s="1"/>
  <c r="AN403" i="1"/>
  <c r="AO403" i="1" s="1"/>
  <c r="EK402" i="1"/>
  <c r="DN402" i="1"/>
  <c r="DL402" i="1"/>
  <c r="DF402" i="1"/>
  <c r="DD402" i="1"/>
  <c r="CY402" i="1"/>
  <c r="CW402" i="1"/>
  <c r="CP402" i="1"/>
  <c r="CR402" i="1" s="1"/>
  <c r="BM402" i="1"/>
  <c r="BC402" i="1"/>
  <c r="BE402" i="1" s="1"/>
  <c r="AU402" i="1"/>
  <c r="AW402" i="1" s="1"/>
  <c r="AN402" i="1"/>
  <c r="AO402" i="1" s="1"/>
  <c r="EK401" i="1"/>
  <c r="DN401" i="1"/>
  <c r="DL401" i="1"/>
  <c r="DF401" i="1"/>
  <c r="DD401" i="1"/>
  <c r="CY401" i="1"/>
  <c r="CW401" i="1"/>
  <c r="CR401" i="1"/>
  <c r="CP401" i="1"/>
  <c r="BM401" i="1"/>
  <c r="BC401" i="1"/>
  <c r="BE401" i="1" s="1"/>
  <c r="AU401" i="1"/>
  <c r="AW401" i="1" s="1"/>
  <c r="AN401" i="1"/>
  <c r="AO401" i="1" s="1"/>
  <c r="EK400" i="1"/>
  <c r="DT400" i="1"/>
  <c r="DV400" i="1" s="1"/>
  <c r="DP400" i="1"/>
  <c r="DR400" i="1" s="1"/>
  <c r="DN400" i="1"/>
  <c r="DL400" i="1"/>
  <c r="DF400" i="1"/>
  <c r="DD400" i="1"/>
  <c r="CW400" i="1"/>
  <c r="CY400" i="1" s="1"/>
  <c r="CP400" i="1"/>
  <c r="CR400" i="1" s="1"/>
  <c r="BM400" i="1"/>
  <c r="BC400" i="1"/>
  <c r="BE400" i="1" s="1"/>
  <c r="AU400" i="1"/>
  <c r="AW400" i="1" s="1"/>
  <c r="AN400" i="1"/>
  <c r="AO400" i="1" s="1"/>
  <c r="EK399" i="1"/>
  <c r="DR399" i="1"/>
  <c r="DP399" i="1"/>
  <c r="DL399" i="1"/>
  <c r="DF399" i="1"/>
  <c r="DD399" i="1"/>
  <c r="CW399" i="1"/>
  <c r="CY399" i="1" s="1"/>
  <c r="CP399" i="1"/>
  <c r="CR399" i="1" s="1"/>
  <c r="BM399" i="1"/>
  <c r="BC399" i="1"/>
  <c r="BE399" i="1" s="1"/>
  <c r="AW399" i="1"/>
  <c r="AU399" i="1"/>
  <c r="AN399" i="1"/>
  <c r="AO399" i="1" s="1"/>
  <c r="EK398" i="1"/>
  <c r="DT398" i="1"/>
  <c r="DV398" i="1" s="1"/>
  <c r="DP398" i="1"/>
  <c r="DR398" i="1" s="1"/>
  <c r="DL398" i="1"/>
  <c r="DF398" i="1"/>
  <c r="DD398" i="1"/>
  <c r="CY398" i="1"/>
  <c r="CW398" i="1"/>
  <c r="CR398" i="1"/>
  <c r="CP398" i="1"/>
  <c r="BM398" i="1"/>
  <c r="BC398" i="1"/>
  <c r="BE398" i="1" s="1"/>
  <c r="AU398" i="1"/>
  <c r="AW398" i="1" s="1"/>
  <c r="AN398" i="1"/>
  <c r="AO398" i="1" s="1"/>
  <c r="EK397" i="1"/>
  <c r="DR397" i="1"/>
  <c r="DP397" i="1"/>
  <c r="DL397" i="1"/>
  <c r="DF397" i="1"/>
  <c r="DD397" i="1"/>
  <c r="CW397" i="1"/>
  <c r="CY397" i="1" s="1"/>
  <c r="CP397" i="1"/>
  <c r="CR397" i="1" s="1"/>
  <c r="BM397" i="1"/>
  <c r="BE397" i="1"/>
  <c r="BC397" i="1"/>
  <c r="AW397" i="1"/>
  <c r="AU397" i="1"/>
  <c r="AO397" i="1"/>
  <c r="AN397" i="1"/>
  <c r="EK396" i="1"/>
  <c r="DT396" i="1"/>
  <c r="DV396" i="1" s="1"/>
  <c r="DP396" i="1"/>
  <c r="DR396" i="1" s="1"/>
  <c r="DN396" i="1"/>
  <c r="DL396" i="1"/>
  <c r="DH396" i="1"/>
  <c r="DF396" i="1"/>
  <c r="DD396" i="1"/>
  <c r="CW396" i="1"/>
  <c r="CY396" i="1" s="1"/>
  <c r="CR396" i="1"/>
  <c r="CP396" i="1"/>
  <c r="BM396" i="1"/>
  <c r="BC396" i="1"/>
  <c r="BE396" i="1" s="1"/>
  <c r="AU396" i="1"/>
  <c r="AW396" i="1" s="1"/>
  <c r="AN396" i="1"/>
  <c r="AO396" i="1" s="1"/>
  <c r="DN395" i="1"/>
  <c r="CY395" i="1"/>
  <c r="BM395" i="1"/>
  <c r="EE395" i="1" s="1"/>
  <c r="AN395" i="1"/>
  <c r="AO395" i="1" s="1"/>
  <c r="DN394" i="1"/>
  <c r="CW394" i="1"/>
  <c r="CY394" i="1" s="1"/>
  <c r="CR394" i="1"/>
  <c r="BM394" i="1"/>
  <c r="BC394" i="1"/>
  <c r="BE394" i="1" s="1"/>
  <c r="AN394" i="1"/>
  <c r="AO394" i="1" s="1"/>
  <c r="EK393" i="1"/>
  <c r="DN393" i="1"/>
  <c r="CY393" i="1"/>
  <c r="CW393" i="1"/>
  <c r="CR393" i="1"/>
  <c r="BM393" i="1"/>
  <c r="BE393" i="1"/>
  <c r="BC393" i="1"/>
  <c r="AW393" i="1"/>
  <c r="EE393" i="1" s="1"/>
  <c r="AU393" i="1"/>
  <c r="AO393" i="1"/>
  <c r="EL393" i="1" s="1"/>
  <c r="EN393" i="1" s="1"/>
  <c r="AN393" i="1"/>
  <c r="EK392" i="1"/>
  <c r="DN392" i="1"/>
  <c r="CW392" i="1"/>
  <c r="CY392" i="1" s="1"/>
  <c r="CP392" i="1"/>
  <c r="CR392" i="1" s="1"/>
  <c r="BM392" i="1"/>
  <c r="BE392" i="1"/>
  <c r="BC392" i="1"/>
  <c r="AW392" i="1"/>
  <c r="AU392" i="1"/>
  <c r="AO392" i="1"/>
  <c r="AN392" i="1"/>
  <c r="EK391" i="1"/>
  <c r="DN391" i="1"/>
  <c r="CW391" i="1"/>
  <c r="CY391" i="1" s="1"/>
  <c r="CR391" i="1"/>
  <c r="BM391" i="1"/>
  <c r="BC391" i="1"/>
  <c r="BE391" i="1" s="1"/>
  <c r="AU391" i="1"/>
  <c r="AW391" i="1" s="1"/>
  <c r="EE391" i="1" s="1"/>
  <c r="AN391" i="1"/>
  <c r="AO391" i="1" s="1"/>
  <c r="EK390" i="1"/>
  <c r="DN390" i="1"/>
  <c r="CY390" i="1"/>
  <c r="CW390" i="1"/>
  <c r="CR390" i="1"/>
  <c r="BM390" i="1"/>
  <c r="BE390" i="1"/>
  <c r="BC390" i="1"/>
  <c r="AW390" i="1"/>
  <c r="EE390" i="1" s="1"/>
  <c r="AU390" i="1"/>
  <c r="AO390" i="1"/>
  <c r="EL390" i="1" s="1"/>
  <c r="EN390" i="1" s="1"/>
  <c r="AN390" i="1"/>
  <c r="EK389" i="1"/>
  <c r="DN389" i="1"/>
  <c r="CW389" i="1"/>
  <c r="CY389" i="1" s="1"/>
  <c r="CR389" i="1"/>
  <c r="BM389" i="1"/>
  <c r="BC389" i="1"/>
  <c r="BE389" i="1" s="1"/>
  <c r="AU389" i="1"/>
  <c r="AW389" i="1" s="1"/>
  <c r="AN389" i="1"/>
  <c r="AO389" i="1" s="1"/>
  <c r="EK388" i="1"/>
  <c r="DN388" i="1"/>
  <c r="CY388" i="1"/>
  <c r="CW388" i="1"/>
  <c r="CR388" i="1"/>
  <c r="CP388" i="1"/>
  <c r="BM388" i="1"/>
  <c r="BC388" i="1"/>
  <c r="BE388" i="1" s="1"/>
  <c r="AU388" i="1"/>
  <c r="AW388" i="1" s="1"/>
  <c r="AN388" i="1"/>
  <c r="AO388" i="1" s="1"/>
  <c r="EK387" i="1"/>
  <c r="DN387" i="1"/>
  <c r="CY387" i="1"/>
  <c r="CW387" i="1"/>
  <c r="CR387" i="1"/>
  <c r="CP387" i="1"/>
  <c r="BM387" i="1"/>
  <c r="BC387" i="1"/>
  <c r="BE387" i="1" s="1"/>
  <c r="AU387" i="1"/>
  <c r="AW387" i="1" s="1"/>
  <c r="AN387" i="1"/>
  <c r="AO387" i="1" s="1"/>
  <c r="EK386" i="1"/>
  <c r="DN386" i="1"/>
  <c r="CY386" i="1"/>
  <c r="CW386" i="1"/>
  <c r="CR386" i="1"/>
  <c r="CP386" i="1"/>
  <c r="BM386" i="1"/>
  <c r="BC386" i="1"/>
  <c r="BE386" i="1" s="1"/>
  <c r="AU386" i="1"/>
  <c r="AW386" i="1" s="1"/>
  <c r="AN386" i="1"/>
  <c r="AO386" i="1" s="1"/>
  <c r="EK385" i="1"/>
  <c r="DN385" i="1"/>
  <c r="DX385" i="1" s="1"/>
  <c r="CW385" i="1"/>
  <c r="CY385" i="1" s="1"/>
  <c r="CP385" i="1"/>
  <c r="CR385" i="1" s="1"/>
  <c r="BM385" i="1"/>
  <c r="BE385" i="1"/>
  <c r="BC385" i="1"/>
  <c r="AW385" i="1"/>
  <c r="EE385" i="1" s="1"/>
  <c r="AU385" i="1"/>
  <c r="AO385" i="1"/>
  <c r="EL385" i="1" s="1"/>
  <c r="EN385" i="1" s="1"/>
  <c r="AN385" i="1"/>
  <c r="EK384" i="1"/>
  <c r="DX384" i="1"/>
  <c r="DN384" i="1"/>
  <c r="CY384" i="1"/>
  <c r="CW384" i="1"/>
  <c r="CR384" i="1"/>
  <c r="CP384" i="1"/>
  <c r="BM384" i="1"/>
  <c r="BC384" i="1"/>
  <c r="BE384" i="1" s="1"/>
  <c r="AU384" i="1"/>
  <c r="AW384" i="1" s="1"/>
  <c r="EE384" i="1" s="1"/>
  <c r="AN384" i="1"/>
  <c r="AO384" i="1" s="1"/>
  <c r="EK383" i="1"/>
  <c r="DN383" i="1"/>
  <c r="DX383" i="1" s="1"/>
  <c r="CW383" i="1"/>
  <c r="CY383" i="1" s="1"/>
  <c r="CP383" i="1"/>
  <c r="CR383" i="1" s="1"/>
  <c r="CK383" i="1"/>
  <c r="CC383" i="1"/>
  <c r="BU383" i="1"/>
  <c r="BM383" i="1"/>
  <c r="BC383" i="1"/>
  <c r="BE383" i="1" s="1"/>
  <c r="EE383" i="1" s="1"/>
  <c r="AU383" i="1"/>
  <c r="AW383" i="1" s="1"/>
  <c r="AN383" i="1"/>
  <c r="AO383" i="1" s="1"/>
  <c r="EL383" i="1" s="1"/>
  <c r="EN383" i="1" s="1"/>
  <c r="EK382" i="1"/>
  <c r="DN382" i="1"/>
  <c r="DX382" i="1" s="1"/>
  <c r="CW382" i="1"/>
  <c r="CY382" i="1" s="1"/>
  <c r="CP382" i="1"/>
  <c r="CR382" i="1" s="1"/>
  <c r="CK382" i="1"/>
  <c r="CC382" i="1"/>
  <c r="BU382" i="1"/>
  <c r="BM382" i="1"/>
  <c r="BC382" i="1"/>
  <c r="BE382" i="1" s="1"/>
  <c r="AU382" i="1"/>
  <c r="AW382" i="1" s="1"/>
  <c r="EE382" i="1" s="1"/>
  <c r="AN382" i="1"/>
  <c r="AO382" i="1" s="1"/>
  <c r="EK381" i="1"/>
  <c r="DN381" i="1"/>
  <c r="DX381" i="1" s="1"/>
  <c r="CW381" i="1"/>
  <c r="CY381" i="1" s="1"/>
  <c r="CP381" i="1"/>
  <c r="CR381" i="1" s="1"/>
  <c r="CI381" i="1"/>
  <c r="CK381" i="1" s="1"/>
  <c r="CA381" i="1"/>
  <c r="CC381" i="1" s="1"/>
  <c r="BS381" i="1"/>
  <c r="BU381" i="1" s="1"/>
  <c r="BK381" i="1"/>
  <c r="BM381" i="1" s="1"/>
  <c r="BC381" i="1"/>
  <c r="BE381" i="1" s="1"/>
  <c r="EE381" i="1" s="1"/>
  <c r="AU381" i="1"/>
  <c r="AW381" i="1" s="1"/>
  <c r="AN381" i="1"/>
  <c r="AO381" i="1" s="1"/>
  <c r="EL381" i="1" s="1"/>
  <c r="EN381" i="1" s="1"/>
  <c r="EK380" i="1"/>
  <c r="DN380" i="1"/>
  <c r="DX380" i="1" s="1"/>
  <c r="CW380" i="1"/>
  <c r="CY380" i="1" s="1"/>
  <c r="CP380" i="1"/>
  <c r="CR380" i="1" s="1"/>
  <c r="CI380" i="1"/>
  <c r="CK380" i="1" s="1"/>
  <c r="CA380" i="1"/>
  <c r="CC380" i="1" s="1"/>
  <c r="BS380" i="1"/>
  <c r="BU380" i="1" s="1"/>
  <c r="BK380" i="1"/>
  <c r="BM380" i="1" s="1"/>
  <c r="BC380" i="1"/>
  <c r="BE380" i="1" s="1"/>
  <c r="AU380" i="1"/>
  <c r="AW380" i="1" s="1"/>
  <c r="EE380" i="1" s="1"/>
  <c r="AN380" i="1"/>
  <c r="AO380" i="1" s="1"/>
  <c r="EK379" i="1"/>
  <c r="DN379" i="1"/>
  <c r="DX379" i="1" s="1"/>
  <c r="CW379" i="1"/>
  <c r="CY379" i="1" s="1"/>
  <c r="CP379" i="1"/>
  <c r="CR379" i="1" s="1"/>
  <c r="CI379" i="1"/>
  <c r="CK379" i="1" s="1"/>
  <c r="CA379" i="1"/>
  <c r="CC379" i="1" s="1"/>
  <c r="BS379" i="1"/>
  <c r="BU379" i="1" s="1"/>
  <c r="BK379" i="1"/>
  <c r="BM379" i="1" s="1"/>
  <c r="BC379" i="1"/>
  <c r="BE379" i="1" s="1"/>
  <c r="EE379" i="1" s="1"/>
  <c r="AU379" i="1"/>
  <c r="AW379" i="1" s="1"/>
  <c r="AN379" i="1"/>
  <c r="AO379" i="1" s="1"/>
  <c r="EL379" i="1" s="1"/>
  <c r="EN379" i="1" s="1"/>
  <c r="EK378" i="1"/>
  <c r="DN378" i="1"/>
  <c r="DX378" i="1" s="1"/>
  <c r="CW378" i="1"/>
  <c r="CY378" i="1" s="1"/>
  <c r="CP378" i="1"/>
  <c r="CR378" i="1" s="1"/>
  <c r="CI378" i="1"/>
  <c r="CK378" i="1" s="1"/>
  <c r="CA378" i="1"/>
  <c r="CC378" i="1" s="1"/>
  <c r="BS378" i="1"/>
  <c r="BU378" i="1" s="1"/>
  <c r="BK378" i="1"/>
  <c r="BM378" i="1" s="1"/>
  <c r="BC378" i="1"/>
  <c r="BE378" i="1" s="1"/>
  <c r="AU378" i="1"/>
  <c r="AW378" i="1" s="1"/>
  <c r="EE378" i="1" s="1"/>
  <c r="AN378" i="1"/>
  <c r="AO378" i="1" s="1"/>
  <c r="EK377" i="1"/>
  <c r="DN377" i="1"/>
  <c r="DX377" i="1" s="1"/>
  <c r="CW377" i="1"/>
  <c r="CY377" i="1" s="1"/>
  <c r="CP377" i="1"/>
  <c r="CR377" i="1" s="1"/>
  <c r="CI377" i="1"/>
  <c r="CK377" i="1" s="1"/>
  <c r="CA377" i="1"/>
  <c r="CC377" i="1" s="1"/>
  <c r="BS377" i="1"/>
  <c r="BU377" i="1" s="1"/>
  <c r="BK377" i="1"/>
  <c r="BM377" i="1" s="1"/>
  <c r="BC377" i="1"/>
  <c r="BE377" i="1" s="1"/>
  <c r="EE377" i="1" s="1"/>
  <c r="AU377" i="1"/>
  <c r="AW377" i="1" s="1"/>
  <c r="AN377" i="1"/>
  <c r="AO377" i="1" s="1"/>
  <c r="EL377" i="1" s="1"/>
  <c r="EN377" i="1" s="1"/>
  <c r="EK376" i="1"/>
  <c r="DN376" i="1"/>
  <c r="DX376" i="1" s="1"/>
  <c r="CW376" i="1"/>
  <c r="CY376" i="1" s="1"/>
  <c r="CP376" i="1"/>
  <c r="CR376" i="1" s="1"/>
  <c r="CI376" i="1"/>
  <c r="CK376" i="1" s="1"/>
  <c r="CA376" i="1"/>
  <c r="CC376" i="1" s="1"/>
  <c r="BS376" i="1"/>
  <c r="BU376" i="1" s="1"/>
  <c r="BK376" i="1"/>
  <c r="BM376" i="1" s="1"/>
  <c r="BC376" i="1"/>
  <c r="BE376" i="1" s="1"/>
  <c r="AU376" i="1"/>
  <c r="AW376" i="1" s="1"/>
  <c r="AN376" i="1"/>
  <c r="AO376" i="1" s="1"/>
  <c r="EK375" i="1"/>
  <c r="DN375" i="1"/>
  <c r="DX375" i="1" s="1"/>
  <c r="CW375" i="1"/>
  <c r="CY375" i="1" s="1"/>
  <c r="CP375" i="1"/>
  <c r="CR375" i="1" s="1"/>
  <c r="CI375" i="1"/>
  <c r="CK375" i="1" s="1"/>
  <c r="CA375" i="1"/>
  <c r="CC375" i="1" s="1"/>
  <c r="BS375" i="1"/>
  <c r="BU375" i="1" s="1"/>
  <c r="BK375" i="1"/>
  <c r="BM375" i="1" s="1"/>
  <c r="BC375" i="1"/>
  <c r="BE375" i="1" s="1"/>
  <c r="AU375" i="1"/>
  <c r="AW375" i="1" s="1"/>
  <c r="AN375" i="1"/>
  <c r="AO375" i="1" s="1"/>
  <c r="EK374" i="1"/>
  <c r="DX374" i="1"/>
  <c r="DN374" i="1"/>
  <c r="CY374" i="1"/>
  <c r="CW374" i="1"/>
  <c r="CR374" i="1"/>
  <c r="CP374" i="1"/>
  <c r="CK374" i="1"/>
  <c r="CI374" i="1"/>
  <c r="CC374" i="1"/>
  <c r="CA374" i="1"/>
  <c r="BU374" i="1"/>
  <c r="BS374" i="1"/>
  <c r="BM374" i="1"/>
  <c r="BK374" i="1"/>
  <c r="BE374" i="1"/>
  <c r="BC374" i="1"/>
  <c r="AW374" i="1"/>
  <c r="EE374" i="1" s="1"/>
  <c r="AU374" i="1"/>
  <c r="AO374" i="1"/>
  <c r="AN374" i="1"/>
  <c r="EK373" i="1"/>
  <c r="DN373" i="1"/>
  <c r="DX373" i="1" s="1"/>
  <c r="DF373" i="1"/>
  <c r="DD373" i="1"/>
  <c r="CW373" i="1"/>
  <c r="CY373" i="1" s="1"/>
  <c r="CP373" i="1"/>
  <c r="CR373" i="1" s="1"/>
  <c r="CI373" i="1"/>
  <c r="CK373" i="1" s="1"/>
  <c r="CA373" i="1"/>
  <c r="CC373" i="1" s="1"/>
  <c r="BS373" i="1"/>
  <c r="BU373" i="1" s="1"/>
  <c r="BK373" i="1"/>
  <c r="BM373" i="1" s="1"/>
  <c r="BC373" i="1"/>
  <c r="BE373" i="1" s="1"/>
  <c r="AU373" i="1"/>
  <c r="AW373" i="1" s="1"/>
  <c r="EE373" i="1" s="1"/>
  <c r="AN373" i="1"/>
  <c r="AO373" i="1" s="1"/>
  <c r="EK372" i="1"/>
  <c r="DX372" i="1"/>
  <c r="DN372" i="1"/>
  <c r="DF372" i="1"/>
  <c r="DD372" i="1"/>
  <c r="CY372" i="1"/>
  <c r="CW372" i="1"/>
  <c r="CR372" i="1"/>
  <c r="CP372" i="1"/>
  <c r="CK372" i="1"/>
  <c r="CI372" i="1"/>
  <c r="CC372" i="1"/>
  <c r="CA372" i="1"/>
  <c r="BU372" i="1"/>
  <c r="BS372" i="1"/>
  <c r="BM372" i="1"/>
  <c r="BK372" i="1"/>
  <c r="BE372" i="1"/>
  <c r="BC372" i="1"/>
  <c r="AW372" i="1"/>
  <c r="EE372" i="1" s="1"/>
  <c r="AU372" i="1"/>
  <c r="AO372" i="1"/>
  <c r="AN372" i="1"/>
  <c r="EK371" i="1"/>
  <c r="DX371" i="1"/>
  <c r="DN371" i="1"/>
  <c r="DF371" i="1"/>
  <c r="DD371" i="1"/>
  <c r="CW371" i="1"/>
  <c r="CY371" i="1" s="1"/>
  <c r="CR371" i="1"/>
  <c r="CP371" i="1"/>
  <c r="CK371" i="1"/>
  <c r="CI371" i="1"/>
  <c r="CC371" i="1"/>
  <c r="CA371" i="1"/>
  <c r="BU371" i="1"/>
  <c r="BS371" i="1"/>
  <c r="BM371" i="1"/>
  <c r="BK371" i="1"/>
  <c r="BE371" i="1"/>
  <c r="BC371" i="1"/>
  <c r="AU371" i="1"/>
  <c r="AW371" i="1" s="1"/>
  <c r="AN371" i="1"/>
  <c r="AO371" i="1" s="1"/>
  <c r="EK370" i="1"/>
  <c r="DX370" i="1"/>
  <c r="DN370" i="1"/>
  <c r="DF370" i="1"/>
  <c r="DD370" i="1"/>
  <c r="CY370" i="1"/>
  <c r="CW370" i="1"/>
  <c r="CR370" i="1"/>
  <c r="CP370" i="1"/>
  <c r="CK370" i="1"/>
  <c r="CI370" i="1"/>
  <c r="CC370" i="1"/>
  <c r="CA370" i="1"/>
  <c r="BU370" i="1"/>
  <c r="BS370" i="1"/>
  <c r="BM370" i="1"/>
  <c r="BK370" i="1"/>
  <c r="BE370" i="1"/>
  <c r="BC370" i="1"/>
  <c r="AU370" i="1"/>
  <c r="AW370" i="1" s="1"/>
  <c r="EE370" i="1" s="1"/>
  <c r="AO370" i="1"/>
  <c r="AN370" i="1"/>
  <c r="EK369" i="1"/>
  <c r="DX369" i="1"/>
  <c r="DN369" i="1"/>
  <c r="DF369" i="1"/>
  <c r="DD369" i="1"/>
  <c r="CY369" i="1"/>
  <c r="CW369" i="1"/>
  <c r="CR369" i="1"/>
  <c r="CP369" i="1"/>
  <c r="CK369" i="1"/>
  <c r="CI369" i="1"/>
  <c r="CC369" i="1"/>
  <c r="CA369" i="1"/>
  <c r="BU369" i="1"/>
  <c r="BS369" i="1"/>
  <c r="BM369" i="1"/>
  <c r="BK369" i="1"/>
  <c r="BE369" i="1"/>
  <c r="BC369" i="1"/>
  <c r="AW369" i="1"/>
  <c r="EE369" i="1" s="1"/>
  <c r="AU369" i="1"/>
  <c r="AN369" i="1"/>
  <c r="AO369" i="1" s="1"/>
  <c r="EL369" i="1" s="1"/>
  <c r="EN369" i="1" s="1"/>
  <c r="EK368" i="1"/>
  <c r="DX368" i="1"/>
  <c r="DN368" i="1"/>
  <c r="DF368" i="1"/>
  <c r="DD368" i="1"/>
  <c r="CY368" i="1"/>
  <c r="CW368" i="1"/>
  <c r="CR368" i="1"/>
  <c r="CP368" i="1"/>
  <c r="CK368" i="1"/>
  <c r="CI368" i="1"/>
  <c r="CC368" i="1"/>
  <c r="CA368" i="1"/>
  <c r="BU368" i="1"/>
  <c r="BS368" i="1"/>
  <c r="BM368" i="1"/>
  <c r="BK368" i="1"/>
  <c r="BE368" i="1"/>
  <c r="BC368" i="1"/>
  <c r="AW368" i="1"/>
  <c r="EE368" i="1" s="1"/>
  <c r="AU368" i="1"/>
  <c r="AO368" i="1"/>
  <c r="AN368" i="1"/>
  <c r="EK367" i="1"/>
  <c r="DX367" i="1"/>
  <c r="DN367" i="1"/>
  <c r="DF367" i="1"/>
  <c r="DD367" i="1"/>
  <c r="CW367" i="1"/>
  <c r="CY367" i="1" s="1"/>
  <c r="CR367" i="1"/>
  <c r="CP367" i="1"/>
  <c r="CK367" i="1"/>
  <c r="CI367" i="1"/>
  <c r="CC367" i="1"/>
  <c r="CA367" i="1"/>
  <c r="BU367" i="1"/>
  <c r="BS367" i="1"/>
  <c r="BM367" i="1"/>
  <c r="BK367" i="1"/>
  <c r="BE367" i="1"/>
  <c r="BC367" i="1"/>
  <c r="AU367" i="1"/>
  <c r="AW367" i="1" s="1"/>
  <c r="AN367" i="1"/>
  <c r="AO367" i="1" s="1"/>
  <c r="EK366" i="1"/>
  <c r="DX366" i="1"/>
  <c r="DN366" i="1"/>
  <c r="DF366" i="1"/>
  <c r="DD366" i="1"/>
  <c r="CY366" i="1"/>
  <c r="CW366" i="1"/>
  <c r="CR366" i="1"/>
  <c r="CP366" i="1"/>
  <c r="CK366" i="1"/>
  <c r="CI366" i="1"/>
  <c r="CC366" i="1"/>
  <c r="CA366" i="1"/>
  <c r="BU366" i="1"/>
  <c r="BS366" i="1"/>
  <c r="BM366" i="1"/>
  <c r="BK366" i="1"/>
  <c r="BE366" i="1"/>
  <c r="BC366" i="1"/>
  <c r="AU366" i="1"/>
  <c r="AW366" i="1" s="1"/>
  <c r="EE366" i="1" s="1"/>
  <c r="AO366" i="1"/>
  <c r="AN366" i="1"/>
  <c r="EK365" i="1"/>
  <c r="DX365" i="1"/>
  <c r="DN365" i="1"/>
  <c r="DF365" i="1"/>
  <c r="DD365" i="1"/>
  <c r="CY365" i="1"/>
  <c r="CW365" i="1"/>
  <c r="CR365" i="1"/>
  <c r="CP365" i="1"/>
  <c r="CK365" i="1"/>
  <c r="CI365" i="1"/>
  <c r="CC365" i="1"/>
  <c r="CA365" i="1"/>
  <c r="BU365" i="1"/>
  <c r="BS365" i="1"/>
  <c r="BM365" i="1"/>
  <c r="BK365" i="1"/>
  <c r="BE365" i="1"/>
  <c r="BC365" i="1"/>
  <c r="AW365" i="1"/>
  <c r="EE365" i="1" s="1"/>
  <c r="AU365" i="1"/>
  <c r="AN365" i="1"/>
  <c r="AO365" i="1" s="1"/>
  <c r="EK364" i="1"/>
  <c r="DX364" i="1"/>
  <c r="DN364" i="1"/>
  <c r="DF364" i="1"/>
  <c r="DD364" i="1"/>
  <c r="CY364" i="1"/>
  <c r="CW364" i="1"/>
  <c r="CR364" i="1"/>
  <c r="CP364" i="1"/>
  <c r="CK364" i="1"/>
  <c r="CI364" i="1"/>
  <c r="CC364" i="1"/>
  <c r="CA364" i="1"/>
  <c r="BU364" i="1"/>
  <c r="BS364" i="1"/>
  <c r="BM364" i="1"/>
  <c r="BK364" i="1"/>
  <c r="BE364" i="1"/>
  <c r="BC364" i="1"/>
  <c r="AW364" i="1"/>
  <c r="EE364" i="1" s="1"/>
  <c r="AU364" i="1"/>
  <c r="AO364" i="1"/>
  <c r="AN364" i="1"/>
  <c r="EK363" i="1"/>
  <c r="DX363" i="1"/>
  <c r="DN363" i="1"/>
  <c r="DF363" i="1"/>
  <c r="DD363" i="1"/>
  <c r="CW363" i="1"/>
  <c r="CY363" i="1" s="1"/>
  <c r="CR363" i="1"/>
  <c r="BC363" i="1"/>
  <c r="BE363" i="1" s="1"/>
  <c r="AU363" i="1"/>
  <c r="AW363" i="1" s="1"/>
  <c r="AN363" i="1"/>
  <c r="AO363" i="1" s="1"/>
  <c r="EK362" i="1"/>
  <c r="DN362" i="1"/>
  <c r="DX362" i="1" s="1"/>
  <c r="DF362" i="1"/>
  <c r="CY362" i="1"/>
  <c r="CW362" i="1"/>
  <c r="CR362" i="1"/>
  <c r="CP362" i="1"/>
  <c r="BE362" i="1"/>
  <c r="BC362" i="1"/>
  <c r="AW362" i="1"/>
  <c r="EE362" i="1" s="1"/>
  <c r="AU362" i="1"/>
  <c r="AO362" i="1"/>
  <c r="EL362" i="1" s="1"/>
  <c r="EN362" i="1" s="1"/>
  <c r="AN362" i="1"/>
  <c r="EK361" i="1"/>
  <c r="DX361" i="1"/>
  <c r="DN361" i="1"/>
  <c r="DF361" i="1"/>
  <c r="CW361" i="1"/>
  <c r="CY361" i="1" s="1"/>
  <c r="CP361" i="1"/>
  <c r="CR361" i="1" s="1"/>
  <c r="BC361" i="1"/>
  <c r="BE361" i="1" s="1"/>
  <c r="AU361" i="1"/>
  <c r="AW361" i="1" s="1"/>
  <c r="EE361" i="1" s="1"/>
  <c r="AN361" i="1"/>
  <c r="AO361" i="1" s="1"/>
  <c r="EK360" i="1"/>
  <c r="DN360" i="1"/>
  <c r="DX360" i="1" s="1"/>
  <c r="DF360" i="1"/>
  <c r="CW360" i="1"/>
  <c r="CY360" i="1" s="1"/>
  <c r="CR360" i="1"/>
  <c r="CP360" i="1"/>
  <c r="BE360" i="1"/>
  <c r="BC360" i="1"/>
  <c r="AW360" i="1"/>
  <c r="AU360" i="1"/>
  <c r="AO360" i="1"/>
  <c r="AN360" i="1"/>
  <c r="EK359" i="1"/>
  <c r="DT359" i="1"/>
  <c r="DV359" i="1" s="1"/>
  <c r="DP359" i="1"/>
  <c r="DR359" i="1" s="1"/>
  <c r="DK359" i="1"/>
  <c r="DL359" i="1" s="1"/>
  <c r="DF359" i="1"/>
  <c r="DD359" i="1"/>
  <c r="CW359" i="1"/>
  <c r="CY359" i="1" s="1"/>
  <c r="CP359" i="1"/>
  <c r="CR359" i="1" s="1"/>
  <c r="CK359" i="1"/>
  <c r="CC359" i="1"/>
  <c r="BU359" i="1"/>
  <c r="BM359" i="1"/>
  <c r="BK359" i="1"/>
  <c r="BE359" i="1"/>
  <c r="BC359" i="1"/>
  <c r="AU359" i="1"/>
  <c r="AW359" i="1" s="1"/>
  <c r="AN359" i="1"/>
  <c r="AO359" i="1" s="1"/>
  <c r="EK358" i="1"/>
  <c r="DX358" i="1"/>
  <c r="DN358" i="1"/>
  <c r="DF358" i="1"/>
  <c r="DD358" i="1"/>
  <c r="CW358" i="1"/>
  <c r="CY358" i="1" s="1"/>
  <c r="CR358" i="1"/>
  <c r="CP358" i="1"/>
  <c r="BE358" i="1"/>
  <c r="BC358" i="1"/>
  <c r="AU358" i="1"/>
  <c r="AW358" i="1" s="1"/>
  <c r="AO358" i="1"/>
  <c r="AN358" i="1"/>
  <c r="EK357" i="1"/>
  <c r="DX357" i="1"/>
  <c r="DN357" i="1"/>
  <c r="DF357" i="1"/>
  <c r="DD357" i="1"/>
  <c r="CW357" i="1"/>
  <c r="CY357" i="1" s="1"/>
  <c r="CR357" i="1"/>
  <c r="CP357" i="1"/>
  <c r="BM357" i="1"/>
  <c r="BK357" i="1"/>
  <c r="BE357" i="1"/>
  <c r="BC357" i="1"/>
  <c r="AW357" i="1"/>
  <c r="AU357" i="1"/>
  <c r="AN357" i="1"/>
  <c r="AO357" i="1" s="1"/>
  <c r="EK356" i="1"/>
  <c r="DX356" i="1"/>
  <c r="DF356" i="1"/>
  <c r="DD356" i="1"/>
  <c r="CW356" i="1"/>
  <c r="CY356" i="1" s="1"/>
  <c r="CR356" i="1"/>
  <c r="CP356" i="1"/>
  <c r="CK356" i="1"/>
  <c r="CI356" i="1"/>
  <c r="CC356" i="1"/>
  <c r="CA356" i="1"/>
  <c r="BU356" i="1"/>
  <c r="BS356" i="1"/>
  <c r="BM356" i="1"/>
  <c r="BK356" i="1"/>
  <c r="BE356" i="1"/>
  <c r="BC356" i="1"/>
  <c r="AW356" i="1"/>
  <c r="AU356" i="1"/>
  <c r="AO356" i="1"/>
  <c r="AN356" i="1"/>
  <c r="EK355" i="1"/>
  <c r="DX355" i="1"/>
  <c r="DN355" i="1"/>
  <c r="DF355" i="1"/>
  <c r="CW355" i="1"/>
  <c r="CY355" i="1" s="1"/>
  <c r="CP355" i="1"/>
  <c r="CR355" i="1" s="1"/>
  <c r="BC355" i="1"/>
  <c r="BE355" i="1" s="1"/>
  <c r="AU355" i="1"/>
  <c r="AW355" i="1" s="1"/>
  <c r="AN355" i="1"/>
  <c r="AO355" i="1" s="1"/>
  <c r="EK354" i="1"/>
  <c r="DN354" i="1"/>
  <c r="DX354" i="1" s="1"/>
  <c r="DF354" i="1"/>
  <c r="CW354" i="1"/>
  <c r="CY354" i="1" s="1"/>
  <c r="CR354" i="1"/>
  <c r="CP354" i="1"/>
  <c r="BE354" i="1"/>
  <c r="BC354" i="1"/>
  <c r="AW354" i="1"/>
  <c r="AU354" i="1"/>
  <c r="AO354" i="1"/>
  <c r="AN354" i="1"/>
  <c r="EK353" i="1"/>
  <c r="DX353" i="1"/>
  <c r="DN353" i="1"/>
  <c r="DF353" i="1"/>
  <c r="CW353" i="1"/>
  <c r="CY353" i="1" s="1"/>
  <c r="CP353" i="1"/>
  <c r="CR353" i="1" s="1"/>
  <c r="BC353" i="1"/>
  <c r="BE353" i="1" s="1"/>
  <c r="AU353" i="1"/>
  <c r="AW353" i="1" s="1"/>
  <c r="EE353" i="1" s="1"/>
  <c r="AN353" i="1"/>
  <c r="AO353" i="1" s="1"/>
  <c r="EK352" i="1"/>
  <c r="DN352" i="1"/>
  <c r="DX352" i="1" s="1"/>
  <c r="DF352" i="1"/>
  <c r="DD352" i="1"/>
  <c r="CW352" i="1"/>
  <c r="CY352" i="1" s="1"/>
  <c r="CP352" i="1"/>
  <c r="CR352" i="1" s="1"/>
  <c r="BK352" i="1"/>
  <c r="BM352" i="1" s="1"/>
  <c r="BC352" i="1"/>
  <c r="BE352" i="1" s="1"/>
  <c r="AU352" i="1"/>
  <c r="AW352" i="1" s="1"/>
  <c r="EE352" i="1" s="1"/>
  <c r="AN352" i="1"/>
  <c r="AO352" i="1" s="1"/>
  <c r="EK351" i="1"/>
  <c r="DN351" i="1"/>
  <c r="DX351" i="1" s="1"/>
  <c r="DF351" i="1"/>
  <c r="CW351" i="1"/>
  <c r="CY351" i="1" s="1"/>
  <c r="CR351" i="1"/>
  <c r="CP351" i="1"/>
  <c r="BE351" i="1"/>
  <c r="BC351" i="1"/>
  <c r="AU351" i="1"/>
  <c r="AW351" i="1" s="1"/>
  <c r="AN351" i="1"/>
  <c r="AO351" i="1" s="1"/>
  <c r="EK350" i="1"/>
  <c r="DN350" i="1"/>
  <c r="DX350" i="1" s="1"/>
  <c r="DF350" i="1"/>
  <c r="DD350" i="1"/>
  <c r="CW350" i="1"/>
  <c r="CY350" i="1" s="1"/>
  <c r="CP350" i="1"/>
  <c r="CR350" i="1" s="1"/>
  <c r="BC350" i="1"/>
  <c r="BE350" i="1" s="1"/>
  <c r="AU350" i="1"/>
  <c r="AW350" i="1" s="1"/>
  <c r="AN350" i="1"/>
  <c r="AO350" i="1" s="1"/>
  <c r="EK349" i="1"/>
  <c r="DX349" i="1"/>
  <c r="DF349" i="1"/>
  <c r="DD349" i="1"/>
  <c r="CW349" i="1"/>
  <c r="CY349" i="1" s="1"/>
  <c r="CP349" i="1"/>
  <c r="CR349" i="1" s="1"/>
  <c r="BK349" i="1"/>
  <c r="BE349" i="1"/>
  <c r="BC349" i="1"/>
  <c r="AU349" i="1"/>
  <c r="AW349" i="1" s="1"/>
  <c r="AO349" i="1"/>
  <c r="AN349" i="1"/>
  <c r="EK348" i="1"/>
  <c r="DX348" i="1"/>
  <c r="DN348" i="1"/>
  <c r="DF348" i="1"/>
  <c r="DD348" i="1"/>
  <c r="CY348" i="1"/>
  <c r="CW348" i="1"/>
  <c r="CR348" i="1"/>
  <c r="CP348" i="1"/>
  <c r="BM348" i="1"/>
  <c r="BK348" i="1"/>
  <c r="BE348" i="1"/>
  <c r="BC348" i="1"/>
  <c r="AW348" i="1"/>
  <c r="EE348" i="1" s="1"/>
  <c r="AU348" i="1"/>
  <c r="AN348" i="1"/>
  <c r="AO348" i="1" s="1"/>
  <c r="EK347" i="1"/>
  <c r="DX347" i="1"/>
  <c r="DN347" i="1"/>
  <c r="DF347" i="1"/>
  <c r="DD347" i="1"/>
  <c r="CY347" i="1"/>
  <c r="CW347" i="1"/>
  <c r="CR347" i="1"/>
  <c r="CP347" i="1"/>
  <c r="BM347" i="1"/>
  <c r="BK347" i="1"/>
  <c r="BE347" i="1"/>
  <c r="BC347" i="1"/>
  <c r="AW347" i="1"/>
  <c r="AU347" i="1"/>
  <c r="AO347" i="1"/>
  <c r="AN347" i="1"/>
  <c r="EK346" i="1"/>
  <c r="DX346" i="1"/>
  <c r="DF346" i="1"/>
  <c r="DD346" i="1"/>
  <c r="CW346" i="1"/>
  <c r="CY346" i="1" s="1"/>
  <c r="CP346" i="1"/>
  <c r="CR346" i="1" s="1"/>
  <c r="BK346" i="1"/>
  <c r="BM346" i="1" s="1"/>
  <c r="BC346" i="1"/>
  <c r="BE346" i="1" s="1"/>
  <c r="AU346" i="1"/>
  <c r="AW346" i="1" s="1"/>
  <c r="EE346" i="1" s="1"/>
  <c r="AN346" i="1"/>
  <c r="AO346" i="1" s="1"/>
  <c r="EK345" i="1"/>
  <c r="DN345" i="1"/>
  <c r="DX345" i="1" s="1"/>
  <c r="DF345" i="1"/>
  <c r="DD345" i="1"/>
  <c r="CW345" i="1"/>
  <c r="CY345" i="1" s="1"/>
  <c r="CP345" i="1"/>
  <c r="CR345" i="1" s="1"/>
  <c r="BK345" i="1"/>
  <c r="BM345" i="1" s="1"/>
  <c r="BC345" i="1"/>
  <c r="BE345" i="1" s="1"/>
  <c r="AU345" i="1"/>
  <c r="AW345" i="1" s="1"/>
  <c r="EE345" i="1" s="1"/>
  <c r="EL345" i="1" s="1"/>
  <c r="EN345" i="1" s="1"/>
  <c r="AN345" i="1"/>
  <c r="AO345" i="1" s="1"/>
  <c r="EK344" i="1"/>
  <c r="DN344" i="1"/>
  <c r="DX344" i="1" s="1"/>
  <c r="DF344" i="1"/>
  <c r="DD344" i="1"/>
  <c r="CW344" i="1"/>
  <c r="CY344" i="1" s="1"/>
  <c r="CP344" i="1"/>
  <c r="CR344" i="1" s="1"/>
  <c r="BK344" i="1"/>
  <c r="BM344" i="1" s="1"/>
  <c r="BC344" i="1"/>
  <c r="BE344" i="1" s="1"/>
  <c r="AU344" i="1"/>
  <c r="AW344" i="1" s="1"/>
  <c r="EE344" i="1" s="1"/>
  <c r="EL344" i="1" s="1"/>
  <c r="EN344" i="1" s="1"/>
  <c r="AN344" i="1"/>
  <c r="AO344" i="1" s="1"/>
  <c r="EK343" i="1"/>
  <c r="DF343" i="1"/>
  <c r="DD343" i="1"/>
  <c r="CW343" i="1"/>
  <c r="CY343" i="1" s="1"/>
  <c r="CP343" i="1"/>
  <c r="CR343" i="1" s="1"/>
  <c r="CI343" i="1"/>
  <c r="CK343" i="1" s="1"/>
  <c r="CA343" i="1"/>
  <c r="CC343" i="1" s="1"/>
  <c r="BS343" i="1"/>
  <c r="BU343" i="1" s="1"/>
  <c r="BK343" i="1"/>
  <c r="BM343" i="1" s="1"/>
  <c r="BC343" i="1"/>
  <c r="BE343" i="1" s="1"/>
  <c r="AU343" i="1"/>
  <c r="AW343" i="1" s="1"/>
  <c r="EE343" i="1" s="1"/>
  <c r="EL343" i="1" s="1"/>
  <c r="EN343" i="1" s="1"/>
  <c r="AN343" i="1"/>
  <c r="AO343" i="1" s="1"/>
  <c r="EK342" i="1"/>
  <c r="DN342" i="1"/>
  <c r="DH342" i="1"/>
  <c r="DL342" i="1" s="1"/>
  <c r="DF342" i="1"/>
  <c r="DD342" i="1"/>
  <c r="CW342" i="1"/>
  <c r="CY342" i="1" s="1"/>
  <c r="CP342" i="1"/>
  <c r="CR342" i="1" s="1"/>
  <c r="CI342" i="1"/>
  <c r="CK342" i="1" s="1"/>
  <c r="CA342" i="1"/>
  <c r="CC342" i="1" s="1"/>
  <c r="BS342" i="1"/>
  <c r="BU342" i="1" s="1"/>
  <c r="BK342" i="1"/>
  <c r="BM342" i="1" s="1"/>
  <c r="BC342" i="1"/>
  <c r="BE342" i="1" s="1"/>
  <c r="AU342" i="1"/>
  <c r="AW342" i="1" s="1"/>
  <c r="AN342" i="1"/>
  <c r="AO342" i="1" s="1"/>
  <c r="EK341" i="1"/>
  <c r="DN341" i="1"/>
  <c r="DH341" i="1"/>
  <c r="DL341" i="1" s="1"/>
  <c r="DF341" i="1"/>
  <c r="DD341" i="1"/>
  <c r="CW341" i="1"/>
  <c r="CY341" i="1" s="1"/>
  <c r="CP341" i="1"/>
  <c r="CR341" i="1" s="1"/>
  <c r="CI341" i="1"/>
  <c r="CK341" i="1" s="1"/>
  <c r="CA341" i="1"/>
  <c r="CC341" i="1" s="1"/>
  <c r="BS341" i="1"/>
  <c r="BU341" i="1" s="1"/>
  <c r="BK341" i="1"/>
  <c r="BM341" i="1" s="1"/>
  <c r="BC341" i="1"/>
  <c r="BE341" i="1" s="1"/>
  <c r="AU341" i="1"/>
  <c r="AW341" i="1" s="1"/>
  <c r="AN341" i="1"/>
  <c r="AO341" i="1" s="1"/>
  <c r="EK340" i="1"/>
  <c r="DR340" i="1"/>
  <c r="DP340" i="1"/>
  <c r="DL340" i="1"/>
  <c r="DF340" i="1"/>
  <c r="DD340" i="1"/>
  <c r="CW340" i="1"/>
  <c r="CY340" i="1" s="1"/>
  <c r="CP340" i="1"/>
  <c r="CR340" i="1" s="1"/>
  <c r="CI340" i="1"/>
  <c r="CK340" i="1" s="1"/>
  <c r="CA340" i="1"/>
  <c r="CC340" i="1" s="1"/>
  <c r="BS340" i="1"/>
  <c r="BU340" i="1" s="1"/>
  <c r="BK340" i="1"/>
  <c r="BM340" i="1" s="1"/>
  <c r="BC340" i="1"/>
  <c r="BE340" i="1" s="1"/>
  <c r="AU340" i="1"/>
  <c r="AW340" i="1" s="1"/>
  <c r="AN340" i="1"/>
  <c r="AO340" i="1" s="1"/>
  <c r="EK339" i="1"/>
  <c r="DT339" i="1"/>
  <c r="DV339" i="1" s="1"/>
  <c r="DP339" i="1"/>
  <c r="DR339" i="1" s="1"/>
  <c r="DN339" i="1"/>
  <c r="DL339" i="1"/>
  <c r="DH339" i="1"/>
  <c r="DF339" i="1"/>
  <c r="DD339" i="1"/>
  <c r="CW339" i="1"/>
  <c r="CY339" i="1" s="1"/>
  <c r="CR339" i="1"/>
  <c r="CP339" i="1"/>
  <c r="CK339" i="1"/>
  <c r="CI339" i="1"/>
  <c r="CC339" i="1"/>
  <c r="CA339" i="1"/>
  <c r="BU339" i="1"/>
  <c r="BS339" i="1"/>
  <c r="BM339" i="1"/>
  <c r="BK339" i="1"/>
  <c r="BE339" i="1"/>
  <c r="BC339" i="1"/>
  <c r="AW339" i="1"/>
  <c r="AU339" i="1"/>
  <c r="AN339" i="1"/>
  <c r="AO339" i="1" s="1"/>
  <c r="EK338" i="1"/>
  <c r="DP338" i="1"/>
  <c r="DR338" i="1" s="1"/>
  <c r="DN338" i="1"/>
  <c r="DL338" i="1"/>
  <c r="DH338" i="1"/>
  <c r="DF338" i="1"/>
  <c r="DD338" i="1"/>
  <c r="CW338" i="1"/>
  <c r="CY338" i="1" s="1"/>
  <c r="CR338" i="1"/>
  <c r="CP338" i="1"/>
  <c r="CK338" i="1"/>
  <c r="CI338" i="1"/>
  <c r="CC338" i="1"/>
  <c r="CA338" i="1"/>
  <c r="BU338" i="1"/>
  <c r="BS338" i="1"/>
  <c r="BM338" i="1"/>
  <c r="BK338" i="1"/>
  <c r="BE338" i="1"/>
  <c r="BC338" i="1"/>
  <c r="AW338" i="1"/>
  <c r="AU338" i="1"/>
  <c r="AO338" i="1"/>
  <c r="AN338" i="1"/>
  <c r="EK337" i="1"/>
  <c r="DP337" i="1"/>
  <c r="DR337" i="1" s="1"/>
  <c r="DN337" i="1"/>
  <c r="DL337" i="1"/>
  <c r="DH337" i="1"/>
  <c r="DF337" i="1"/>
  <c r="DD337" i="1"/>
  <c r="CY337" i="1"/>
  <c r="CW337" i="1"/>
  <c r="CR337" i="1"/>
  <c r="CP337" i="1"/>
  <c r="CK337" i="1"/>
  <c r="CI337" i="1"/>
  <c r="CC337" i="1"/>
  <c r="CA337" i="1"/>
  <c r="BU337" i="1"/>
  <c r="BS337" i="1"/>
  <c r="BM337" i="1"/>
  <c r="BK337" i="1"/>
  <c r="BE337" i="1"/>
  <c r="BC337" i="1"/>
  <c r="AU337" i="1"/>
  <c r="AW337" i="1" s="1"/>
  <c r="AN337" i="1"/>
  <c r="AO337" i="1" s="1"/>
  <c r="EK336" i="1"/>
  <c r="DP336" i="1"/>
  <c r="DR336" i="1" s="1"/>
  <c r="DN336" i="1"/>
  <c r="DL336" i="1"/>
  <c r="DH336" i="1"/>
  <c r="DF336" i="1"/>
  <c r="DD336" i="1"/>
  <c r="CW336" i="1"/>
  <c r="CY336" i="1" s="1"/>
  <c r="CR336" i="1"/>
  <c r="CP336" i="1"/>
  <c r="CK336" i="1"/>
  <c r="CI336" i="1"/>
  <c r="CC336" i="1"/>
  <c r="CA336" i="1"/>
  <c r="BU336" i="1"/>
  <c r="BS336" i="1"/>
  <c r="BM336" i="1"/>
  <c r="BK336" i="1"/>
  <c r="BE336" i="1"/>
  <c r="BC336" i="1"/>
  <c r="AU336" i="1"/>
  <c r="AW336" i="1" s="1"/>
  <c r="AO336" i="1"/>
  <c r="AN336" i="1"/>
  <c r="EK335" i="1"/>
  <c r="DP335" i="1"/>
  <c r="DR335" i="1" s="1"/>
  <c r="DN335" i="1"/>
  <c r="DK335" i="1"/>
  <c r="DH335" i="1"/>
  <c r="DL335" i="1" s="1"/>
  <c r="DF335" i="1"/>
  <c r="DD335" i="1"/>
  <c r="CW335" i="1"/>
  <c r="CY335" i="1" s="1"/>
  <c r="CP335" i="1"/>
  <c r="CR335" i="1" s="1"/>
  <c r="CI335" i="1"/>
  <c r="CK335" i="1" s="1"/>
  <c r="CA335" i="1"/>
  <c r="CC335" i="1" s="1"/>
  <c r="BS335" i="1"/>
  <c r="BU335" i="1" s="1"/>
  <c r="BK335" i="1"/>
  <c r="BM335" i="1" s="1"/>
  <c r="BC335" i="1"/>
  <c r="BE335" i="1" s="1"/>
  <c r="AU335" i="1"/>
  <c r="AW335" i="1" s="1"/>
  <c r="AN335" i="1"/>
  <c r="AO335" i="1" s="1"/>
  <c r="EK334" i="1"/>
  <c r="DN334" i="1"/>
  <c r="DK334" i="1"/>
  <c r="DH334" i="1"/>
  <c r="DF334" i="1"/>
  <c r="DD334" i="1"/>
  <c r="CY334" i="1"/>
  <c r="CW334" i="1"/>
  <c r="CR334" i="1"/>
  <c r="CP334" i="1"/>
  <c r="CK334" i="1"/>
  <c r="CI334" i="1"/>
  <c r="CC334" i="1"/>
  <c r="CA334" i="1"/>
  <c r="BU334" i="1"/>
  <c r="BS334" i="1"/>
  <c r="BM334" i="1"/>
  <c r="BK334" i="1"/>
  <c r="BE334" i="1"/>
  <c r="BC334" i="1"/>
  <c r="AU334" i="1"/>
  <c r="AW334" i="1" s="1"/>
  <c r="AO334" i="1"/>
  <c r="AN334" i="1"/>
  <c r="EK333" i="1"/>
  <c r="DP333" i="1"/>
  <c r="DR333" i="1" s="1"/>
  <c r="DN333" i="1"/>
  <c r="DK333" i="1"/>
  <c r="DH333" i="1"/>
  <c r="DL333" i="1" s="1"/>
  <c r="DF333" i="1"/>
  <c r="DD333" i="1"/>
  <c r="CW333" i="1"/>
  <c r="CY333" i="1" s="1"/>
  <c r="CP333" i="1"/>
  <c r="CR333" i="1" s="1"/>
  <c r="CK333" i="1"/>
  <c r="CC333" i="1"/>
  <c r="BU333" i="1"/>
  <c r="BM333" i="1"/>
  <c r="BK333" i="1"/>
  <c r="BE333" i="1"/>
  <c r="BC333" i="1"/>
  <c r="AU333" i="1"/>
  <c r="AW333" i="1" s="1"/>
  <c r="AO333" i="1"/>
  <c r="AN333" i="1"/>
  <c r="EK332" i="1"/>
  <c r="DK332" i="1"/>
  <c r="DF332" i="1"/>
  <c r="DD332" i="1"/>
  <c r="CW332" i="1"/>
  <c r="CY332" i="1" s="1"/>
  <c r="CP332" i="1"/>
  <c r="CR332" i="1" s="1"/>
  <c r="CK332" i="1"/>
  <c r="CC332" i="1"/>
  <c r="BU332" i="1"/>
  <c r="BM332" i="1"/>
  <c r="BK332" i="1"/>
  <c r="BC332" i="1"/>
  <c r="AU332" i="1"/>
  <c r="AO332" i="1"/>
  <c r="AN332" i="1"/>
  <c r="EK331" i="1"/>
  <c r="DK331" i="1"/>
  <c r="CW331" i="1"/>
  <c r="CY331" i="1" s="1"/>
  <c r="CR331" i="1"/>
  <c r="BU331" i="1"/>
  <c r="BS331" i="1"/>
  <c r="BM331" i="1"/>
  <c r="BK331" i="1"/>
  <c r="BE331" i="1"/>
  <c r="BC331" i="1"/>
  <c r="AU331" i="1"/>
  <c r="AN331" i="1"/>
  <c r="AO331" i="1" s="1"/>
  <c r="EK330" i="1"/>
  <c r="DK330" i="1"/>
  <c r="CY330" i="1"/>
  <c r="CW330" i="1"/>
  <c r="CR330" i="1"/>
  <c r="BS330" i="1"/>
  <c r="BU330" i="1" s="1"/>
  <c r="BK330" i="1"/>
  <c r="BM330" i="1" s="1"/>
  <c r="BC330" i="1"/>
  <c r="AU330" i="1"/>
  <c r="AQ330" i="1"/>
  <c r="AN330" i="1"/>
  <c r="AO330" i="1" s="1"/>
  <c r="EK329" i="1"/>
  <c r="DK329" i="1"/>
  <c r="CY329" i="1"/>
  <c r="CW329" i="1"/>
  <c r="CR329" i="1"/>
  <c r="BS329" i="1"/>
  <c r="BU329" i="1" s="1"/>
  <c r="BK329" i="1"/>
  <c r="BM329" i="1" s="1"/>
  <c r="BC329" i="1"/>
  <c r="AZ329" i="1"/>
  <c r="AU329" i="1"/>
  <c r="AO329" i="1"/>
  <c r="AQ329" i="1" s="1"/>
  <c r="AN329" i="1"/>
  <c r="EK328" i="1"/>
  <c r="DK328" i="1"/>
  <c r="CW328" i="1"/>
  <c r="CY328" i="1" s="1"/>
  <c r="CR328" i="1"/>
  <c r="BU328" i="1"/>
  <c r="BS328" i="1"/>
  <c r="BK328" i="1"/>
  <c r="BM328" i="1" s="1"/>
  <c r="BC328" i="1"/>
  <c r="AZ328" i="1"/>
  <c r="AU328" i="1"/>
  <c r="AN328" i="1"/>
  <c r="AO328" i="1" s="1"/>
  <c r="EK327" i="1"/>
  <c r="DK327" i="1"/>
  <c r="CR327" i="1"/>
  <c r="BC327" i="1"/>
  <c r="AU327" i="1"/>
  <c r="AQ327" i="1"/>
  <c r="AN327" i="1"/>
  <c r="AO327" i="1" s="1"/>
  <c r="EK326" i="1"/>
  <c r="DV326" i="1"/>
  <c r="DT326" i="1"/>
  <c r="DR326" i="1"/>
  <c r="DX326" i="1" s="1"/>
  <c r="DK326" i="1"/>
  <c r="DL326" i="1" s="1"/>
  <c r="CR326" i="1"/>
  <c r="BE326" i="1"/>
  <c r="BC326" i="1"/>
  <c r="AU326" i="1"/>
  <c r="AQ326" i="1"/>
  <c r="AW326" i="1" s="1"/>
  <c r="EE326" i="1" s="1"/>
  <c r="EL326" i="1" s="1"/>
  <c r="EN326" i="1" s="1"/>
  <c r="AN326" i="1"/>
  <c r="AO326" i="1" s="1"/>
  <c r="EK325" i="1"/>
  <c r="DK325" i="1"/>
  <c r="CY325" i="1"/>
  <c r="CR325" i="1"/>
  <c r="BE325" i="1"/>
  <c r="BC325" i="1"/>
  <c r="AU325" i="1"/>
  <c r="AN325" i="1"/>
  <c r="AO325" i="1" s="1"/>
  <c r="AQ325" i="1" s="1"/>
  <c r="EK324" i="1"/>
  <c r="DK324" i="1"/>
  <c r="DF324" i="1"/>
  <c r="CY324" i="1"/>
  <c r="CR324" i="1"/>
  <c r="BC324" i="1"/>
  <c r="AU324" i="1"/>
  <c r="AQ324" i="1"/>
  <c r="AN324" i="1"/>
  <c r="AO324" i="1" s="1"/>
  <c r="EK323" i="1"/>
  <c r="DV323" i="1"/>
  <c r="DT323" i="1"/>
  <c r="DR323" i="1"/>
  <c r="DX323" i="1" s="1"/>
  <c r="DK323" i="1"/>
  <c r="DL323" i="1" s="1"/>
  <c r="DF323" i="1"/>
  <c r="CY323" i="1"/>
  <c r="CW323" i="1"/>
  <c r="CR323" i="1"/>
  <c r="BK323" i="1"/>
  <c r="BM323" i="1" s="1"/>
  <c r="BC323" i="1"/>
  <c r="BE323" i="1" s="1"/>
  <c r="AU323" i="1"/>
  <c r="AO323" i="1"/>
  <c r="AQ323" i="1" s="1"/>
  <c r="AW323" i="1" s="1"/>
  <c r="EE323" i="1" s="1"/>
  <c r="AN323" i="1"/>
  <c r="EK322" i="1"/>
  <c r="DX322" i="1"/>
  <c r="DT322" i="1"/>
  <c r="DV322" i="1" s="1"/>
  <c r="DR322" i="1"/>
  <c r="DL322" i="1"/>
  <c r="DK322" i="1"/>
  <c r="DF322" i="1"/>
  <c r="CW322" i="1"/>
  <c r="CY322" i="1" s="1"/>
  <c r="CR322" i="1"/>
  <c r="BK322" i="1"/>
  <c r="BM322" i="1" s="1"/>
  <c r="BE322" i="1"/>
  <c r="BC322" i="1"/>
  <c r="AU322" i="1"/>
  <c r="AQ322" i="1"/>
  <c r="AW322" i="1" s="1"/>
  <c r="AN322" i="1"/>
  <c r="AO322" i="1" s="1"/>
  <c r="EK321" i="1"/>
  <c r="DN321" i="1"/>
  <c r="DK321" i="1"/>
  <c r="DH321" i="1"/>
  <c r="DF321" i="1"/>
  <c r="DD321" i="1"/>
  <c r="CY321" i="1"/>
  <c r="CW321" i="1"/>
  <c r="CR321" i="1"/>
  <c r="BK321" i="1"/>
  <c r="BM321" i="1" s="1"/>
  <c r="BC321" i="1"/>
  <c r="BE321" i="1" s="1"/>
  <c r="AU321" i="1"/>
  <c r="AW321" i="1" s="1"/>
  <c r="AN321" i="1"/>
  <c r="AO321" i="1" s="1"/>
  <c r="EK320" i="1"/>
  <c r="DV320" i="1"/>
  <c r="DT320" i="1"/>
  <c r="DR320" i="1"/>
  <c r="DX320" i="1" s="1"/>
  <c r="DK320" i="1"/>
  <c r="DL320" i="1" s="1"/>
  <c r="DF320" i="1"/>
  <c r="DD320" i="1"/>
  <c r="CY320" i="1"/>
  <c r="CR320" i="1"/>
  <c r="BC320" i="1"/>
  <c r="BE320" i="1" s="1"/>
  <c r="AU320" i="1"/>
  <c r="AO320" i="1"/>
  <c r="AQ320" i="1" s="1"/>
  <c r="AW320" i="1" s="1"/>
  <c r="EE320" i="1" s="1"/>
  <c r="AN320" i="1"/>
  <c r="EK319" i="1"/>
  <c r="DX319" i="1"/>
  <c r="DT319" i="1"/>
  <c r="DV319" i="1" s="1"/>
  <c r="DR319" i="1"/>
  <c r="DK319" i="1"/>
  <c r="DF319" i="1"/>
  <c r="CY319" i="1"/>
  <c r="CR319" i="1"/>
  <c r="BE319" i="1"/>
  <c r="BC319" i="1"/>
  <c r="AU319" i="1"/>
  <c r="AN319" i="1"/>
  <c r="AO319" i="1" s="1"/>
  <c r="EK318" i="1"/>
  <c r="DK318" i="1"/>
  <c r="DF318" i="1"/>
  <c r="CY318" i="1"/>
  <c r="CR318" i="1"/>
  <c r="BC318" i="1"/>
  <c r="AU318" i="1"/>
  <c r="AO318" i="1"/>
  <c r="AQ318" i="1" s="1"/>
  <c r="AN318" i="1"/>
  <c r="EK317" i="1"/>
  <c r="DK317" i="1"/>
  <c r="DF317" i="1"/>
  <c r="CY317" i="1"/>
  <c r="CR317" i="1"/>
  <c r="BC317" i="1"/>
  <c r="AU317" i="1"/>
  <c r="AN317" i="1"/>
  <c r="AO317" i="1" s="1"/>
  <c r="AQ317" i="1" s="1"/>
  <c r="EK316" i="1"/>
  <c r="DK316" i="1"/>
  <c r="DF316" i="1"/>
  <c r="CY316" i="1"/>
  <c r="CR316" i="1"/>
  <c r="BC316" i="1"/>
  <c r="BE316" i="1" s="1"/>
  <c r="AU316" i="1"/>
  <c r="AN316" i="1"/>
  <c r="AO316" i="1" s="1"/>
  <c r="EK315" i="1"/>
  <c r="DK315" i="1"/>
  <c r="DF315" i="1"/>
  <c r="CY315" i="1"/>
  <c r="CR315" i="1"/>
  <c r="BC315" i="1"/>
  <c r="AU315" i="1"/>
  <c r="AN315" i="1"/>
  <c r="AO315" i="1" s="1"/>
  <c r="EK314" i="1"/>
  <c r="DK314" i="1"/>
  <c r="DF314" i="1"/>
  <c r="CY314" i="1"/>
  <c r="CR314" i="1"/>
  <c r="BC314" i="1"/>
  <c r="AU314" i="1"/>
  <c r="AN314" i="1"/>
  <c r="AO314" i="1" s="1"/>
  <c r="AQ314" i="1" s="1"/>
  <c r="EK313" i="1"/>
  <c r="DT313" i="1"/>
  <c r="DV313" i="1" s="1"/>
  <c r="DR313" i="1"/>
  <c r="DK313" i="1"/>
  <c r="DF313" i="1"/>
  <c r="CW313" i="1"/>
  <c r="CY313" i="1" s="1"/>
  <c r="CR313" i="1"/>
  <c r="BC313" i="1"/>
  <c r="BE313" i="1" s="1"/>
  <c r="AU313" i="1"/>
  <c r="AN313" i="1"/>
  <c r="AO313" i="1" s="1"/>
  <c r="EK312" i="1"/>
  <c r="DK312" i="1"/>
  <c r="DF312" i="1"/>
  <c r="CY312" i="1"/>
  <c r="CW312" i="1"/>
  <c r="CR312" i="1"/>
  <c r="BK312" i="1"/>
  <c r="BM312" i="1" s="1"/>
  <c r="BC312" i="1"/>
  <c r="AU312" i="1"/>
  <c r="AN312" i="1"/>
  <c r="AO312" i="1" s="1"/>
  <c r="EK311" i="1"/>
  <c r="DT311" i="1"/>
  <c r="DV311" i="1" s="1"/>
  <c r="DR311" i="1"/>
  <c r="DK311" i="1"/>
  <c r="DF311" i="1"/>
  <c r="CW311" i="1"/>
  <c r="CY311" i="1" s="1"/>
  <c r="CR311" i="1"/>
  <c r="BK311" i="1"/>
  <c r="BM311" i="1" s="1"/>
  <c r="BC311" i="1"/>
  <c r="BE311" i="1" s="1"/>
  <c r="AU311" i="1"/>
  <c r="AN311" i="1"/>
  <c r="AO311" i="1" s="1"/>
  <c r="AQ311" i="1" s="1"/>
  <c r="DH311" i="1" s="1"/>
  <c r="DL311" i="1" s="1"/>
  <c r="EK310" i="1"/>
  <c r="DK310" i="1"/>
  <c r="DF310" i="1"/>
  <c r="DD310" i="1"/>
  <c r="CY310" i="1"/>
  <c r="CW310" i="1"/>
  <c r="CR310" i="1"/>
  <c r="CP310" i="1"/>
  <c r="CK310" i="1"/>
  <c r="CC310" i="1"/>
  <c r="BU310" i="1"/>
  <c r="BK310" i="1"/>
  <c r="BM310" i="1" s="1"/>
  <c r="BC310" i="1"/>
  <c r="AU310" i="1"/>
  <c r="AN310" i="1"/>
  <c r="AO310" i="1" s="1"/>
  <c r="AQ310" i="1" s="1"/>
  <c r="EK309" i="1"/>
  <c r="DK309" i="1"/>
  <c r="DF309" i="1"/>
  <c r="CY309" i="1"/>
  <c r="CR309" i="1"/>
  <c r="BM309" i="1"/>
  <c r="BK309" i="1"/>
  <c r="BC309" i="1"/>
  <c r="AU309" i="1"/>
  <c r="AO309" i="1"/>
  <c r="AN309" i="1"/>
  <c r="EK308" i="1"/>
  <c r="DK308" i="1"/>
  <c r="DF308" i="1"/>
  <c r="CY308" i="1"/>
  <c r="CR308" i="1"/>
  <c r="BM308" i="1"/>
  <c r="BK308" i="1"/>
  <c r="BC308" i="1"/>
  <c r="AU308" i="1"/>
  <c r="EK307" i="1"/>
  <c r="DP307" i="1"/>
  <c r="DR307" i="1" s="1"/>
  <c r="DN307" i="1"/>
  <c r="DK307" i="1"/>
  <c r="DH307" i="1"/>
  <c r="DF307" i="1"/>
  <c r="CY307" i="1"/>
  <c r="CW307" i="1"/>
  <c r="CR307" i="1"/>
  <c r="BK307" i="1"/>
  <c r="BM307" i="1" s="1"/>
  <c r="BC307" i="1"/>
  <c r="AY307" i="1"/>
  <c r="AU307" i="1"/>
  <c r="AW307" i="1" s="1"/>
  <c r="AO307" i="1"/>
  <c r="AN307" i="1"/>
  <c r="EK306" i="1"/>
  <c r="DT306" i="1"/>
  <c r="DV306" i="1" s="1"/>
  <c r="DR306" i="1"/>
  <c r="DK306" i="1"/>
  <c r="DF306" i="1"/>
  <c r="CW306" i="1"/>
  <c r="CY306" i="1" s="1"/>
  <c r="CR306" i="1"/>
  <c r="BM306" i="1"/>
  <c r="BK306" i="1"/>
  <c r="BC306" i="1"/>
  <c r="BE306" i="1" s="1"/>
  <c r="AU306" i="1"/>
  <c r="AQ306" i="1"/>
  <c r="DH306" i="1" s="1"/>
  <c r="DL306" i="1" s="1"/>
  <c r="AN306" i="1"/>
  <c r="AO306" i="1" s="1"/>
  <c r="EK305" i="1"/>
  <c r="DK305" i="1"/>
  <c r="DF305" i="1"/>
  <c r="CY305" i="1"/>
  <c r="CR305" i="1"/>
  <c r="BK305" i="1"/>
  <c r="BM305" i="1" s="1"/>
  <c r="BC305" i="1"/>
  <c r="AU305" i="1"/>
  <c r="AQ305" i="1"/>
  <c r="AN305" i="1"/>
  <c r="AO305" i="1" s="1"/>
  <c r="EK304" i="1"/>
  <c r="DK304" i="1"/>
  <c r="DF304" i="1"/>
  <c r="CY304" i="1"/>
  <c r="CR304" i="1"/>
  <c r="BK304" i="1"/>
  <c r="BM304" i="1" s="1"/>
  <c r="BC304" i="1"/>
  <c r="AU304" i="1"/>
  <c r="AQ304" i="1"/>
  <c r="AN304" i="1"/>
  <c r="AO304" i="1" s="1"/>
  <c r="EK303" i="1"/>
  <c r="DK303" i="1"/>
  <c r="DF303" i="1"/>
  <c r="CY303" i="1"/>
  <c r="CR303" i="1"/>
  <c r="BK303" i="1"/>
  <c r="BM303" i="1" s="1"/>
  <c r="BC303" i="1"/>
  <c r="AU303" i="1"/>
  <c r="AN303" i="1"/>
  <c r="AO303" i="1" s="1"/>
  <c r="EK302" i="1"/>
  <c r="DK302" i="1"/>
  <c r="DF302" i="1"/>
  <c r="CY302" i="1"/>
  <c r="CW302" i="1"/>
  <c r="CR302" i="1"/>
  <c r="BK302" i="1"/>
  <c r="BM302" i="1" s="1"/>
  <c r="BC302" i="1"/>
  <c r="AU302" i="1"/>
  <c r="AQ302" i="1"/>
  <c r="AN302" i="1"/>
  <c r="AO302" i="1" s="1"/>
  <c r="EK301" i="1"/>
  <c r="DT301" i="1"/>
  <c r="DV301" i="1" s="1"/>
  <c r="DP301" i="1"/>
  <c r="DR301" i="1" s="1"/>
  <c r="DN301" i="1"/>
  <c r="DK301" i="1"/>
  <c r="DH301" i="1"/>
  <c r="DL301" i="1" s="1"/>
  <c r="DF301" i="1"/>
  <c r="CY301" i="1"/>
  <c r="CW301" i="1"/>
  <c r="CR301" i="1"/>
  <c r="BK301" i="1"/>
  <c r="BM301" i="1" s="1"/>
  <c r="BC301" i="1"/>
  <c r="BE301" i="1" s="1"/>
  <c r="AU301" i="1"/>
  <c r="AW301" i="1" s="1"/>
  <c r="AN301" i="1"/>
  <c r="AO301" i="1" s="1"/>
  <c r="EK300" i="1"/>
  <c r="DK300" i="1"/>
  <c r="DF300" i="1"/>
  <c r="CY300" i="1"/>
  <c r="CW300" i="1"/>
  <c r="CR300" i="1"/>
  <c r="BK300" i="1"/>
  <c r="BM300" i="1" s="1"/>
  <c r="BC300" i="1"/>
  <c r="AU300" i="1"/>
  <c r="AN300" i="1"/>
  <c r="AO300" i="1" s="1"/>
  <c r="EK299" i="1"/>
  <c r="DK299" i="1"/>
  <c r="DF299" i="1"/>
  <c r="CW299" i="1"/>
  <c r="CY299" i="1" s="1"/>
  <c r="CR299" i="1"/>
  <c r="BK299" i="1"/>
  <c r="BM299" i="1" s="1"/>
  <c r="BC299" i="1"/>
  <c r="AU299" i="1"/>
  <c r="AO299" i="1"/>
  <c r="AQ299" i="1" s="1"/>
  <c r="AN299" i="1"/>
  <c r="EK298" i="1"/>
  <c r="DK298" i="1"/>
  <c r="DF298" i="1"/>
  <c r="DD298" i="1"/>
  <c r="CY298" i="1"/>
  <c r="CW298" i="1"/>
  <c r="CR298" i="1"/>
  <c r="BK298" i="1"/>
  <c r="BM298" i="1" s="1"/>
  <c r="BC298" i="1"/>
  <c r="AU298" i="1"/>
  <c r="AN298" i="1"/>
  <c r="AO298" i="1" s="1"/>
  <c r="EK297" i="1"/>
  <c r="DK297" i="1"/>
  <c r="DF297" i="1"/>
  <c r="CW297" i="1"/>
  <c r="CY297" i="1" s="1"/>
  <c r="CR297" i="1"/>
  <c r="BK297" i="1"/>
  <c r="BM297" i="1" s="1"/>
  <c r="BC297" i="1"/>
  <c r="AU297" i="1"/>
  <c r="AN297" i="1"/>
  <c r="AO297" i="1" s="1"/>
  <c r="EK296" i="1"/>
  <c r="DK296" i="1"/>
  <c r="DF296" i="1"/>
  <c r="CY296" i="1"/>
  <c r="CW296" i="1"/>
  <c r="CR296" i="1"/>
  <c r="BK296" i="1"/>
  <c r="BM296" i="1" s="1"/>
  <c r="BC296" i="1"/>
  <c r="AU296" i="1"/>
  <c r="AN296" i="1"/>
  <c r="AO296" i="1" s="1"/>
  <c r="EK295" i="1"/>
  <c r="DK295" i="1"/>
  <c r="DF295" i="1"/>
  <c r="CY295" i="1"/>
  <c r="CW295" i="1"/>
  <c r="CR295" i="1"/>
  <c r="BK295" i="1"/>
  <c r="BM295" i="1" s="1"/>
  <c r="BC295" i="1"/>
  <c r="AU295" i="1"/>
  <c r="AQ295" i="1"/>
  <c r="AN295" i="1"/>
  <c r="AO295" i="1" s="1"/>
  <c r="EK294" i="1"/>
  <c r="DK294" i="1"/>
  <c r="DF294" i="1"/>
  <c r="CY294" i="1"/>
  <c r="CW294" i="1"/>
  <c r="CR294" i="1"/>
  <c r="BK294" i="1"/>
  <c r="BM294" i="1" s="1"/>
  <c r="BC294" i="1"/>
  <c r="BE294" i="1" s="1"/>
  <c r="AU294" i="1"/>
  <c r="AN294" i="1"/>
  <c r="AO294" i="1" s="1"/>
  <c r="EK293" i="1"/>
  <c r="DK293" i="1"/>
  <c r="DF293" i="1"/>
  <c r="CY293" i="1"/>
  <c r="CW293" i="1"/>
  <c r="CR293" i="1"/>
  <c r="BK293" i="1"/>
  <c r="BM293" i="1" s="1"/>
  <c r="BC293" i="1"/>
  <c r="AU293" i="1"/>
  <c r="AN293" i="1"/>
  <c r="AO293" i="1" s="1"/>
  <c r="EK292" i="1"/>
  <c r="DK292" i="1"/>
  <c r="DF292" i="1"/>
  <c r="CW292" i="1"/>
  <c r="CY292" i="1" s="1"/>
  <c r="CR292" i="1"/>
  <c r="BM292" i="1"/>
  <c r="BK292" i="1"/>
  <c r="BC292" i="1"/>
  <c r="AU292" i="1"/>
  <c r="AO292" i="1"/>
  <c r="AQ292" i="1" s="1"/>
  <c r="AN292" i="1"/>
  <c r="EK291" i="1"/>
  <c r="DP291" i="1"/>
  <c r="DR291" i="1" s="1"/>
  <c r="DN291" i="1"/>
  <c r="DK291" i="1"/>
  <c r="DH291" i="1"/>
  <c r="DF291" i="1"/>
  <c r="CY291" i="1"/>
  <c r="CR291" i="1"/>
  <c r="BK291" i="1"/>
  <c r="BM291" i="1" s="1"/>
  <c r="BC291" i="1"/>
  <c r="AY291" i="1"/>
  <c r="BE291" i="1" s="1"/>
  <c r="AU291" i="1"/>
  <c r="AW291" i="1" s="1"/>
  <c r="AN291" i="1"/>
  <c r="AO291" i="1" s="1"/>
  <c r="EK290" i="1"/>
  <c r="DK290" i="1"/>
  <c r="DF290" i="1"/>
  <c r="DD290" i="1"/>
  <c r="CW290" i="1"/>
  <c r="CY290" i="1" s="1"/>
  <c r="CR290" i="1"/>
  <c r="BK290" i="1"/>
  <c r="BM290" i="1" s="1"/>
  <c r="BC290" i="1"/>
  <c r="BE290" i="1" s="1"/>
  <c r="AU290" i="1"/>
  <c r="AN290" i="1"/>
  <c r="AO290" i="1" s="1"/>
  <c r="EK289" i="1"/>
  <c r="DK289" i="1"/>
  <c r="DF289" i="1"/>
  <c r="CY289" i="1"/>
  <c r="CW289" i="1"/>
  <c r="CR289" i="1"/>
  <c r="CP289" i="1"/>
  <c r="BK289" i="1"/>
  <c r="BM289" i="1" s="1"/>
  <c r="BE289" i="1"/>
  <c r="BC289" i="1"/>
  <c r="AU289" i="1"/>
  <c r="AN289" i="1"/>
  <c r="AO289" i="1" s="1"/>
  <c r="EK288" i="1"/>
  <c r="DV288" i="1"/>
  <c r="DT288" i="1"/>
  <c r="DR288" i="1"/>
  <c r="DK288" i="1"/>
  <c r="DL288" i="1" s="1"/>
  <c r="DF288" i="1"/>
  <c r="DD288" i="1"/>
  <c r="CW288" i="1"/>
  <c r="CY288" i="1" s="1"/>
  <c r="CP288" i="1"/>
  <c r="CR288" i="1" s="1"/>
  <c r="CK288" i="1"/>
  <c r="CC288" i="1"/>
  <c r="BS288" i="1"/>
  <c r="BU288" i="1" s="1"/>
  <c r="BK288" i="1"/>
  <c r="BM288" i="1" s="1"/>
  <c r="BC288" i="1"/>
  <c r="BE288" i="1" s="1"/>
  <c r="AU288" i="1"/>
  <c r="AN288" i="1"/>
  <c r="AO288" i="1" s="1"/>
  <c r="EK287" i="1"/>
  <c r="DK287" i="1"/>
  <c r="DF287" i="1"/>
  <c r="DD287" i="1"/>
  <c r="CY287" i="1"/>
  <c r="CW287" i="1"/>
  <c r="CR287" i="1"/>
  <c r="BS287" i="1"/>
  <c r="BM287" i="1"/>
  <c r="BK287" i="1"/>
  <c r="BC287" i="1"/>
  <c r="BE287" i="1" s="1"/>
  <c r="AU287" i="1"/>
  <c r="AN287" i="1"/>
  <c r="AO287" i="1" s="1"/>
  <c r="EK286" i="1"/>
  <c r="DK286" i="1"/>
  <c r="DF286" i="1"/>
  <c r="DD286" i="1"/>
  <c r="CW286" i="1"/>
  <c r="CY286" i="1" s="1"/>
  <c r="CR286" i="1"/>
  <c r="BS286" i="1"/>
  <c r="BK286" i="1"/>
  <c r="BM286" i="1" s="1"/>
  <c r="BC286" i="1"/>
  <c r="AU286" i="1"/>
  <c r="AN286" i="1"/>
  <c r="AO286" i="1" s="1"/>
  <c r="EK285" i="1"/>
  <c r="DX285" i="1"/>
  <c r="DT285" i="1"/>
  <c r="DV285" i="1" s="1"/>
  <c r="DR285" i="1"/>
  <c r="DK285" i="1"/>
  <c r="DL285" i="1" s="1"/>
  <c r="DF285" i="1"/>
  <c r="DD285" i="1"/>
  <c r="CY285" i="1"/>
  <c r="CW285" i="1"/>
  <c r="CR285" i="1"/>
  <c r="BS285" i="1"/>
  <c r="BM285" i="1"/>
  <c r="BK285" i="1"/>
  <c r="BE285" i="1"/>
  <c r="BC285" i="1"/>
  <c r="AU285" i="1"/>
  <c r="AN285" i="1"/>
  <c r="AO285" i="1" s="1"/>
  <c r="EK284" i="1"/>
  <c r="DK284" i="1"/>
  <c r="DF284" i="1"/>
  <c r="DD284" i="1"/>
  <c r="CY284" i="1"/>
  <c r="CW284" i="1"/>
  <c r="CR284" i="1"/>
  <c r="BS284" i="1"/>
  <c r="BM284" i="1"/>
  <c r="BK284" i="1"/>
  <c r="BC284" i="1"/>
  <c r="AU284" i="1"/>
  <c r="AN284" i="1"/>
  <c r="AO284" i="1" s="1"/>
  <c r="AQ284" i="1" s="1"/>
  <c r="EK283" i="1"/>
  <c r="DP283" i="1"/>
  <c r="DR283" i="1" s="1"/>
  <c r="DN283" i="1"/>
  <c r="DK283" i="1"/>
  <c r="DH283" i="1"/>
  <c r="DL283" i="1" s="1"/>
  <c r="DF283" i="1"/>
  <c r="DD283" i="1"/>
  <c r="CW283" i="1"/>
  <c r="CY283" i="1" s="1"/>
  <c r="CR283" i="1"/>
  <c r="BS283" i="1"/>
  <c r="BK283" i="1"/>
  <c r="BM283" i="1" s="1"/>
  <c r="BC283" i="1"/>
  <c r="BE283" i="1" s="1"/>
  <c r="AU283" i="1"/>
  <c r="AW283" i="1" s="1"/>
  <c r="AN283" i="1"/>
  <c r="AO283" i="1" s="1"/>
  <c r="EK282" i="1"/>
  <c r="DX282" i="1"/>
  <c r="DT282" i="1"/>
  <c r="DV282" i="1" s="1"/>
  <c r="DR282" i="1"/>
  <c r="DK282" i="1"/>
  <c r="DL282" i="1" s="1"/>
  <c r="DF282" i="1"/>
  <c r="DD282" i="1"/>
  <c r="CY282" i="1"/>
  <c r="CW282" i="1"/>
  <c r="CR282" i="1"/>
  <c r="BS282" i="1"/>
  <c r="BM282" i="1"/>
  <c r="BK282" i="1"/>
  <c r="BE282" i="1"/>
  <c r="BC282" i="1"/>
  <c r="AU282" i="1"/>
  <c r="AN282" i="1"/>
  <c r="AO282" i="1" s="1"/>
  <c r="AQ282" i="1" s="1"/>
  <c r="AW282" i="1" s="1"/>
  <c r="EK281" i="1"/>
  <c r="DV281" i="1"/>
  <c r="DT281" i="1"/>
  <c r="DR281" i="1"/>
  <c r="DK281" i="1"/>
  <c r="DF281" i="1"/>
  <c r="DD281" i="1"/>
  <c r="CW281" i="1"/>
  <c r="CY281" i="1" s="1"/>
  <c r="CR281" i="1"/>
  <c r="BS281" i="1"/>
  <c r="BK281" i="1"/>
  <c r="BM281" i="1" s="1"/>
  <c r="BC281" i="1"/>
  <c r="BE281" i="1" s="1"/>
  <c r="AU281" i="1"/>
  <c r="AN281" i="1"/>
  <c r="AO281" i="1" s="1"/>
  <c r="AQ281" i="1" s="1"/>
  <c r="EK280" i="1"/>
  <c r="DK280" i="1"/>
  <c r="DF280" i="1"/>
  <c r="DD280" i="1"/>
  <c r="CW280" i="1"/>
  <c r="CY280" i="1" s="1"/>
  <c r="CR280" i="1"/>
  <c r="BU280" i="1"/>
  <c r="BS280" i="1"/>
  <c r="BM280" i="1"/>
  <c r="BK280" i="1"/>
  <c r="BE280" i="1"/>
  <c r="BC280" i="1"/>
  <c r="AU280" i="1"/>
  <c r="AN280" i="1"/>
  <c r="AO280" i="1" s="1"/>
  <c r="EK279" i="1"/>
  <c r="DK279" i="1"/>
  <c r="DF279" i="1"/>
  <c r="DD279" i="1"/>
  <c r="CY279" i="1"/>
  <c r="CW279" i="1"/>
  <c r="CR279" i="1"/>
  <c r="CP279" i="1"/>
  <c r="CK279" i="1"/>
  <c r="CC279" i="1"/>
  <c r="BU279" i="1"/>
  <c r="BS279" i="1"/>
  <c r="BM279" i="1"/>
  <c r="BK279" i="1"/>
  <c r="BC279" i="1"/>
  <c r="AU279" i="1"/>
  <c r="AN279" i="1"/>
  <c r="AO279" i="1" s="1"/>
  <c r="EK278" i="1"/>
  <c r="DK278" i="1"/>
  <c r="DF278" i="1"/>
  <c r="CY278" i="1"/>
  <c r="CW278" i="1"/>
  <c r="CR278" i="1"/>
  <c r="BS278" i="1"/>
  <c r="BM278" i="1"/>
  <c r="BK278" i="1"/>
  <c r="BC278" i="1"/>
  <c r="AU278" i="1"/>
  <c r="EK277" i="1"/>
  <c r="DK277" i="1"/>
  <c r="DF277" i="1"/>
  <c r="CY277" i="1"/>
  <c r="CW277" i="1"/>
  <c r="CR277" i="1"/>
  <c r="BS277" i="1"/>
  <c r="BK277" i="1"/>
  <c r="BM277" i="1" s="1"/>
  <c r="BC277" i="1"/>
  <c r="AU277" i="1"/>
  <c r="AN277" i="1"/>
  <c r="AO277" i="1" s="1"/>
  <c r="EK276" i="1"/>
  <c r="DK276" i="1"/>
  <c r="DF276" i="1"/>
  <c r="CW276" i="1"/>
  <c r="CY276" i="1" s="1"/>
  <c r="CR276" i="1"/>
  <c r="BS276" i="1"/>
  <c r="BK276" i="1"/>
  <c r="BM276" i="1" s="1"/>
  <c r="BC276" i="1"/>
  <c r="AU276" i="1"/>
  <c r="AQ276" i="1"/>
  <c r="AN276" i="1"/>
  <c r="AO276" i="1" s="1"/>
  <c r="EK275" i="1"/>
  <c r="DK275" i="1"/>
  <c r="DF275" i="1"/>
  <c r="CY275" i="1"/>
  <c r="CR275" i="1"/>
  <c r="BS275" i="1"/>
  <c r="BK275" i="1"/>
  <c r="BM275" i="1" s="1"/>
  <c r="BC275" i="1"/>
  <c r="AU275" i="1"/>
  <c r="AN275" i="1"/>
  <c r="AO275" i="1" s="1"/>
  <c r="EK274" i="1"/>
  <c r="DK274" i="1"/>
  <c r="DF274" i="1"/>
  <c r="DD274" i="1"/>
  <c r="CW274" i="1"/>
  <c r="CY274" i="1" s="1"/>
  <c r="CP274" i="1"/>
  <c r="CR274" i="1" s="1"/>
  <c r="CK274" i="1"/>
  <c r="CC274" i="1"/>
  <c r="BS274" i="1"/>
  <c r="BU274" i="1" s="1"/>
  <c r="BK274" i="1"/>
  <c r="BM274" i="1" s="1"/>
  <c r="BC274" i="1"/>
  <c r="BE274" i="1" s="1"/>
  <c r="AU274" i="1"/>
  <c r="AO274" i="1"/>
  <c r="AN274" i="1"/>
  <c r="EK273" i="1"/>
  <c r="DT273" i="1"/>
  <c r="DV273" i="1" s="1"/>
  <c r="DR273" i="1"/>
  <c r="DK273" i="1"/>
  <c r="CY273" i="1"/>
  <c r="CW273" i="1"/>
  <c r="CR273" i="1"/>
  <c r="BS273" i="1"/>
  <c r="BK273" i="1"/>
  <c r="BM273" i="1" s="1"/>
  <c r="BC273" i="1"/>
  <c r="BE273" i="1" s="1"/>
  <c r="AU273" i="1"/>
  <c r="AN273" i="1"/>
  <c r="AO273" i="1" s="1"/>
  <c r="EK272" i="1"/>
  <c r="DV272" i="1"/>
  <c r="DT272" i="1"/>
  <c r="DR272" i="1"/>
  <c r="DK272" i="1"/>
  <c r="CW272" i="1"/>
  <c r="CY272" i="1" s="1"/>
  <c r="CR272" i="1"/>
  <c r="BS272" i="1"/>
  <c r="BK272" i="1"/>
  <c r="BM272" i="1" s="1"/>
  <c r="BC272" i="1"/>
  <c r="AU272" i="1"/>
  <c r="AN272" i="1"/>
  <c r="AO272" i="1" s="1"/>
  <c r="EK271" i="1"/>
  <c r="DK271" i="1"/>
  <c r="CY271" i="1"/>
  <c r="CW271" i="1"/>
  <c r="CR271" i="1"/>
  <c r="BS271" i="1"/>
  <c r="BM271" i="1"/>
  <c r="BK271" i="1"/>
  <c r="BC271" i="1"/>
  <c r="BE271" i="1" s="1"/>
  <c r="AU271" i="1"/>
  <c r="AN271" i="1"/>
  <c r="AO271" i="1" s="1"/>
  <c r="AQ271" i="1" s="1"/>
  <c r="EK270" i="1"/>
  <c r="DK270" i="1"/>
  <c r="CY270" i="1"/>
  <c r="CW270" i="1"/>
  <c r="CR270" i="1"/>
  <c r="BS270" i="1"/>
  <c r="BM270" i="1"/>
  <c r="BK270" i="1"/>
  <c r="BE270" i="1"/>
  <c r="BC270" i="1"/>
  <c r="AU270" i="1"/>
  <c r="AN270" i="1"/>
  <c r="AO270" i="1" s="1"/>
  <c r="AQ270" i="1" s="1"/>
  <c r="EK269" i="1"/>
  <c r="DK269" i="1"/>
  <c r="CW269" i="1"/>
  <c r="CY269" i="1" s="1"/>
  <c r="CR269" i="1"/>
  <c r="BS269" i="1"/>
  <c r="BK269" i="1"/>
  <c r="BM269" i="1" s="1"/>
  <c r="BC269" i="1"/>
  <c r="AU269" i="1"/>
  <c r="AN269" i="1"/>
  <c r="AO269" i="1" s="1"/>
  <c r="AQ269" i="1" s="1"/>
  <c r="EK268" i="1"/>
  <c r="DK268" i="1"/>
  <c r="CW268" i="1"/>
  <c r="CY268" i="1" s="1"/>
  <c r="CP268" i="1"/>
  <c r="CR268" i="1" s="1"/>
  <c r="BS268" i="1"/>
  <c r="BM268" i="1"/>
  <c r="BK268" i="1"/>
  <c r="BC268" i="1"/>
  <c r="AU268" i="1"/>
  <c r="AO268" i="1"/>
  <c r="AN268" i="1"/>
  <c r="EK267" i="1"/>
  <c r="DK267" i="1"/>
  <c r="CY267" i="1"/>
  <c r="CR267" i="1"/>
  <c r="BS267" i="1"/>
  <c r="BK267" i="1"/>
  <c r="BM267" i="1" s="1"/>
  <c r="BC267" i="1"/>
  <c r="AU267" i="1"/>
  <c r="AQ267" i="1"/>
  <c r="AN267" i="1"/>
  <c r="AO267" i="1" s="1"/>
  <c r="EK266" i="1"/>
  <c r="DK266" i="1"/>
  <c r="CW266" i="1"/>
  <c r="CY266" i="1" s="1"/>
  <c r="CR266" i="1"/>
  <c r="BS266" i="1"/>
  <c r="BK266" i="1"/>
  <c r="BM266" i="1" s="1"/>
  <c r="BC266" i="1"/>
  <c r="AU266" i="1"/>
  <c r="AQ266" i="1"/>
  <c r="AN266" i="1"/>
  <c r="AO266" i="1" s="1"/>
  <c r="EK265" i="1"/>
  <c r="DK265" i="1"/>
  <c r="CW265" i="1"/>
  <c r="CY265" i="1" s="1"/>
  <c r="CR265" i="1"/>
  <c r="BS265" i="1"/>
  <c r="BK265" i="1"/>
  <c r="BM265" i="1" s="1"/>
  <c r="BC265" i="1"/>
  <c r="BE265" i="1" s="1"/>
  <c r="AU265" i="1"/>
  <c r="AN265" i="1"/>
  <c r="AO265" i="1" s="1"/>
  <c r="EK264" i="1"/>
  <c r="DK264" i="1"/>
  <c r="CY264" i="1"/>
  <c r="CW264" i="1"/>
  <c r="CR264" i="1"/>
  <c r="BS264" i="1"/>
  <c r="BK264" i="1"/>
  <c r="BM264" i="1" s="1"/>
  <c r="BC264" i="1"/>
  <c r="AU264" i="1"/>
  <c r="AN264" i="1"/>
  <c r="AO264" i="1" s="1"/>
  <c r="AQ264" i="1" s="1"/>
  <c r="EK263" i="1"/>
  <c r="DK263" i="1"/>
  <c r="DD263" i="1"/>
  <c r="CW263" i="1"/>
  <c r="CY263" i="1" s="1"/>
  <c r="CR263" i="1"/>
  <c r="BS263" i="1"/>
  <c r="BK263" i="1"/>
  <c r="BM263" i="1" s="1"/>
  <c r="BC263" i="1"/>
  <c r="AU263" i="1"/>
  <c r="AN263" i="1"/>
  <c r="AO263" i="1" s="1"/>
  <c r="AQ263" i="1" s="1"/>
  <c r="EK262" i="1"/>
  <c r="DK262" i="1"/>
  <c r="DF262" i="1"/>
  <c r="DD262" i="1"/>
  <c r="CW262" i="1"/>
  <c r="CY262" i="1" s="1"/>
  <c r="CR262" i="1"/>
  <c r="BS262" i="1"/>
  <c r="BK262" i="1"/>
  <c r="BM262" i="1" s="1"/>
  <c r="BC262" i="1"/>
  <c r="AU262" i="1"/>
  <c r="AN262" i="1"/>
  <c r="AO262" i="1" s="1"/>
  <c r="EK261" i="1"/>
  <c r="DR261" i="1"/>
  <c r="DP261" i="1"/>
  <c r="DT261" i="1" s="1"/>
  <c r="DV261" i="1" s="1"/>
  <c r="DN261" i="1"/>
  <c r="DK261" i="1"/>
  <c r="DH261" i="1"/>
  <c r="DF261" i="1"/>
  <c r="DD261" i="1"/>
  <c r="CY261" i="1"/>
  <c r="CW261" i="1"/>
  <c r="CR261" i="1"/>
  <c r="CP261" i="1"/>
  <c r="CK261" i="1"/>
  <c r="CI261" i="1"/>
  <c r="CC261" i="1"/>
  <c r="CA261" i="1"/>
  <c r="BU261" i="1"/>
  <c r="BS261" i="1"/>
  <c r="BK261" i="1"/>
  <c r="BM261" i="1" s="1"/>
  <c r="BC261" i="1"/>
  <c r="AY261" i="1"/>
  <c r="BE261" i="1" s="1"/>
  <c r="AU261" i="1"/>
  <c r="AW261" i="1" s="1"/>
  <c r="AN261" i="1"/>
  <c r="AO261" i="1" s="1"/>
  <c r="EK260" i="1"/>
  <c r="DV260" i="1"/>
  <c r="DT260" i="1"/>
  <c r="DR260" i="1"/>
  <c r="DK260" i="1"/>
  <c r="DF260" i="1"/>
  <c r="DD260" i="1"/>
  <c r="CW260" i="1"/>
  <c r="CY260" i="1" s="1"/>
  <c r="CR260" i="1"/>
  <c r="BS260" i="1"/>
  <c r="BK260" i="1"/>
  <c r="BM260" i="1" s="1"/>
  <c r="BC260" i="1"/>
  <c r="BE260" i="1" s="1"/>
  <c r="AU260" i="1"/>
  <c r="AN260" i="1"/>
  <c r="AO260" i="1" s="1"/>
  <c r="AQ260" i="1" s="1"/>
  <c r="EK259" i="1"/>
  <c r="DK259" i="1"/>
  <c r="DF259" i="1"/>
  <c r="DD259" i="1"/>
  <c r="CY259" i="1"/>
  <c r="CW259" i="1"/>
  <c r="CR259" i="1"/>
  <c r="BS259" i="1"/>
  <c r="BM259" i="1"/>
  <c r="BK259" i="1"/>
  <c r="BC259" i="1"/>
  <c r="AU259" i="1"/>
  <c r="AN259" i="1"/>
  <c r="AO259" i="1" s="1"/>
  <c r="EK258" i="1"/>
  <c r="DK258" i="1"/>
  <c r="DD258" i="1"/>
  <c r="DF258" i="1" s="1"/>
  <c r="CW258" i="1"/>
  <c r="CY258" i="1" s="1"/>
  <c r="CR258" i="1"/>
  <c r="BS258" i="1"/>
  <c r="BK258" i="1"/>
  <c r="BM258" i="1" s="1"/>
  <c r="BC258" i="1"/>
  <c r="BE258" i="1" s="1"/>
  <c r="AU258" i="1"/>
  <c r="AN258" i="1"/>
  <c r="AO258" i="1" s="1"/>
  <c r="EK257" i="1"/>
  <c r="DK257" i="1"/>
  <c r="DF257" i="1"/>
  <c r="DD257" i="1"/>
  <c r="CY257" i="1"/>
  <c r="CW257" i="1"/>
  <c r="CR257" i="1"/>
  <c r="BS257" i="1"/>
  <c r="BK257" i="1"/>
  <c r="BM257" i="1" s="1"/>
  <c r="BC257" i="1"/>
  <c r="AU257" i="1"/>
  <c r="AN257" i="1"/>
  <c r="AO257" i="1" s="1"/>
  <c r="EK256" i="1"/>
  <c r="DK256" i="1"/>
  <c r="DF256" i="1"/>
  <c r="DD256" i="1"/>
  <c r="CW256" i="1"/>
  <c r="CY256" i="1" s="1"/>
  <c r="CR256" i="1"/>
  <c r="BU256" i="1"/>
  <c r="BS256" i="1"/>
  <c r="BM256" i="1"/>
  <c r="BK256" i="1"/>
  <c r="BC256" i="1"/>
  <c r="AU256" i="1"/>
  <c r="AN256" i="1"/>
  <c r="AO256" i="1" s="1"/>
  <c r="EK255" i="1"/>
  <c r="DN255" i="1"/>
  <c r="DK255" i="1"/>
  <c r="DF255" i="1"/>
  <c r="DD255" i="1"/>
  <c r="CY255" i="1"/>
  <c r="CW255" i="1"/>
  <c r="CR255" i="1"/>
  <c r="BS255" i="1"/>
  <c r="BU255" i="1" s="1"/>
  <c r="BK255" i="1"/>
  <c r="BM255" i="1" s="1"/>
  <c r="BC255" i="1"/>
  <c r="BE255" i="1" s="1"/>
  <c r="AU255" i="1"/>
  <c r="AO255" i="1"/>
  <c r="AQ255" i="1" s="1"/>
  <c r="AN255" i="1"/>
  <c r="EK254" i="1"/>
  <c r="DK254" i="1"/>
  <c r="DF254" i="1"/>
  <c r="DD254" i="1"/>
  <c r="CW254" i="1"/>
  <c r="CY254" i="1" s="1"/>
  <c r="CR254" i="1"/>
  <c r="BU254" i="1"/>
  <c r="BS254" i="1"/>
  <c r="BM254" i="1"/>
  <c r="BK254" i="1"/>
  <c r="BE254" i="1"/>
  <c r="BC254" i="1"/>
  <c r="AU254" i="1"/>
  <c r="AN254" i="1"/>
  <c r="AO254" i="1" s="1"/>
  <c r="EK253" i="1"/>
  <c r="DN253" i="1"/>
  <c r="DK253" i="1"/>
  <c r="DF253" i="1"/>
  <c r="DD253" i="1"/>
  <c r="CY253" i="1"/>
  <c r="CW253" i="1"/>
  <c r="CR253" i="1"/>
  <c r="BS253" i="1"/>
  <c r="BU253" i="1" s="1"/>
  <c r="BK253" i="1"/>
  <c r="BM253" i="1" s="1"/>
  <c r="BC253" i="1"/>
  <c r="BE253" i="1" s="1"/>
  <c r="AU253" i="1"/>
  <c r="AO253" i="1"/>
  <c r="AQ253" i="1" s="1"/>
  <c r="AN253" i="1"/>
  <c r="EK252" i="1"/>
  <c r="DK252" i="1"/>
  <c r="DF252" i="1"/>
  <c r="DD252" i="1"/>
  <c r="CW252" i="1"/>
  <c r="CY252" i="1" s="1"/>
  <c r="CR252" i="1"/>
  <c r="BU252" i="1"/>
  <c r="BS252" i="1"/>
  <c r="BM252" i="1"/>
  <c r="BK252" i="1"/>
  <c r="BE252" i="1"/>
  <c r="BC252" i="1"/>
  <c r="AU252" i="1"/>
  <c r="AN252" i="1"/>
  <c r="AO252" i="1" s="1"/>
  <c r="EK251" i="1"/>
  <c r="DN251" i="1"/>
  <c r="DK251" i="1"/>
  <c r="DH251" i="1"/>
  <c r="DL251" i="1" s="1"/>
  <c r="DF251" i="1"/>
  <c r="DD251" i="1"/>
  <c r="CY251" i="1"/>
  <c r="CW251" i="1"/>
  <c r="CR251" i="1"/>
  <c r="BS251" i="1"/>
  <c r="BU251" i="1" s="1"/>
  <c r="BK251" i="1"/>
  <c r="BM251" i="1" s="1"/>
  <c r="BC251" i="1"/>
  <c r="AY251" i="1"/>
  <c r="AW251" i="1"/>
  <c r="AU251" i="1"/>
  <c r="AO251" i="1"/>
  <c r="AN251" i="1"/>
  <c r="EK250" i="1"/>
  <c r="DK250" i="1"/>
  <c r="DF250" i="1"/>
  <c r="DD250" i="1"/>
  <c r="CW250" i="1"/>
  <c r="CY250" i="1" s="1"/>
  <c r="CP250" i="1"/>
  <c r="CR250" i="1" s="1"/>
  <c r="CK250" i="1"/>
  <c r="CC250" i="1"/>
  <c r="BS250" i="1"/>
  <c r="BU250" i="1" s="1"/>
  <c r="BK250" i="1"/>
  <c r="BM250" i="1" s="1"/>
  <c r="BC250" i="1"/>
  <c r="BE250" i="1" s="1"/>
  <c r="AU250" i="1"/>
  <c r="AO250" i="1"/>
  <c r="AN250" i="1"/>
  <c r="EK249" i="1"/>
  <c r="DK249" i="1"/>
  <c r="DF249" i="1"/>
  <c r="DD249" i="1"/>
  <c r="CW249" i="1"/>
  <c r="CY249" i="1" s="1"/>
  <c r="CP249" i="1"/>
  <c r="CR249" i="1" s="1"/>
  <c r="CK249" i="1"/>
  <c r="CC249" i="1"/>
  <c r="BS249" i="1"/>
  <c r="BU249" i="1" s="1"/>
  <c r="BK249" i="1"/>
  <c r="BM249" i="1" s="1"/>
  <c r="BC249" i="1"/>
  <c r="AU249" i="1"/>
  <c r="AN249" i="1"/>
  <c r="AO249" i="1" s="1"/>
  <c r="EK248" i="1"/>
  <c r="DR248" i="1"/>
  <c r="DP248" i="1"/>
  <c r="DL248" i="1"/>
  <c r="DK248" i="1"/>
  <c r="DF248" i="1"/>
  <c r="DD248" i="1"/>
  <c r="CY248" i="1"/>
  <c r="CW248" i="1"/>
  <c r="CR248" i="1"/>
  <c r="CP248" i="1"/>
  <c r="CK248" i="1"/>
  <c r="CC248" i="1"/>
  <c r="BU248" i="1"/>
  <c r="BS248" i="1"/>
  <c r="BM248" i="1"/>
  <c r="BK248" i="1"/>
  <c r="BE248" i="1"/>
  <c r="BC248" i="1"/>
  <c r="AW248" i="1"/>
  <c r="AU248" i="1"/>
  <c r="AO248" i="1"/>
  <c r="AN248" i="1"/>
  <c r="EK247" i="1"/>
  <c r="DT247" i="1"/>
  <c r="DV247" i="1" s="1"/>
  <c r="DP247" i="1"/>
  <c r="DR247" i="1" s="1"/>
  <c r="DK247" i="1"/>
  <c r="DL247" i="1" s="1"/>
  <c r="DF247" i="1"/>
  <c r="DD247" i="1"/>
  <c r="CW247" i="1"/>
  <c r="CY247" i="1" s="1"/>
  <c r="CP247" i="1"/>
  <c r="CR247" i="1" s="1"/>
  <c r="CK247" i="1"/>
  <c r="CC247" i="1"/>
  <c r="BS247" i="1"/>
  <c r="BU247" i="1" s="1"/>
  <c r="BK247" i="1"/>
  <c r="BM247" i="1" s="1"/>
  <c r="BC247" i="1"/>
  <c r="AU247" i="1"/>
  <c r="AQ247" i="1"/>
  <c r="AY247" i="1" s="1"/>
  <c r="BE247" i="1" s="1"/>
  <c r="AN247" i="1"/>
  <c r="AO247" i="1" s="1"/>
  <c r="EK246" i="1"/>
  <c r="DK246" i="1"/>
  <c r="DF246" i="1"/>
  <c r="DD246" i="1"/>
  <c r="CY246" i="1"/>
  <c r="CW246" i="1"/>
  <c r="CR246" i="1"/>
  <c r="CP246" i="1"/>
  <c r="CK246" i="1"/>
  <c r="CC246" i="1"/>
  <c r="BU246" i="1"/>
  <c r="BS246" i="1"/>
  <c r="BM246" i="1"/>
  <c r="BK246" i="1"/>
  <c r="BC246" i="1"/>
  <c r="AU246" i="1"/>
  <c r="AO246" i="1"/>
  <c r="AQ246" i="1" s="1"/>
  <c r="AN246" i="1"/>
  <c r="EK245" i="1"/>
  <c r="DK245" i="1"/>
  <c r="DF245" i="1"/>
  <c r="DD245" i="1"/>
  <c r="CW245" i="1"/>
  <c r="CY245" i="1" s="1"/>
  <c r="CP245" i="1"/>
  <c r="CR245" i="1" s="1"/>
  <c r="CK245" i="1"/>
  <c r="CC245" i="1"/>
  <c r="BS245" i="1"/>
  <c r="BU245" i="1" s="1"/>
  <c r="BK245" i="1"/>
  <c r="BM245" i="1" s="1"/>
  <c r="BC245" i="1"/>
  <c r="BE245" i="1" s="1"/>
  <c r="AU245" i="1"/>
  <c r="AO245" i="1"/>
  <c r="AN245" i="1"/>
  <c r="EK244" i="1"/>
  <c r="DK244" i="1"/>
  <c r="DF244" i="1"/>
  <c r="DD244" i="1"/>
  <c r="CW244" i="1"/>
  <c r="CY244" i="1" s="1"/>
  <c r="CP244" i="1"/>
  <c r="CR244" i="1" s="1"/>
  <c r="CK244" i="1"/>
  <c r="CC244" i="1"/>
  <c r="BS244" i="1"/>
  <c r="BU244" i="1" s="1"/>
  <c r="BK244" i="1"/>
  <c r="BM244" i="1" s="1"/>
  <c r="BC244" i="1"/>
  <c r="BE244" i="1" s="1"/>
  <c r="AU244" i="1"/>
  <c r="AO244" i="1"/>
  <c r="AN244" i="1"/>
  <c r="EK243" i="1"/>
  <c r="DT243" i="1"/>
  <c r="DV243" i="1" s="1"/>
  <c r="DP243" i="1"/>
  <c r="DR243" i="1" s="1"/>
  <c r="DK243" i="1"/>
  <c r="DL243" i="1" s="1"/>
  <c r="DF243" i="1"/>
  <c r="DD243" i="1"/>
  <c r="CW243" i="1"/>
  <c r="CY243" i="1" s="1"/>
  <c r="CP243" i="1"/>
  <c r="CR243" i="1" s="1"/>
  <c r="CK243" i="1"/>
  <c r="CC243" i="1"/>
  <c r="BS243" i="1"/>
  <c r="BU243" i="1" s="1"/>
  <c r="BK243" i="1"/>
  <c r="BM243" i="1" s="1"/>
  <c r="BC243" i="1"/>
  <c r="AU243" i="1"/>
  <c r="AQ243" i="1"/>
  <c r="AY243" i="1" s="1"/>
  <c r="BE243" i="1" s="1"/>
  <c r="AN243" i="1"/>
  <c r="AO243" i="1" s="1"/>
  <c r="EK242" i="1"/>
  <c r="DK242" i="1"/>
  <c r="DF242" i="1"/>
  <c r="DD242" i="1"/>
  <c r="CY242" i="1"/>
  <c r="CW242" i="1"/>
  <c r="CR242" i="1"/>
  <c r="CP242" i="1"/>
  <c r="CK242" i="1"/>
  <c r="CC242" i="1"/>
  <c r="BU242" i="1"/>
  <c r="BS242" i="1"/>
  <c r="BM242" i="1"/>
  <c r="BK242" i="1"/>
  <c r="BE242" i="1"/>
  <c r="BC242" i="1"/>
  <c r="AU242" i="1"/>
  <c r="AN242" i="1"/>
  <c r="AO242" i="1" s="1"/>
  <c r="AQ242" i="1" s="1"/>
  <c r="EK241" i="1"/>
  <c r="DK241" i="1"/>
  <c r="DF241" i="1"/>
  <c r="DD241" i="1"/>
  <c r="CY241" i="1"/>
  <c r="CW241" i="1"/>
  <c r="CR241" i="1"/>
  <c r="CP241" i="1"/>
  <c r="CK241" i="1"/>
  <c r="CC241" i="1"/>
  <c r="BU241" i="1"/>
  <c r="BS241" i="1"/>
  <c r="BM241" i="1"/>
  <c r="BK241" i="1"/>
  <c r="BE241" i="1"/>
  <c r="BC241" i="1"/>
  <c r="AU241" i="1"/>
  <c r="AQ241" i="1"/>
  <c r="DH241" i="1" s="1"/>
  <c r="DL241" i="1" s="1"/>
  <c r="AN241" i="1"/>
  <c r="AO241" i="1" s="1"/>
  <c r="EK240" i="1"/>
  <c r="DR240" i="1"/>
  <c r="DP240" i="1"/>
  <c r="DT240" i="1" s="1"/>
  <c r="DV240" i="1" s="1"/>
  <c r="DN240" i="1"/>
  <c r="DK240" i="1"/>
  <c r="DH240" i="1"/>
  <c r="DL240" i="1" s="1"/>
  <c r="DF240" i="1"/>
  <c r="DD240" i="1"/>
  <c r="CY240" i="1"/>
  <c r="CW240" i="1"/>
  <c r="CR240" i="1"/>
  <c r="CP240" i="1"/>
  <c r="CK240" i="1"/>
  <c r="CC240" i="1"/>
  <c r="BU240" i="1"/>
  <c r="BK240" i="1"/>
  <c r="BM240" i="1" s="1"/>
  <c r="BC240" i="1"/>
  <c r="AY240" i="1"/>
  <c r="BE240" i="1" s="1"/>
  <c r="AW240" i="1"/>
  <c r="AU240" i="1"/>
  <c r="AO240" i="1"/>
  <c r="AN240" i="1"/>
  <c r="EK239" i="1"/>
  <c r="DT239" i="1"/>
  <c r="DV239" i="1" s="1"/>
  <c r="DP239" i="1"/>
  <c r="DR239" i="1" s="1"/>
  <c r="DN239" i="1"/>
  <c r="DK239" i="1"/>
  <c r="DH239" i="1"/>
  <c r="DL239" i="1" s="1"/>
  <c r="DF239" i="1"/>
  <c r="DD239" i="1"/>
  <c r="CW239" i="1"/>
  <c r="CY239" i="1" s="1"/>
  <c r="CP239" i="1"/>
  <c r="CR239" i="1" s="1"/>
  <c r="CK239" i="1"/>
  <c r="CC239" i="1"/>
  <c r="BU239" i="1"/>
  <c r="BM239" i="1"/>
  <c r="BK239" i="1"/>
  <c r="BC239" i="1"/>
  <c r="AY239" i="1"/>
  <c r="BE239" i="1" s="1"/>
  <c r="AU239" i="1"/>
  <c r="AW239" i="1" s="1"/>
  <c r="AN239" i="1"/>
  <c r="AO239" i="1" s="1"/>
  <c r="EK238" i="1"/>
  <c r="DV238" i="1"/>
  <c r="DT238" i="1"/>
  <c r="DR238" i="1"/>
  <c r="DK238" i="1"/>
  <c r="DF238" i="1"/>
  <c r="CW238" i="1"/>
  <c r="CY238" i="1" s="1"/>
  <c r="CR238" i="1"/>
  <c r="CP238" i="1"/>
  <c r="CK238" i="1"/>
  <c r="CC238" i="1"/>
  <c r="BU238" i="1"/>
  <c r="BK238" i="1"/>
  <c r="BM238" i="1" s="1"/>
  <c r="BC238" i="1"/>
  <c r="BE238" i="1" s="1"/>
  <c r="AU238" i="1"/>
  <c r="AO238" i="1"/>
  <c r="AQ238" i="1" s="1"/>
  <c r="AN238" i="1"/>
  <c r="EK237" i="1"/>
  <c r="DT237" i="1"/>
  <c r="DV237" i="1" s="1"/>
  <c r="DR237" i="1"/>
  <c r="DK237" i="1"/>
  <c r="DF237" i="1"/>
  <c r="CW237" i="1"/>
  <c r="CY237" i="1" s="1"/>
  <c r="CP237" i="1"/>
  <c r="CR237" i="1" s="1"/>
  <c r="CK237" i="1"/>
  <c r="CC237" i="1"/>
  <c r="BU237" i="1"/>
  <c r="BM237" i="1"/>
  <c r="BK237" i="1"/>
  <c r="BC237" i="1"/>
  <c r="AZ237" i="1"/>
  <c r="BE237" i="1" s="1"/>
  <c r="AU237" i="1"/>
  <c r="AO237" i="1"/>
  <c r="AN237" i="1"/>
  <c r="EK236" i="1"/>
  <c r="DT236" i="1"/>
  <c r="DV236" i="1" s="1"/>
  <c r="DP236" i="1"/>
  <c r="DR236" i="1" s="1"/>
  <c r="DN236" i="1"/>
  <c r="DK236" i="1"/>
  <c r="DH236" i="1"/>
  <c r="DL236" i="1" s="1"/>
  <c r="DF236" i="1"/>
  <c r="DD236" i="1"/>
  <c r="CW236" i="1"/>
  <c r="CY236" i="1" s="1"/>
  <c r="CP236" i="1"/>
  <c r="CR236" i="1" s="1"/>
  <c r="CK236" i="1"/>
  <c r="CC236" i="1"/>
  <c r="BU236" i="1"/>
  <c r="BM236" i="1"/>
  <c r="BK236" i="1"/>
  <c r="BE236" i="1"/>
  <c r="BC236" i="1"/>
  <c r="AW236" i="1"/>
  <c r="AU236" i="1"/>
  <c r="AO236" i="1"/>
  <c r="AN236" i="1"/>
  <c r="EK235" i="1"/>
  <c r="DT235" i="1"/>
  <c r="DV235" i="1" s="1"/>
  <c r="DR235" i="1"/>
  <c r="DL235" i="1"/>
  <c r="DK235" i="1"/>
  <c r="DF235" i="1"/>
  <c r="DD235" i="1"/>
  <c r="CY235" i="1"/>
  <c r="CW235" i="1"/>
  <c r="CR235" i="1"/>
  <c r="CP235" i="1"/>
  <c r="CK235" i="1"/>
  <c r="CI235" i="1"/>
  <c r="CC235" i="1"/>
  <c r="CA235" i="1"/>
  <c r="BU235" i="1"/>
  <c r="BS235" i="1"/>
  <c r="BM235" i="1"/>
  <c r="BK235" i="1"/>
  <c r="BE235" i="1"/>
  <c r="BC235" i="1"/>
  <c r="AU235" i="1"/>
  <c r="AQ235" i="1"/>
  <c r="AW235" i="1" s="1"/>
  <c r="AN235" i="1"/>
  <c r="AO235" i="1" s="1"/>
  <c r="EK234" i="1"/>
  <c r="DV234" i="1"/>
  <c r="DT234" i="1"/>
  <c r="DR234" i="1"/>
  <c r="DX234" i="1" s="1"/>
  <c r="DK234" i="1"/>
  <c r="DL234" i="1" s="1"/>
  <c r="DF234" i="1"/>
  <c r="DD234" i="1"/>
  <c r="CW234" i="1"/>
  <c r="CY234" i="1" s="1"/>
  <c r="CP234" i="1"/>
  <c r="CR234" i="1" s="1"/>
  <c r="CK234" i="1"/>
  <c r="CC234" i="1"/>
  <c r="BU234" i="1"/>
  <c r="BM234" i="1"/>
  <c r="BK234" i="1"/>
  <c r="BE234" i="1"/>
  <c r="BC234" i="1"/>
  <c r="AU234" i="1"/>
  <c r="AQ234" i="1"/>
  <c r="AW234" i="1" s="1"/>
  <c r="EE234" i="1" s="1"/>
  <c r="EL234" i="1" s="1"/>
  <c r="EN234" i="1" s="1"/>
  <c r="AN234" i="1"/>
  <c r="AO234" i="1" s="1"/>
  <c r="EK233" i="1"/>
  <c r="DR233" i="1"/>
  <c r="DP233" i="1"/>
  <c r="DL233" i="1"/>
  <c r="DK233" i="1"/>
  <c r="DF233" i="1"/>
  <c r="DD233" i="1"/>
  <c r="CW233" i="1"/>
  <c r="CY233" i="1" s="1"/>
  <c r="CR233" i="1"/>
  <c r="CP233" i="1"/>
  <c r="CK233" i="1"/>
  <c r="CC233" i="1"/>
  <c r="BU233" i="1"/>
  <c r="BK233" i="1"/>
  <c r="BM233" i="1" s="1"/>
  <c r="BC233" i="1"/>
  <c r="BE233" i="1" s="1"/>
  <c r="AU233" i="1"/>
  <c r="AO233" i="1"/>
  <c r="AQ233" i="1" s="1"/>
  <c r="AW233" i="1" s="1"/>
  <c r="AN233" i="1"/>
  <c r="EK232" i="1"/>
  <c r="DX232" i="1"/>
  <c r="DT232" i="1"/>
  <c r="DV232" i="1" s="1"/>
  <c r="DR232" i="1"/>
  <c r="DL232" i="1"/>
  <c r="DK232" i="1"/>
  <c r="DF232" i="1"/>
  <c r="DD232" i="1"/>
  <c r="CW232" i="1"/>
  <c r="CY232" i="1" s="1"/>
  <c r="CR232" i="1"/>
  <c r="CP232" i="1"/>
  <c r="CK232" i="1"/>
  <c r="CC232" i="1"/>
  <c r="BU232" i="1"/>
  <c r="BS232" i="1"/>
  <c r="BM232" i="1"/>
  <c r="BK232" i="1"/>
  <c r="BE232" i="1"/>
  <c r="BC232" i="1"/>
  <c r="AU232" i="1"/>
  <c r="AN232" i="1"/>
  <c r="AO232" i="1" s="1"/>
  <c r="EK231" i="1"/>
  <c r="DK231" i="1"/>
  <c r="DF231" i="1"/>
  <c r="DD231" i="1"/>
  <c r="CW231" i="1"/>
  <c r="CY231" i="1" s="1"/>
  <c r="CR231" i="1"/>
  <c r="CP231" i="1"/>
  <c r="CK231" i="1"/>
  <c r="CI231" i="1"/>
  <c r="CC231" i="1"/>
  <c r="CA231" i="1"/>
  <c r="BU231" i="1"/>
  <c r="BS231" i="1"/>
  <c r="BM231" i="1"/>
  <c r="BK231" i="1"/>
  <c r="BE231" i="1"/>
  <c r="BC231" i="1"/>
  <c r="AU231" i="1"/>
  <c r="AQ231" i="1"/>
  <c r="AN231" i="1"/>
  <c r="AO231" i="1" s="1"/>
  <c r="EK230" i="1"/>
  <c r="DK230" i="1"/>
  <c r="DF230" i="1"/>
  <c r="DD230" i="1"/>
  <c r="CY230" i="1"/>
  <c r="CW230" i="1"/>
  <c r="CR230" i="1"/>
  <c r="CP230" i="1"/>
  <c r="CK230" i="1"/>
  <c r="CC230" i="1"/>
  <c r="BU230" i="1"/>
  <c r="BS230" i="1"/>
  <c r="BM230" i="1"/>
  <c r="BK230" i="1"/>
  <c r="BE230" i="1"/>
  <c r="BC230" i="1"/>
  <c r="AU230" i="1"/>
  <c r="AN230" i="1"/>
  <c r="AO230" i="1" s="1"/>
  <c r="AQ230" i="1" s="1"/>
  <c r="EK229" i="1"/>
  <c r="DK229" i="1"/>
  <c r="DF229" i="1"/>
  <c r="DD229" i="1"/>
  <c r="CY229" i="1"/>
  <c r="CW229" i="1"/>
  <c r="CR229" i="1"/>
  <c r="CP229" i="1"/>
  <c r="CK229" i="1"/>
  <c r="CC229" i="1"/>
  <c r="BU229" i="1"/>
  <c r="BS229" i="1"/>
  <c r="BM229" i="1"/>
  <c r="BK229" i="1"/>
  <c r="BE229" i="1"/>
  <c r="BC229" i="1"/>
  <c r="AU229" i="1"/>
  <c r="AQ229" i="1"/>
  <c r="DH229" i="1" s="1"/>
  <c r="DL229" i="1" s="1"/>
  <c r="AN229" i="1"/>
  <c r="AO229" i="1" s="1"/>
  <c r="EK228" i="1"/>
  <c r="DK228" i="1"/>
  <c r="DF228" i="1"/>
  <c r="DD228" i="1"/>
  <c r="CW228" i="1"/>
  <c r="CY228" i="1" s="1"/>
  <c r="CR228" i="1"/>
  <c r="CP228" i="1"/>
  <c r="CK228" i="1"/>
  <c r="CC228" i="1"/>
  <c r="BU228" i="1"/>
  <c r="BS228" i="1"/>
  <c r="BM228" i="1"/>
  <c r="BK228" i="1"/>
  <c r="BE228" i="1"/>
  <c r="BC228" i="1"/>
  <c r="AU228" i="1"/>
  <c r="AN228" i="1"/>
  <c r="AO228" i="1" s="1"/>
  <c r="AQ228" i="1" s="1"/>
  <c r="EK227" i="1"/>
  <c r="DK227" i="1"/>
  <c r="DF227" i="1"/>
  <c r="DD227" i="1"/>
  <c r="CW227" i="1"/>
  <c r="CY227" i="1" s="1"/>
  <c r="CR227" i="1"/>
  <c r="CP227" i="1"/>
  <c r="CK227" i="1"/>
  <c r="CC227" i="1"/>
  <c r="BU227" i="1"/>
  <c r="BS227" i="1"/>
  <c r="BM227" i="1"/>
  <c r="BK227" i="1"/>
  <c r="BC227" i="1"/>
  <c r="AU227" i="1"/>
  <c r="AN227" i="1"/>
  <c r="AO227" i="1" s="1"/>
  <c r="AQ227" i="1" s="1"/>
  <c r="EK226" i="1"/>
  <c r="DK226" i="1"/>
  <c r="DF226" i="1"/>
  <c r="DD226" i="1"/>
  <c r="CW226" i="1"/>
  <c r="CY226" i="1" s="1"/>
  <c r="CP226" i="1"/>
  <c r="CR226" i="1" s="1"/>
  <c r="CK226" i="1"/>
  <c r="CC226" i="1"/>
  <c r="BS226" i="1"/>
  <c r="BU226" i="1" s="1"/>
  <c r="BK226" i="1"/>
  <c r="BM226" i="1" s="1"/>
  <c r="BC226" i="1"/>
  <c r="BE226" i="1" s="1"/>
  <c r="AU226" i="1"/>
  <c r="AN226" i="1"/>
  <c r="AO226" i="1" s="1"/>
  <c r="EK225" i="1"/>
  <c r="DK225" i="1"/>
  <c r="DF225" i="1"/>
  <c r="DD225" i="1"/>
  <c r="CW225" i="1"/>
  <c r="CY225" i="1" s="1"/>
  <c r="CP225" i="1"/>
  <c r="CR225" i="1" s="1"/>
  <c r="CI225" i="1"/>
  <c r="CK225" i="1" s="1"/>
  <c r="CA225" i="1"/>
  <c r="CC225" i="1" s="1"/>
  <c r="BS225" i="1"/>
  <c r="BU225" i="1" s="1"/>
  <c r="BK225" i="1"/>
  <c r="BM225" i="1" s="1"/>
  <c r="BC225" i="1"/>
  <c r="BE225" i="1" s="1"/>
  <c r="AU225" i="1"/>
  <c r="AN225" i="1"/>
  <c r="AO225" i="1" s="1"/>
  <c r="EK224" i="1"/>
  <c r="DK224" i="1"/>
  <c r="DF224" i="1"/>
  <c r="DD224" i="1"/>
  <c r="CW224" i="1"/>
  <c r="CY224" i="1" s="1"/>
  <c r="CP224" i="1"/>
  <c r="CR224" i="1" s="1"/>
  <c r="CI224" i="1"/>
  <c r="CK224" i="1" s="1"/>
  <c r="CA224" i="1"/>
  <c r="CC224" i="1" s="1"/>
  <c r="BS224" i="1"/>
  <c r="BU224" i="1" s="1"/>
  <c r="BK224" i="1"/>
  <c r="BM224" i="1" s="1"/>
  <c r="BC224" i="1"/>
  <c r="BE224" i="1" s="1"/>
  <c r="AU224" i="1"/>
  <c r="AN224" i="1"/>
  <c r="AO224" i="1" s="1"/>
  <c r="EK223" i="1"/>
  <c r="DK223" i="1"/>
  <c r="DF223" i="1"/>
  <c r="DD223" i="1"/>
  <c r="CW223" i="1"/>
  <c r="CY223" i="1" s="1"/>
  <c r="CP223" i="1"/>
  <c r="CR223" i="1" s="1"/>
  <c r="CK223" i="1"/>
  <c r="CC223" i="1"/>
  <c r="BU223" i="1"/>
  <c r="BM223" i="1"/>
  <c r="BK223" i="1"/>
  <c r="BE223" i="1"/>
  <c r="BC223" i="1"/>
  <c r="AU223" i="1"/>
  <c r="AN223" i="1"/>
  <c r="AO223" i="1" s="1"/>
  <c r="EK222" i="1"/>
  <c r="DK222" i="1"/>
  <c r="DF222" i="1"/>
  <c r="DD222" i="1"/>
  <c r="CY222" i="1"/>
  <c r="CW222" i="1"/>
  <c r="CR222" i="1"/>
  <c r="CP222" i="1"/>
  <c r="CK222" i="1"/>
  <c r="CC222" i="1"/>
  <c r="BU222" i="1"/>
  <c r="BK222" i="1"/>
  <c r="BM222" i="1" s="1"/>
  <c r="BC222" i="1"/>
  <c r="AU222" i="1"/>
  <c r="AN222" i="1"/>
  <c r="AO222" i="1" s="1"/>
  <c r="EK221" i="1"/>
  <c r="DK221" i="1"/>
  <c r="DF221" i="1"/>
  <c r="DD221" i="1"/>
  <c r="CW221" i="1"/>
  <c r="CY221" i="1" s="1"/>
  <c r="CR221" i="1"/>
  <c r="CP221" i="1"/>
  <c r="CK221" i="1"/>
  <c r="CI221" i="1"/>
  <c r="CC221" i="1"/>
  <c r="CA221" i="1"/>
  <c r="BU221" i="1"/>
  <c r="BS221" i="1"/>
  <c r="BM221" i="1"/>
  <c r="BK221" i="1"/>
  <c r="BC221" i="1"/>
  <c r="BE221" i="1" s="1"/>
  <c r="AU221" i="1"/>
  <c r="AQ221" i="1"/>
  <c r="AN221" i="1"/>
  <c r="AO221" i="1" s="1"/>
  <c r="EK220" i="1"/>
  <c r="DK220" i="1"/>
  <c r="DF220" i="1"/>
  <c r="DD220" i="1"/>
  <c r="CY220" i="1"/>
  <c r="CW220" i="1"/>
  <c r="CR220" i="1"/>
  <c r="CP220" i="1"/>
  <c r="CK220" i="1"/>
  <c r="CC220" i="1"/>
  <c r="BU220" i="1"/>
  <c r="BS220" i="1"/>
  <c r="BM220" i="1"/>
  <c r="BK220" i="1"/>
  <c r="BC220" i="1"/>
  <c r="BE220" i="1" s="1"/>
  <c r="AU220" i="1"/>
  <c r="AQ220" i="1"/>
  <c r="AN220" i="1"/>
  <c r="AO220" i="1" s="1"/>
  <c r="EK219" i="1"/>
  <c r="DK219" i="1"/>
  <c r="DF219" i="1"/>
  <c r="DD219" i="1"/>
  <c r="CW219" i="1"/>
  <c r="CY219" i="1" s="1"/>
  <c r="CP219" i="1"/>
  <c r="CR219" i="1" s="1"/>
  <c r="CK219" i="1"/>
  <c r="CC219" i="1"/>
  <c r="BU219" i="1"/>
  <c r="BM219" i="1"/>
  <c r="BK219" i="1"/>
  <c r="BE219" i="1"/>
  <c r="BC219" i="1"/>
  <c r="AU219" i="1"/>
  <c r="AN219" i="1"/>
  <c r="AO219" i="1" s="1"/>
  <c r="AQ219" i="1" s="1"/>
  <c r="EK218" i="1"/>
  <c r="DK218" i="1"/>
  <c r="DF218" i="1"/>
  <c r="DD218" i="1"/>
  <c r="CY218" i="1"/>
  <c r="CW218" i="1"/>
  <c r="CR218" i="1"/>
  <c r="CP218" i="1"/>
  <c r="CK218" i="1"/>
  <c r="CC218" i="1"/>
  <c r="BU218" i="1"/>
  <c r="BK218" i="1"/>
  <c r="BM218" i="1" s="1"/>
  <c r="BC218" i="1"/>
  <c r="BE218" i="1" s="1"/>
  <c r="AU218" i="1"/>
  <c r="AO218" i="1"/>
  <c r="AQ218" i="1" s="1"/>
  <c r="AN218" i="1"/>
  <c r="EK217" i="1"/>
  <c r="DK217" i="1"/>
  <c r="DF217" i="1"/>
  <c r="DD217" i="1"/>
  <c r="CY217" i="1"/>
  <c r="CW217" i="1"/>
  <c r="CR217" i="1"/>
  <c r="CP217" i="1"/>
  <c r="CK217" i="1"/>
  <c r="CI217" i="1"/>
  <c r="CC217" i="1"/>
  <c r="CA217" i="1"/>
  <c r="BU217" i="1"/>
  <c r="BS217" i="1"/>
  <c r="BM217" i="1"/>
  <c r="BK217" i="1"/>
  <c r="BE217" i="1"/>
  <c r="BC217" i="1"/>
  <c r="AU217" i="1"/>
  <c r="AN217" i="1"/>
  <c r="AO217" i="1" s="1"/>
  <c r="AQ217" i="1" s="1"/>
  <c r="EK216" i="1"/>
  <c r="DK216" i="1"/>
  <c r="DF216" i="1"/>
  <c r="DD216" i="1"/>
  <c r="CW216" i="1"/>
  <c r="CY216" i="1" s="1"/>
  <c r="CP216" i="1"/>
  <c r="CR216" i="1" s="1"/>
  <c r="CK216" i="1"/>
  <c r="CC216" i="1"/>
  <c r="BU216" i="1"/>
  <c r="BM216" i="1"/>
  <c r="BK216" i="1"/>
  <c r="BC216" i="1"/>
  <c r="AU216" i="1"/>
  <c r="EK215" i="1"/>
  <c r="DK215" i="1"/>
  <c r="DF215" i="1"/>
  <c r="DD215" i="1"/>
  <c r="CW215" i="1"/>
  <c r="CY215" i="1" s="1"/>
  <c r="CP215" i="1"/>
  <c r="CR215" i="1" s="1"/>
  <c r="CI215" i="1"/>
  <c r="CK215" i="1" s="1"/>
  <c r="CA215" i="1"/>
  <c r="CC215" i="1" s="1"/>
  <c r="BS215" i="1"/>
  <c r="BU215" i="1" s="1"/>
  <c r="BK215" i="1"/>
  <c r="BM215" i="1" s="1"/>
  <c r="BC215" i="1"/>
  <c r="AU215" i="1"/>
  <c r="AN215" i="1"/>
  <c r="AO215" i="1" s="1"/>
  <c r="EK214" i="1"/>
  <c r="DK214" i="1"/>
  <c r="DF214" i="1"/>
  <c r="DD214" i="1"/>
  <c r="CW214" i="1"/>
  <c r="CY214" i="1" s="1"/>
  <c r="CP214" i="1"/>
  <c r="CR214" i="1" s="1"/>
  <c r="CI214" i="1"/>
  <c r="CK214" i="1" s="1"/>
  <c r="CA214" i="1"/>
  <c r="CC214" i="1" s="1"/>
  <c r="BS214" i="1"/>
  <c r="BU214" i="1" s="1"/>
  <c r="BK214" i="1"/>
  <c r="BM214" i="1" s="1"/>
  <c r="BC214" i="1"/>
  <c r="BE214" i="1" s="1"/>
  <c r="AU214" i="1"/>
  <c r="AO214" i="1"/>
  <c r="AN214" i="1"/>
  <c r="EK213" i="1"/>
  <c r="DK213" i="1"/>
  <c r="DF213" i="1"/>
  <c r="DD213" i="1"/>
  <c r="CW213" i="1"/>
  <c r="CY213" i="1" s="1"/>
  <c r="CP213" i="1"/>
  <c r="CR213" i="1" s="1"/>
  <c r="CI213" i="1"/>
  <c r="CK213" i="1" s="1"/>
  <c r="CA213" i="1"/>
  <c r="CC213" i="1" s="1"/>
  <c r="BS213" i="1"/>
  <c r="BU213" i="1" s="1"/>
  <c r="BK213" i="1"/>
  <c r="BM213" i="1" s="1"/>
  <c r="BC213" i="1"/>
  <c r="AU213" i="1"/>
  <c r="AN213" i="1"/>
  <c r="AO213" i="1" s="1"/>
  <c r="EK212" i="1"/>
  <c r="DV212" i="1"/>
  <c r="DT212" i="1"/>
  <c r="DR212" i="1"/>
  <c r="DX212" i="1" s="1"/>
  <c r="DK212" i="1"/>
  <c r="DL212" i="1" s="1"/>
  <c r="DF212" i="1"/>
  <c r="DD212" i="1"/>
  <c r="CW212" i="1"/>
  <c r="CY212" i="1" s="1"/>
  <c r="CP212" i="1"/>
  <c r="CR212" i="1" s="1"/>
  <c r="CK212" i="1"/>
  <c r="CC212" i="1"/>
  <c r="BU212" i="1"/>
  <c r="BM212" i="1"/>
  <c r="BK212" i="1"/>
  <c r="BC212" i="1"/>
  <c r="BE212" i="1" s="1"/>
  <c r="AU212" i="1"/>
  <c r="AN212" i="1"/>
  <c r="AO212" i="1" s="1"/>
  <c r="EK211" i="1"/>
  <c r="DK211" i="1"/>
  <c r="DF211" i="1"/>
  <c r="DD211" i="1"/>
  <c r="CY211" i="1"/>
  <c r="CW211" i="1"/>
  <c r="CR211" i="1"/>
  <c r="CP211" i="1"/>
  <c r="CK211" i="1"/>
  <c r="CI211" i="1"/>
  <c r="CC211" i="1"/>
  <c r="CA211" i="1"/>
  <c r="BU211" i="1"/>
  <c r="BS211" i="1"/>
  <c r="BM211" i="1"/>
  <c r="BK211" i="1"/>
  <c r="BC211" i="1"/>
  <c r="AU211" i="1"/>
  <c r="AN211" i="1"/>
  <c r="AO211" i="1" s="1"/>
  <c r="AQ211" i="1" s="1"/>
  <c r="EK210" i="1"/>
  <c r="DK210" i="1"/>
  <c r="DF210" i="1"/>
  <c r="DD210" i="1"/>
  <c r="CW210" i="1"/>
  <c r="CY210" i="1" s="1"/>
  <c r="CR210" i="1"/>
  <c r="BK210" i="1"/>
  <c r="BM210" i="1" s="1"/>
  <c r="BC210" i="1"/>
  <c r="BE210" i="1" s="1"/>
  <c r="AU210" i="1"/>
  <c r="AN210" i="1"/>
  <c r="AO210" i="1" s="1"/>
  <c r="EK209" i="1"/>
  <c r="DK209" i="1"/>
  <c r="DD209" i="1"/>
  <c r="DF209" i="1" s="1"/>
  <c r="CW209" i="1"/>
  <c r="CY209" i="1" s="1"/>
  <c r="CR209" i="1"/>
  <c r="CP209" i="1"/>
  <c r="BM209" i="1"/>
  <c r="BK209" i="1"/>
  <c r="BE209" i="1"/>
  <c r="BC209" i="1"/>
  <c r="AU209" i="1"/>
  <c r="AN209" i="1"/>
  <c r="AO209" i="1" s="1"/>
  <c r="EK208" i="1"/>
  <c r="DK208" i="1"/>
  <c r="DF208" i="1"/>
  <c r="CW208" i="1"/>
  <c r="CY208" i="1" s="1"/>
  <c r="CR208" i="1"/>
  <c r="BS208" i="1"/>
  <c r="BK208" i="1"/>
  <c r="BM208" i="1" s="1"/>
  <c r="BC208" i="1"/>
  <c r="AU208" i="1"/>
  <c r="AN208" i="1"/>
  <c r="AO208" i="1" s="1"/>
  <c r="EK207" i="1"/>
  <c r="DX207" i="1"/>
  <c r="DT207" i="1"/>
  <c r="DV207" i="1" s="1"/>
  <c r="DR207" i="1"/>
  <c r="DK207" i="1"/>
  <c r="DL207" i="1" s="1"/>
  <c r="DF207" i="1"/>
  <c r="DD207" i="1"/>
  <c r="CY207" i="1"/>
  <c r="CW207" i="1"/>
  <c r="CR207" i="1"/>
  <c r="CP207" i="1"/>
  <c r="CK207" i="1"/>
  <c r="CI207" i="1"/>
  <c r="CC207" i="1"/>
  <c r="CA207" i="1"/>
  <c r="BU207" i="1"/>
  <c r="BS207" i="1"/>
  <c r="BM207" i="1"/>
  <c r="BK207" i="1"/>
  <c r="BC207" i="1"/>
  <c r="BE207" i="1" s="1"/>
  <c r="AU207" i="1"/>
  <c r="AN207" i="1"/>
  <c r="AO207" i="1" s="1"/>
  <c r="EK206" i="1"/>
  <c r="DR206" i="1"/>
  <c r="DK206" i="1"/>
  <c r="DL206" i="1" s="1"/>
  <c r="DF206" i="1"/>
  <c r="DD206" i="1"/>
  <c r="CW206" i="1"/>
  <c r="CY206" i="1" s="1"/>
  <c r="CR206" i="1"/>
  <c r="BE206" i="1"/>
  <c r="BC206" i="1"/>
  <c r="AU206" i="1"/>
  <c r="AN206" i="1"/>
  <c r="AO206" i="1" s="1"/>
  <c r="EK205" i="1"/>
  <c r="DK205" i="1"/>
  <c r="DF205" i="1"/>
  <c r="DD205" i="1"/>
  <c r="CW205" i="1"/>
  <c r="CY205" i="1" s="1"/>
  <c r="CP205" i="1"/>
  <c r="CR205" i="1" s="1"/>
  <c r="CI205" i="1"/>
  <c r="CK205" i="1" s="1"/>
  <c r="CA205" i="1"/>
  <c r="CC205" i="1" s="1"/>
  <c r="BS205" i="1"/>
  <c r="BU205" i="1" s="1"/>
  <c r="BK205" i="1"/>
  <c r="BM205" i="1" s="1"/>
  <c r="BC205" i="1"/>
  <c r="AU205" i="1"/>
  <c r="AQ205" i="1"/>
  <c r="AN205" i="1"/>
  <c r="AO205" i="1" s="1"/>
  <c r="FI204" i="1"/>
  <c r="FG204" i="1"/>
  <c r="FE204" i="1"/>
  <c r="FC204" i="1"/>
  <c r="FA204" i="1"/>
  <c r="EY204" i="1"/>
  <c r="EV204" i="1"/>
  <c r="EU204" i="1"/>
  <c r="ES204" i="1"/>
  <c r="EQ204" i="1"/>
  <c r="EO204" i="1"/>
  <c r="EK204" i="1"/>
  <c r="DX204" i="1"/>
  <c r="DT204" i="1"/>
  <c r="DV204" i="1" s="1"/>
  <c r="DR204" i="1"/>
  <c r="DK204" i="1"/>
  <c r="DL204" i="1" s="1"/>
  <c r="DF204" i="1"/>
  <c r="DD204" i="1"/>
  <c r="CY204" i="1"/>
  <c r="CW204" i="1"/>
  <c r="CR204" i="1"/>
  <c r="CP204" i="1"/>
  <c r="CK204" i="1"/>
  <c r="CI204" i="1"/>
  <c r="CC204" i="1"/>
  <c r="CA204" i="1"/>
  <c r="BU204" i="1"/>
  <c r="BS204" i="1"/>
  <c r="BM204" i="1"/>
  <c r="BK204" i="1"/>
  <c r="BE204" i="1"/>
  <c r="BC204" i="1"/>
  <c r="AU204" i="1"/>
  <c r="AN204" i="1"/>
  <c r="AO204" i="1" s="1"/>
  <c r="EK203" i="1"/>
  <c r="DK203" i="1"/>
  <c r="DF203" i="1"/>
  <c r="DD203" i="1"/>
  <c r="CY203" i="1"/>
  <c r="CW203" i="1"/>
  <c r="CR203" i="1"/>
  <c r="CP203" i="1"/>
  <c r="CK203" i="1"/>
  <c r="CI203" i="1"/>
  <c r="CC203" i="1"/>
  <c r="CA203" i="1"/>
  <c r="BU203" i="1"/>
  <c r="BS203" i="1"/>
  <c r="BM203" i="1"/>
  <c r="BK203" i="1"/>
  <c r="BE203" i="1"/>
  <c r="BC203" i="1"/>
  <c r="AU203" i="1"/>
  <c r="AN203" i="1"/>
  <c r="AO203" i="1" s="1"/>
  <c r="EK202" i="1"/>
  <c r="DK202" i="1"/>
  <c r="DF202" i="1"/>
  <c r="DD202" i="1"/>
  <c r="CW202" i="1"/>
  <c r="CY202" i="1" s="1"/>
  <c r="CR202" i="1"/>
  <c r="CP202" i="1"/>
  <c r="CK202" i="1"/>
  <c r="CC202" i="1"/>
  <c r="BU202" i="1"/>
  <c r="BK202" i="1"/>
  <c r="BM202" i="1" s="1"/>
  <c r="BC202" i="1"/>
  <c r="AU202" i="1"/>
  <c r="AN202" i="1"/>
  <c r="AO202" i="1" s="1"/>
  <c r="EK201" i="1"/>
  <c r="DK201" i="1"/>
  <c r="CR201" i="1"/>
  <c r="BC201" i="1"/>
  <c r="AU201" i="1"/>
  <c r="AN201" i="1"/>
  <c r="AO201" i="1" s="1"/>
  <c r="EK200" i="1"/>
  <c r="DK200" i="1"/>
  <c r="DF200" i="1"/>
  <c r="DD200" i="1"/>
  <c r="CY200" i="1"/>
  <c r="CW200" i="1"/>
  <c r="CR200" i="1"/>
  <c r="CP200" i="1"/>
  <c r="CK200" i="1"/>
  <c r="CC200" i="1"/>
  <c r="BU200" i="1"/>
  <c r="BS200" i="1"/>
  <c r="BM200" i="1"/>
  <c r="BK200" i="1"/>
  <c r="BE200" i="1"/>
  <c r="BC200" i="1"/>
  <c r="AU200" i="1"/>
  <c r="AN200" i="1"/>
  <c r="AO200" i="1" s="1"/>
  <c r="EK199" i="1"/>
  <c r="DK199" i="1"/>
  <c r="DF199" i="1"/>
  <c r="DD199" i="1"/>
  <c r="CY199" i="1"/>
  <c r="CW199" i="1"/>
  <c r="CR199" i="1"/>
  <c r="CP199" i="1"/>
  <c r="CK199" i="1"/>
  <c r="CC199" i="1"/>
  <c r="BU199" i="1"/>
  <c r="BS199" i="1"/>
  <c r="BM199" i="1"/>
  <c r="BK199" i="1"/>
  <c r="BE199" i="1"/>
  <c r="BC199" i="1"/>
  <c r="AU199" i="1"/>
  <c r="AN199" i="1"/>
  <c r="AO199" i="1" s="1"/>
  <c r="EK198" i="1"/>
  <c r="DV198" i="1"/>
  <c r="DT198" i="1"/>
  <c r="DR198" i="1"/>
  <c r="DX198" i="1" s="1"/>
  <c r="DK198" i="1"/>
  <c r="DL198" i="1" s="1"/>
  <c r="DF198" i="1"/>
  <c r="DD198" i="1"/>
  <c r="CW198" i="1"/>
  <c r="CY198" i="1" s="1"/>
  <c r="CP198" i="1"/>
  <c r="CR198" i="1" s="1"/>
  <c r="CK198" i="1"/>
  <c r="CC198" i="1"/>
  <c r="BS198" i="1"/>
  <c r="BU198" i="1" s="1"/>
  <c r="BK198" i="1"/>
  <c r="BM198" i="1" s="1"/>
  <c r="BC198" i="1"/>
  <c r="BE198" i="1" s="1"/>
  <c r="AU198" i="1"/>
  <c r="AO198" i="1"/>
  <c r="AQ198" i="1" s="1"/>
  <c r="AN198" i="1"/>
  <c r="EK197" i="1"/>
  <c r="DK197" i="1"/>
  <c r="CY197" i="1"/>
  <c r="CW197" i="1"/>
  <c r="CR197" i="1"/>
  <c r="BS197" i="1"/>
  <c r="BM197" i="1"/>
  <c r="BK197" i="1"/>
  <c r="BE197" i="1"/>
  <c r="BC197" i="1"/>
  <c r="AU197" i="1"/>
  <c r="AN197" i="1"/>
  <c r="AO197" i="1" s="1"/>
  <c r="EK196" i="1"/>
  <c r="DK196" i="1"/>
  <c r="DF196" i="1"/>
  <c r="DD196" i="1"/>
  <c r="CW196" i="1"/>
  <c r="CY196" i="1" s="1"/>
  <c r="CR196" i="1"/>
  <c r="CP196" i="1"/>
  <c r="CK196" i="1"/>
  <c r="CC196" i="1"/>
  <c r="BU196" i="1"/>
  <c r="BK196" i="1"/>
  <c r="BM196" i="1" s="1"/>
  <c r="BC196" i="1"/>
  <c r="BE196" i="1" s="1"/>
  <c r="AU196" i="1"/>
  <c r="AN196" i="1"/>
  <c r="AO196" i="1" s="1"/>
  <c r="EK195" i="1"/>
  <c r="DT195" i="1"/>
  <c r="DV195" i="1" s="1"/>
  <c r="DR195" i="1"/>
  <c r="DL195" i="1"/>
  <c r="DK195" i="1"/>
  <c r="DF195" i="1"/>
  <c r="DD195" i="1"/>
  <c r="CW195" i="1"/>
  <c r="CY195" i="1" s="1"/>
  <c r="CR195" i="1"/>
  <c r="CP195" i="1"/>
  <c r="CK195" i="1"/>
  <c r="CC195" i="1"/>
  <c r="BU195" i="1"/>
  <c r="BS195" i="1"/>
  <c r="BM195" i="1"/>
  <c r="BK195" i="1"/>
  <c r="BC195" i="1"/>
  <c r="BE195" i="1" s="1"/>
  <c r="AU195" i="1"/>
  <c r="AN195" i="1"/>
  <c r="AO195" i="1" s="1"/>
  <c r="EK194" i="1"/>
  <c r="DK194" i="1"/>
  <c r="DF194" i="1"/>
  <c r="DD194" i="1"/>
  <c r="CW194" i="1"/>
  <c r="CY194" i="1" s="1"/>
  <c r="CP194" i="1"/>
  <c r="CR194" i="1" s="1"/>
  <c r="CK194" i="1"/>
  <c r="CC194" i="1"/>
  <c r="BS194" i="1"/>
  <c r="BU194" i="1" s="1"/>
  <c r="BK194" i="1"/>
  <c r="BM194" i="1" s="1"/>
  <c r="BC194" i="1"/>
  <c r="BE194" i="1" s="1"/>
  <c r="AU194" i="1"/>
  <c r="AN194" i="1"/>
  <c r="AO194" i="1" s="1"/>
  <c r="EK193" i="1"/>
  <c r="DK193" i="1"/>
  <c r="DF193" i="1"/>
  <c r="DD193" i="1"/>
  <c r="CW193" i="1"/>
  <c r="CY193" i="1" s="1"/>
  <c r="CR193" i="1"/>
  <c r="CP193" i="1"/>
  <c r="CK193" i="1"/>
  <c r="CC193" i="1"/>
  <c r="BU193" i="1"/>
  <c r="BS193" i="1"/>
  <c r="BM193" i="1"/>
  <c r="BK193" i="1"/>
  <c r="BE193" i="1"/>
  <c r="BC193" i="1"/>
  <c r="AU193" i="1"/>
  <c r="AN193" i="1"/>
  <c r="AO193" i="1" s="1"/>
  <c r="EK192" i="1"/>
  <c r="DV192" i="1"/>
  <c r="DT192" i="1"/>
  <c r="DR192" i="1"/>
  <c r="DX192" i="1" s="1"/>
  <c r="DK192" i="1"/>
  <c r="DL192" i="1" s="1"/>
  <c r="DF192" i="1"/>
  <c r="DD192" i="1"/>
  <c r="CW192" i="1"/>
  <c r="CY192" i="1" s="1"/>
  <c r="CP192" i="1"/>
  <c r="CR192" i="1" s="1"/>
  <c r="CK192" i="1"/>
  <c r="CC192" i="1"/>
  <c r="BU192" i="1"/>
  <c r="BM192" i="1"/>
  <c r="BK192" i="1"/>
  <c r="BE192" i="1"/>
  <c r="BC192" i="1"/>
  <c r="AW192" i="1"/>
  <c r="AU192" i="1"/>
  <c r="AN192" i="1"/>
  <c r="AO192" i="1" s="1"/>
  <c r="EK191" i="1"/>
  <c r="DT191" i="1"/>
  <c r="DV191" i="1" s="1"/>
  <c r="DR191" i="1"/>
  <c r="DL191" i="1"/>
  <c r="DK191" i="1"/>
  <c r="DF191" i="1"/>
  <c r="DD191" i="1"/>
  <c r="CW191" i="1"/>
  <c r="CY191" i="1" s="1"/>
  <c r="CR191" i="1"/>
  <c r="CP191" i="1"/>
  <c r="CK191" i="1"/>
  <c r="CC191" i="1"/>
  <c r="BU191" i="1"/>
  <c r="BK191" i="1"/>
  <c r="BM191" i="1" s="1"/>
  <c r="BC191" i="1"/>
  <c r="BE191" i="1" s="1"/>
  <c r="AU191" i="1"/>
  <c r="AO191" i="1"/>
  <c r="AN191" i="1"/>
  <c r="EK190" i="1"/>
  <c r="DT190" i="1"/>
  <c r="DV190" i="1" s="1"/>
  <c r="DR190" i="1"/>
  <c r="DL190" i="1"/>
  <c r="DK190" i="1"/>
  <c r="DF190" i="1"/>
  <c r="DD190" i="1"/>
  <c r="CY190" i="1"/>
  <c r="CW190" i="1"/>
  <c r="CR190" i="1"/>
  <c r="CP190" i="1"/>
  <c r="CK190" i="1"/>
  <c r="CC190" i="1"/>
  <c r="BU190" i="1"/>
  <c r="BS190" i="1"/>
  <c r="BM190" i="1"/>
  <c r="BK190" i="1"/>
  <c r="BC190" i="1"/>
  <c r="BE190" i="1" s="1"/>
  <c r="AU190" i="1"/>
  <c r="AN190" i="1"/>
  <c r="AO190" i="1" s="1"/>
  <c r="EK189" i="1"/>
  <c r="DR189" i="1"/>
  <c r="DP189" i="1"/>
  <c r="DL189" i="1"/>
  <c r="DK189" i="1"/>
  <c r="DF189" i="1"/>
  <c r="DD189" i="1"/>
  <c r="CY189" i="1"/>
  <c r="CW189" i="1"/>
  <c r="CR189" i="1"/>
  <c r="CP189" i="1"/>
  <c r="CK189" i="1"/>
  <c r="CC189" i="1"/>
  <c r="BU189" i="1"/>
  <c r="BK189" i="1"/>
  <c r="BM189" i="1" s="1"/>
  <c r="BC189" i="1"/>
  <c r="BE189" i="1" s="1"/>
  <c r="AU189" i="1"/>
  <c r="AN189" i="1"/>
  <c r="AO189" i="1" s="1"/>
  <c r="EK188" i="1"/>
  <c r="DK188" i="1"/>
  <c r="DF188" i="1"/>
  <c r="DD188" i="1"/>
  <c r="CY188" i="1"/>
  <c r="CW188" i="1"/>
  <c r="CR188" i="1"/>
  <c r="CP188" i="1"/>
  <c r="CK188" i="1"/>
  <c r="CC188" i="1"/>
  <c r="BU188" i="1"/>
  <c r="BK188" i="1"/>
  <c r="BM188" i="1" s="1"/>
  <c r="BC188" i="1"/>
  <c r="BE188" i="1" s="1"/>
  <c r="AU188" i="1"/>
  <c r="AN188" i="1"/>
  <c r="AO188" i="1" s="1"/>
  <c r="EK187" i="1"/>
  <c r="DK187" i="1"/>
  <c r="DF187" i="1"/>
  <c r="DD187" i="1"/>
  <c r="CY187" i="1"/>
  <c r="CW187" i="1"/>
  <c r="CR187" i="1"/>
  <c r="CP187" i="1"/>
  <c r="CK187" i="1"/>
  <c r="CC187" i="1"/>
  <c r="BU187" i="1"/>
  <c r="BK187" i="1"/>
  <c r="BM187" i="1" s="1"/>
  <c r="BC187" i="1"/>
  <c r="BE187" i="1" s="1"/>
  <c r="AU187" i="1"/>
  <c r="AN187" i="1"/>
  <c r="AO187" i="1" s="1"/>
  <c r="EK186" i="1"/>
  <c r="DV186" i="1"/>
  <c r="DT186" i="1"/>
  <c r="DR186" i="1"/>
  <c r="DX186" i="1" s="1"/>
  <c r="DK186" i="1"/>
  <c r="DL186" i="1" s="1"/>
  <c r="DF186" i="1"/>
  <c r="DD186" i="1"/>
  <c r="CW186" i="1"/>
  <c r="CY186" i="1" s="1"/>
  <c r="CP186" i="1"/>
  <c r="CR186" i="1" s="1"/>
  <c r="CK186" i="1"/>
  <c r="CC186" i="1"/>
  <c r="BU186" i="1"/>
  <c r="BM186" i="1"/>
  <c r="BK186" i="1"/>
  <c r="BE186" i="1"/>
  <c r="BC186" i="1"/>
  <c r="AU186" i="1"/>
  <c r="AN186" i="1"/>
  <c r="AO186" i="1" s="1"/>
  <c r="EK185" i="1"/>
  <c r="DK185" i="1"/>
  <c r="DF185" i="1"/>
  <c r="DD185" i="1"/>
  <c r="CW185" i="1"/>
  <c r="CY185" i="1" s="1"/>
  <c r="CR185" i="1"/>
  <c r="CP185" i="1"/>
  <c r="CK185" i="1"/>
  <c r="CC185" i="1"/>
  <c r="BU185" i="1"/>
  <c r="BK185" i="1"/>
  <c r="BM185" i="1" s="1"/>
  <c r="BC185" i="1"/>
  <c r="BE185" i="1" s="1"/>
  <c r="AU185" i="1"/>
  <c r="AN185" i="1"/>
  <c r="AO185" i="1" s="1"/>
  <c r="EK184" i="1"/>
  <c r="DK184" i="1"/>
  <c r="DF184" i="1"/>
  <c r="DD184" i="1"/>
  <c r="CY184" i="1"/>
  <c r="CW184" i="1"/>
  <c r="CR184" i="1"/>
  <c r="CP184" i="1"/>
  <c r="CK184" i="1"/>
  <c r="CC184" i="1"/>
  <c r="BU184" i="1"/>
  <c r="BK184" i="1"/>
  <c r="BM184" i="1" s="1"/>
  <c r="BC184" i="1"/>
  <c r="BE184" i="1" s="1"/>
  <c r="AU184" i="1"/>
  <c r="AN184" i="1"/>
  <c r="AO184" i="1" s="1"/>
  <c r="AQ184" i="1" s="1"/>
  <c r="EK183" i="1"/>
  <c r="DK183" i="1"/>
  <c r="DF183" i="1"/>
  <c r="DD183" i="1"/>
  <c r="CW183" i="1"/>
  <c r="CY183" i="1" s="1"/>
  <c r="CP183" i="1"/>
  <c r="CR183" i="1" s="1"/>
  <c r="CK183" i="1"/>
  <c r="CC183" i="1"/>
  <c r="BU183" i="1"/>
  <c r="BM183" i="1"/>
  <c r="BK183" i="1"/>
  <c r="BC183" i="1"/>
  <c r="BE183" i="1" s="1"/>
  <c r="AU183" i="1"/>
  <c r="AN183" i="1"/>
  <c r="AO183" i="1" s="1"/>
  <c r="EK182" i="1"/>
  <c r="DT182" i="1"/>
  <c r="DV182" i="1" s="1"/>
  <c r="DR182" i="1"/>
  <c r="DK182" i="1"/>
  <c r="DL182" i="1" s="1"/>
  <c r="DF182" i="1"/>
  <c r="DD182" i="1"/>
  <c r="CY182" i="1"/>
  <c r="CW182" i="1"/>
  <c r="CR182" i="1"/>
  <c r="CP182" i="1"/>
  <c r="CK182" i="1"/>
  <c r="CC182" i="1"/>
  <c r="BU182" i="1"/>
  <c r="BK182" i="1"/>
  <c r="BM182" i="1" s="1"/>
  <c r="BC182" i="1"/>
  <c r="BE182" i="1" s="1"/>
  <c r="AU182" i="1"/>
  <c r="AN182" i="1"/>
  <c r="AO182" i="1" s="1"/>
  <c r="EK181" i="1"/>
  <c r="DK181" i="1"/>
  <c r="DF181" i="1"/>
  <c r="DD181" i="1"/>
  <c r="CW181" i="1"/>
  <c r="CY181" i="1" s="1"/>
  <c r="CP181" i="1"/>
  <c r="CR181" i="1" s="1"/>
  <c r="BM181" i="1"/>
  <c r="BC181" i="1"/>
  <c r="AU181" i="1"/>
  <c r="AN181" i="1"/>
  <c r="AO181" i="1" s="1"/>
  <c r="EK180" i="1"/>
  <c r="DP180" i="1"/>
  <c r="DR180" i="1" s="1"/>
  <c r="DK180" i="1"/>
  <c r="DL180" i="1" s="1"/>
  <c r="DF180" i="1"/>
  <c r="DD180" i="1"/>
  <c r="CW180" i="1"/>
  <c r="CY180" i="1" s="1"/>
  <c r="CP180" i="1"/>
  <c r="CR180" i="1" s="1"/>
  <c r="CK180" i="1"/>
  <c r="CC180" i="1"/>
  <c r="BU180" i="1"/>
  <c r="BM180" i="1"/>
  <c r="BK180" i="1"/>
  <c r="BC180" i="1"/>
  <c r="BE180" i="1" s="1"/>
  <c r="AU180" i="1"/>
  <c r="AN180" i="1"/>
  <c r="AO180" i="1" s="1"/>
  <c r="EK179" i="1"/>
  <c r="DK179" i="1"/>
  <c r="DF179" i="1"/>
  <c r="DD179" i="1"/>
  <c r="CW179" i="1"/>
  <c r="CY179" i="1" s="1"/>
  <c r="CP179" i="1"/>
  <c r="CR179" i="1" s="1"/>
  <c r="CK179" i="1"/>
  <c r="CC179" i="1"/>
  <c r="BU179" i="1"/>
  <c r="BM179" i="1"/>
  <c r="BK179" i="1"/>
  <c r="BC179" i="1"/>
  <c r="AU179" i="1"/>
  <c r="AN179" i="1"/>
  <c r="AO179" i="1" s="1"/>
  <c r="EK178" i="1"/>
  <c r="DK178" i="1"/>
  <c r="DF178" i="1"/>
  <c r="DD178" i="1"/>
  <c r="CY178" i="1"/>
  <c r="CW178" i="1"/>
  <c r="CR178" i="1"/>
  <c r="CP178" i="1"/>
  <c r="CK178" i="1"/>
  <c r="CC178" i="1"/>
  <c r="BU178" i="1"/>
  <c r="BK178" i="1"/>
  <c r="BM178" i="1" s="1"/>
  <c r="BC178" i="1"/>
  <c r="AU178" i="1"/>
  <c r="AN178" i="1"/>
  <c r="AO178" i="1" s="1"/>
  <c r="AQ178" i="1" s="1"/>
  <c r="EK177" i="1"/>
  <c r="DK177" i="1"/>
  <c r="DF177" i="1"/>
  <c r="DD177" i="1"/>
  <c r="CW177" i="1"/>
  <c r="CY177" i="1" s="1"/>
  <c r="CP177" i="1"/>
  <c r="CR177" i="1" s="1"/>
  <c r="CK177" i="1"/>
  <c r="CC177" i="1"/>
  <c r="BU177" i="1"/>
  <c r="BM177" i="1"/>
  <c r="BK177" i="1"/>
  <c r="BC177" i="1"/>
  <c r="AU177" i="1"/>
  <c r="AO177" i="1"/>
  <c r="AN177" i="1"/>
  <c r="EK176" i="1"/>
  <c r="DP176" i="1"/>
  <c r="DR176" i="1" s="1"/>
  <c r="DK176" i="1"/>
  <c r="DL176" i="1" s="1"/>
  <c r="DF176" i="1"/>
  <c r="DD176" i="1"/>
  <c r="CW176" i="1"/>
  <c r="CY176" i="1" s="1"/>
  <c r="CP176" i="1"/>
  <c r="CR176" i="1" s="1"/>
  <c r="CK176" i="1"/>
  <c r="CC176" i="1"/>
  <c r="BU176" i="1"/>
  <c r="BM176" i="1"/>
  <c r="BK176" i="1"/>
  <c r="BE176" i="1"/>
  <c r="BC176" i="1"/>
  <c r="AU176" i="1"/>
  <c r="AN176" i="1"/>
  <c r="AO176" i="1" s="1"/>
  <c r="EK175" i="1"/>
  <c r="DP175" i="1"/>
  <c r="DR175" i="1" s="1"/>
  <c r="DK175" i="1"/>
  <c r="DL175" i="1" s="1"/>
  <c r="DF175" i="1"/>
  <c r="DD175" i="1"/>
  <c r="CW175" i="1"/>
  <c r="CY175" i="1" s="1"/>
  <c r="CP175" i="1"/>
  <c r="CR175" i="1" s="1"/>
  <c r="CK175" i="1"/>
  <c r="CC175" i="1"/>
  <c r="BU175" i="1"/>
  <c r="BM175" i="1"/>
  <c r="BK175" i="1"/>
  <c r="BE175" i="1"/>
  <c r="BC175" i="1"/>
  <c r="AU175" i="1"/>
  <c r="AN175" i="1"/>
  <c r="AO175" i="1" s="1"/>
  <c r="AQ175" i="1" s="1"/>
  <c r="EK174" i="1"/>
  <c r="DR174" i="1"/>
  <c r="DP174" i="1"/>
  <c r="DK174" i="1"/>
  <c r="DL174" i="1" s="1"/>
  <c r="DF174" i="1"/>
  <c r="DD174" i="1"/>
  <c r="CW174" i="1"/>
  <c r="CY174" i="1" s="1"/>
  <c r="CP174" i="1"/>
  <c r="CR174" i="1" s="1"/>
  <c r="CK174" i="1"/>
  <c r="CC174" i="1"/>
  <c r="BU174" i="1"/>
  <c r="BM174" i="1"/>
  <c r="BK174" i="1"/>
  <c r="BE174" i="1"/>
  <c r="BC174" i="1"/>
  <c r="AU174" i="1"/>
  <c r="AN174" i="1"/>
  <c r="AO174" i="1" s="1"/>
  <c r="EK173" i="1"/>
  <c r="DR173" i="1"/>
  <c r="DP173" i="1"/>
  <c r="DK173" i="1"/>
  <c r="DL173" i="1" s="1"/>
  <c r="DF173" i="1"/>
  <c r="DD173" i="1"/>
  <c r="CY173" i="1"/>
  <c r="CW173" i="1"/>
  <c r="CR173" i="1"/>
  <c r="CP173" i="1"/>
  <c r="CK173" i="1"/>
  <c r="CC173" i="1"/>
  <c r="BU173" i="1"/>
  <c r="BK173" i="1"/>
  <c r="BM173" i="1" s="1"/>
  <c r="BC173" i="1"/>
  <c r="BE173" i="1" s="1"/>
  <c r="AU173" i="1"/>
  <c r="AN173" i="1"/>
  <c r="AO173" i="1" s="1"/>
  <c r="EK172" i="1"/>
  <c r="DK172" i="1"/>
  <c r="DF172" i="1"/>
  <c r="DD172" i="1"/>
  <c r="CW172" i="1"/>
  <c r="CY172" i="1" s="1"/>
  <c r="CP172" i="1"/>
  <c r="CR172" i="1" s="1"/>
  <c r="CK172" i="1"/>
  <c r="CC172" i="1"/>
  <c r="BU172" i="1"/>
  <c r="BM172" i="1"/>
  <c r="BK172" i="1"/>
  <c r="BE172" i="1"/>
  <c r="BC172" i="1"/>
  <c r="AU172" i="1"/>
  <c r="AN172" i="1"/>
  <c r="AO172" i="1" s="1"/>
  <c r="EK171" i="1"/>
  <c r="DP171" i="1"/>
  <c r="DK171" i="1"/>
  <c r="DL171" i="1" s="1"/>
  <c r="DF171" i="1"/>
  <c r="DD171" i="1"/>
  <c r="CW171" i="1"/>
  <c r="CY171" i="1" s="1"/>
  <c r="CP171" i="1"/>
  <c r="CR171" i="1" s="1"/>
  <c r="CK171" i="1"/>
  <c r="CC171" i="1"/>
  <c r="BU171" i="1"/>
  <c r="BM171" i="1"/>
  <c r="BK171" i="1"/>
  <c r="BE171" i="1"/>
  <c r="BC171" i="1"/>
  <c r="AU171" i="1"/>
  <c r="AN171" i="1"/>
  <c r="AO171" i="1" s="1"/>
  <c r="EK170" i="1"/>
  <c r="DR170" i="1"/>
  <c r="DP170" i="1"/>
  <c r="DK170" i="1"/>
  <c r="DL170" i="1" s="1"/>
  <c r="DF170" i="1"/>
  <c r="DD170" i="1"/>
  <c r="CY170" i="1"/>
  <c r="CW170" i="1"/>
  <c r="CR170" i="1"/>
  <c r="CP170" i="1"/>
  <c r="CK170" i="1"/>
  <c r="CC170" i="1"/>
  <c r="BU170" i="1"/>
  <c r="BK170" i="1"/>
  <c r="BM170" i="1" s="1"/>
  <c r="BC170" i="1"/>
  <c r="BE170" i="1" s="1"/>
  <c r="AU170" i="1"/>
  <c r="AO170" i="1"/>
  <c r="AN170" i="1"/>
  <c r="EK169" i="1"/>
  <c r="DK169" i="1"/>
  <c r="DF169" i="1"/>
  <c r="DD169" i="1"/>
  <c r="CW169" i="1"/>
  <c r="CY169" i="1" s="1"/>
  <c r="CP169" i="1"/>
  <c r="CR169" i="1" s="1"/>
  <c r="CK169" i="1"/>
  <c r="CC169" i="1"/>
  <c r="BU169" i="1"/>
  <c r="BM169" i="1"/>
  <c r="BK169" i="1"/>
  <c r="BE169" i="1"/>
  <c r="BC169" i="1"/>
  <c r="AU169" i="1"/>
  <c r="AN169" i="1"/>
  <c r="AO169" i="1" s="1"/>
  <c r="EK168" i="1"/>
  <c r="DK168" i="1"/>
  <c r="DF168" i="1"/>
  <c r="DD168" i="1"/>
  <c r="CY168" i="1"/>
  <c r="CW168" i="1"/>
  <c r="CR168" i="1"/>
  <c r="CP168" i="1"/>
  <c r="CK168" i="1"/>
  <c r="CC168" i="1"/>
  <c r="BU168" i="1"/>
  <c r="BK168" i="1"/>
  <c r="BM168" i="1" s="1"/>
  <c r="BC168" i="1"/>
  <c r="BE168" i="1" s="1"/>
  <c r="AU168" i="1"/>
  <c r="AN168" i="1"/>
  <c r="AO168" i="1" s="1"/>
  <c r="EK167" i="1"/>
  <c r="DK167" i="1"/>
  <c r="DF167" i="1"/>
  <c r="DD167" i="1"/>
  <c r="CY167" i="1"/>
  <c r="CW167" i="1"/>
  <c r="CR167" i="1"/>
  <c r="CP167" i="1"/>
  <c r="CK167" i="1"/>
  <c r="CC167" i="1"/>
  <c r="BU167" i="1"/>
  <c r="BK167" i="1"/>
  <c r="BC167" i="1"/>
  <c r="BE167" i="1" s="1"/>
  <c r="AU167" i="1"/>
  <c r="AN167" i="1"/>
  <c r="AO167" i="1" s="1"/>
  <c r="EK166" i="1"/>
  <c r="DK166" i="1"/>
  <c r="DF166" i="1"/>
  <c r="DD166" i="1"/>
  <c r="CY166" i="1"/>
  <c r="CW166" i="1"/>
  <c r="CR166" i="1"/>
  <c r="CP166" i="1"/>
  <c r="CK166" i="1"/>
  <c r="CC166" i="1"/>
  <c r="BU166" i="1"/>
  <c r="BK166" i="1"/>
  <c r="BM166" i="1" s="1"/>
  <c r="BC166" i="1"/>
  <c r="BE166" i="1" s="1"/>
  <c r="AU166" i="1"/>
  <c r="AN166" i="1"/>
  <c r="AO166" i="1" s="1"/>
  <c r="EK165" i="1"/>
  <c r="DK165" i="1"/>
  <c r="DF165" i="1"/>
  <c r="DD165" i="1"/>
  <c r="CW165" i="1"/>
  <c r="CY165" i="1" s="1"/>
  <c r="CR165" i="1"/>
  <c r="CP165" i="1"/>
  <c r="CK165" i="1"/>
  <c r="CC165" i="1"/>
  <c r="BU165" i="1"/>
  <c r="BK165" i="1"/>
  <c r="BM165" i="1" s="1"/>
  <c r="BC165" i="1"/>
  <c r="BE165" i="1" s="1"/>
  <c r="AU165" i="1"/>
  <c r="AO165" i="1"/>
  <c r="AN165" i="1"/>
  <c r="EK164" i="1"/>
  <c r="DK164" i="1"/>
  <c r="DF164" i="1"/>
  <c r="DD164" i="1"/>
  <c r="CW164" i="1"/>
  <c r="CY164" i="1" s="1"/>
  <c r="CP164" i="1"/>
  <c r="CR164" i="1" s="1"/>
  <c r="CK164" i="1"/>
  <c r="CC164" i="1"/>
  <c r="BU164" i="1"/>
  <c r="BM164" i="1"/>
  <c r="BK164" i="1"/>
  <c r="BC164" i="1"/>
  <c r="AU164" i="1"/>
  <c r="AN164" i="1"/>
  <c r="AO164" i="1" s="1"/>
  <c r="EK163" i="1"/>
  <c r="DP163" i="1"/>
  <c r="DK163" i="1"/>
  <c r="DL163" i="1" s="1"/>
  <c r="DF163" i="1"/>
  <c r="DD163" i="1"/>
  <c r="CW163" i="1"/>
  <c r="CY163" i="1" s="1"/>
  <c r="CP163" i="1"/>
  <c r="CR163" i="1" s="1"/>
  <c r="CK163" i="1"/>
  <c r="CC163" i="1"/>
  <c r="BU163" i="1"/>
  <c r="BM163" i="1"/>
  <c r="BK163" i="1"/>
  <c r="BC163" i="1"/>
  <c r="BE163" i="1" s="1"/>
  <c r="AU163" i="1"/>
  <c r="AN163" i="1"/>
  <c r="AO163" i="1" s="1"/>
  <c r="EK162" i="1"/>
  <c r="DR162" i="1"/>
  <c r="DP162" i="1"/>
  <c r="DK162" i="1"/>
  <c r="DL162" i="1" s="1"/>
  <c r="DF162" i="1"/>
  <c r="DD162" i="1"/>
  <c r="CW162" i="1"/>
  <c r="CY162" i="1" s="1"/>
  <c r="CR162" i="1"/>
  <c r="CP162" i="1"/>
  <c r="CK162" i="1"/>
  <c r="CC162" i="1"/>
  <c r="BU162" i="1"/>
  <c r="BK162" i="1"/>
  <c r="BM162" i="1" s="1"/>
  <c r="BC162" i="1"/>
  <c r="BE162" i="1" s="1"/>
  <c r="AU162" i="1"/>
  <c r="AO162" i="1"/>
  <c r="AN162" i="1"/>
  <c r="EK161" i="1"/>
  <c r="DK161" i="1"/>
  <c r="DF161" i="1"/>
  <c r="DD161" i="1"/>
  <c r="CW161" i="1"/>
  <c r="CY161" i="1" s="1"/>
  <c r="CP161" i="1"/>
  <c r="CR161" i="1" s="1"/>
  <c r="CK161" i="1"/>
  <c r="CC161" i="1"/>
  <c r="BU161" i="1"/>
  <c r="BM161" i="1"/>
  <c r="BK161" i="1"/>
  <c r="BC161" i="1"/>
  <c r="BE161" i="1" s="1"/>
  <c r="AU161" i="1"/>
  <c r="AN161" i="1"/>
  <c r="AO161" i="1" s="1"/>
  <c r="EK160" i="1"/>
  <c r="DR160" i="1"/>
  <c r="DP160" i="1"/>
  <c r="DK160" i="1"/>
  <c r="DL160" i="1" s="1"/>
  <c r="DF160" i="1"/>
  <c r="DD160" i="1"/>
  <c r="CY160" i="1"/>
  <c r="CW160" i="1"/>
  <c r="CR160" i="1"/>
  <c r="CP160" i="1"/>
  <c r="CK160" i="1"/>
  <c r="CC160" i="1"/>
  <c r="BU160" i="1"/>
  <c r="BK160" i="1"/>
  <c r="BM160" i="1" s="1"/>
  <c r="BC160" i="1"/>
  <c r="BE160" i="1" s="1"/>
  <c r="AU160" i="1"/>
  <c r="AO160" i="1"/>
  <c r="AN160" i="1"/>
  <c r="EK159" i="1"/>
  <c r="DK159" i="1"/>
  <c r="DF159" i="1"/>
  <c r="DD159" i="1"/>
  <c r="CW159" i="1"/>
  <c r="CY159" i="1" s="1"/>
  <c r="CP159" i="1"/>
  <c r="CR159" i="1" s="1"/>
  <c r="CK159" i="1"/>
  <c r="CC159" i="1"/>
  <c r="BU159" i="1"/>
  <c r="BM159" i="1"/>
  <c r="BK159" i="1"/>
  <c r="BC159" i="1"/>
  <c r="AU159" i="1"/>
  <c r="AN159" i="1"/>
  <c r="AO159" i="1" s="1"/>
  <c r="EK158" i="1"/>
  <c r="DK158" i="1"/>
  <c r="DF158" i="1"/>
  <c r="DD158" i="1"/>
  <c r="CW158" i="1"/>
  <c r="CY158" i="1" s="1"/>
  <c r="CR158" i="1"/>
  <c r="BM158" i="1"/>
  <c r="BK158" i="1"/>
  <c r="BE158" i="1"/>
  <c r="BC158" i="1"/>
  <c r="AU158" i="1"/>
  <c r="AN158" i="1"/>
  <c r="AO158" i="1" s="1"/>
  <c r="EK157" i="1"/>
  <c r="DR157" i="1"/>
  <c r="DK157" i="1"/>
  <c r="DL157" i="1" s="1"/>
  <c r="DF157" i="1"/>
  <c r="DD157" i="1"/>
  <c r="CW157" i="1"/>
  <c r="CY157" i="1" s="1"/>
  <c r="CP157" i="1"/>
  <c r="CR157" i="1" s="1"/>
  <c r="CI157" i="1"/>
  <c r="CK157" i="1" s="1"/>
  <c r="CA157" i="1"/>
  <c r="CC157" i="1" s="1"/>
  <c r="BS157" i="1"/>
  <c r="BU157" i="1" s="1"/>
  <c r="BK157" i="1"/>
  <c r="BM157" i="1" s="1"/>
  <c r="BC157" i="1"/>
  <c r="BE157" i="1" s="1"/>
  <c r="AU157" i="1"/>
  <c r="AW157" i="1" s="1"/>
  <c r="AN157" i="1"/>
  <c r="AO157" i="1" s="1"/>
  <c r="EK156" i="1"/>
  <c r="DK156" i="1"/>
  <c r="DF156" i="1"/>
  <c r="DD156" i="1"/>
  <c r="CY156" i="1"/>
  <c r="CW156" i="1"/>
  <c r="CR156" i="1"/>
  <c r="CP156" i="1"/>
  <c r="BM156" i="1"/>
  <c r="BK156" i="1"/>
  <c r="BE156" i="1"/>
  <c r="BC156" i="1"/>
  <c r="AU156" i="1"/>
  <c r="AN156" i="1"/>
  <c r="AO156" i="1" s="1"/>
  <c r="EK155" i="1"/>
  <c r="FV204" i="1" s="1"/>
  <c r="DK155" i="1"/>
  <c r="DF155" i="1"/>
  <c r="DD155" i="1"/>
  <c r="EP204" i="1" s="1"/>
  <c r="CW155" i="1"/>
  <c r="CY155" i="1" s="1"/>
  <c r="CP155" i="1"/>
  <c r="CR155" i="1" s="1"/>
  <c r="BK155" i="1"/>
  <c r="BM155" i="1" s="1"/>
  <c r="BC155" i="1"/>
  <c r="BE155" i="1" s="1"/>
  <c r="AU155" i="1"/>
  <c r="AN155" i="1"/>
  <c r="AO155" i="1" s="1"/>
  <c r="EK154" i="1"/>
  <c r="DK154" i="1"/>
  <c r="CY154" i="1"/>
  <c r="CW154" i="1"/>
  <c r="CR154" i="1"/>
  <c r="BS154" i="1"/>
  <c r="BU154" i="1" s="1"/>
  <c r="BK154" i="1"/>
  <c r="BM154" i="1" s="1"/>
  <c r="BC154" i="1"/>
  <c r="BE154" i="1" s="1"/>
  <c r="AU154" i="1"/>
  <c r="AN154" i="1"/>
  <c r="AO154" i="1" s="1"/>
  <c r="EK153" i="1"/>
  <c r="DN153" i="1"/>
  <c r="DH153" i="1"/>
  <c r="DL153" i="1" s="1"/>
  <c r="DF153" i="1"/>
  <c r="DD153" i="1"/>
  <c r="CW153" i="1"/>
  <c r="CY153" i="1" s="1"/>
  <c r="CP153" i="1"/>
  <c r="CR153" i="1" s="1"/>
  <c r="BM153" i="1"/>
  <c r="BC153" i="1"/>
  <c r="AW153" i="1"/>
  <c r="AO153" i="1"/>
  <c r="AN153" i="1"/>
  <c r="EK152" i="1"/>
  <c r="DF152" i="1"/>
  <c r="CR152" i="1"/>
  <c r="BM152" i="1"/>
  <c r="AU152" i="1"/>
  <c r="AN152" i="1"/>
  <c r="AO152" i="1" s="1"/>
  <c r="EK151" i="1"/>
  <c r="DF151" i="1"/>
  <c r="CP151" i="1"/>
  <c r="CR151" i="1" s="1"/>
  <c r="BM151" i="1"/>
  <c r="AU151" i="1"/>
  <c r="AN151" i="1"/>
  <c r="AO151" i="1" s="1"/>
  <c r="EK150" i="1"/>
  <c r="DF150" i="1"/>
  <c r="CR150" i="1"/>
  <c r="BM150" i="1"/>
  <c r="AU150" i="1"/>
  <c r="AO150" i="1"/>
  <c r="AN150" i="1"/>
  <c r="EK149" i="1"/>
  <c r="DF149" i="1"/>
  <c r="CR149" i="1"/>
  <c r="BM149" i="1"/>
  <c r="AU149" i="1"/>
  <c r="AN149" i="1"/>
  <c r="AO149" i="1" s="1"/>
  <c r="EK148" i="1"/>
  <c r="DF148" i="1"/>
  <c r="CR148" i="1"/>
  <c r="BM148" i="1"/>
  <c r="AU148" i="1"/>
  <c r="AO148" i="1"/>
  <c r="AN148" i="1"/>
  <c r="EK147" i="1"/>
  <c r="DF147" i="1"/>
  <c r="CR147" i="1"/>
  <c r="BM147" i="1"/>
  <c r="AU147" i="1"/>
  <c r="AN147" i="1"/>
  <c r="AO147" i="1" s="1"/>
  <c r="EK146" i="1"/>
  <c r="DK146" i="1"/>
  <c r="DF146" i="1"/>
  <c r="CR146" i="1"/>
  <c r="BM146" i="1"/>
  <c r="AU146" i="1"/>
  <c r="AN146" i="1"/>
  <c r="AO146" i="1" s="1"/>
  <c r="EK145" i="1"/>
  <c r="DK145" i="1"/>
  <c r="DF145" i="1"/>
  <c r="CR145" i="1"/>
  <c r="BM145" i="1"/>
  <c r="AU145" i="1"/>
  <c r="AN145" i="1"/>
  <c r="AO145" i="1" s="1"/>
  <c r="EK144" i="1"/>
  <c r="DK144" i="1"/>
  <c r="DF144" i="1"/>
  <c r="CW144" i="1"/>
  <c r="CP144" i="1"/>
  <c r="CR144" i="1" s="1"/>
  <c r="BM144" i="1"/>
  <c r="BC144" i="1"/>
  <c r="AU144" i="1"/>
  <c r="AO144" i="1"/>
  <c r="AN144" i="1"/>
  <c r="EK143" i="1"/>
  <c r="DK143" i="1"/>
  <c r="DF143" i="1"/>
  <c r="DE143" i="1"/>
  <c r="DD143" i="1"/>
  <c r="DA143" i="1"/>
  <c r="CZ143" i="1"/>
  <c r="CW143" i="1"/>
  <c r="CY143" i="1" s="1"/>
  <c r="CP143" i="1"/>
  <c r="CR143" i="1" s="1"/>
  <c r="CJ143" i="1"/>
  <c r="CB143" i="1"/>
  <c r="BT143" i="1"/>
  <c r="BM143" i="1"/>
  <c r="BL143" i="1"/>
  <c r="BH143" i="1"/>
  <c r="BG143" i="1"/>
  <c r="BF143" i="1"/>
  <c r="BC143" i="1"/>
  <c r="AU143" i="1"/>
  <c r="AN143" i="1"/>
  <c r="AO143" i="1" s="1"/>
  <c r="EK142" i="1"/>
  <c r="DK142" i="1"/>
  <c r="CW142" i="1"/>
  <c r="CY142" i="1" s="1"/>
  <c r="CR142" i="1"/>
  <c r="BE142" i="1"/>
  <c r="BC142" i="1"/>
  <c r="AU142" i="1"/>
  <c r="AN142" i="1"/>
  <c r="AO142" i="1" s="1"/>
  <c r="EK141" i="1"/>
  <c r="DN141" i="1"/>
  <c r="DK141" i="1"/>
  <c r="DH141" i="1"/>
  <c r="DF141" i="1"/>
  <c r="CW141" i="1"/>
  <c r="CY141" i="1" s="1"/>
  <c r="CP141" i="1"/>
  <c r="CR141" i="1" s="1"/>
  <c r="BM141" i="1"/>
  <c r="BC141" i="1"/>
  <c r="AU141" i="1"/>
  <c r="AW141" i="1" s="1"/>
  <c r="AN141" i="1"/>
  <c r="AO141" i="1" s="1"/>
  <c r="EK140" i="1"/>
  <c r="DK140" i="1"/>
  <c r="DF140" i="1"/>
  <c r="CY140" i="1"/>
  <c r="CW140" i="1"/>
  <c r="CR140" i="1"/>
  <c r="CP140" i="1"/>
  <c r="BM140" i="1"/>
  <c r="BC140" i="1"/>
  <c r="AU140" i="1"/>
  <c r="AN140" i="1"/>
  <c r="AO140" i="1" s="1"/>
  <c r="EK139" i="1"/>
  <c r="DK139" i="1"/>
  <c r="DF139" i="1"/>
  <c r="DD139" i="1"/>
  <c r="CW139" i="1"/>
  <c r="CY139" i="1" s="1"/>
  <c r="CP139" i="1"/>
  <c r="CR139" i="1" s="1"/>
  <c r="BM139" i="1"/>
  <c r="BE139" i="1"/>
  <c r="BC139" i="1"/>
  <c r="AU139" i="1"/>
  <c r="AN139" i="1"/>
  <c r="AO139" i="1" s="1"/>
  <c r="EK138" i="1"/>
  <c r="DK138" i="1"/>
  <c r="DF138" i="1"/>
  <c r="DD138" i="1"/>
  <c r="CW138" i="1"/>
  <c r="CY138" i="1" s="1"/>
  <c r="CP138" i="1"/>
  <c r="CR138" i="1" s="1"/>
  <c r="BM138" i="1"/>
  <c r="BE138" i="1"/>
  <c r="BC138" i="1"/>
  <c r="AU138" i="1"/>
  <c r="AN138" i="1"/>
  <c r="AO138" i="1" s="1"/>
  <c r="EK137" i="1"/>
  <c r="DK137" i="1"/>
  <c r="DF137" i="1"/>
  <c r="DD137" i="1"/>
  <c r="CW137" i="1"/>
  <c r="CY137" i="1" s="1"/>
  <c r="CP137" i="1"/>
  <c r="CR137" i="1" s="1"/>
  <c r="BM137" i="1"/>
  <c r="BE137" i="1"/>
  <c r="BC137" i="1"/>
  <c r="AU137" i="1"/>
  <c r="AN137" i="1"/>
  <c r="AO137" i="1" s="1"/>
  <c r="EK136" i="1"/>
  <c r="DK136" i="1"/>
  <c r="DF136" i="1"/>
  <c r="DD136" i="1"/>
  <c r="CW136" i="1"/>
  <c r="CY136" i="1" s="1"/>
  <c r="CP136" i="1"/>
  <c r="CR136" i="1" s="1"/>
  <c r="BM136" i="1"/>
  <c r="BE136" i="1"/>
  <c r="BC136" i="1"/>
  <c r="AU136" i="1"/>
  <c r="AN136" i="1"/>
  <c r="AO136" i="1" s="1"/>
  <c r="EK135" i="1"/>
  <c r="DK135" i="1"/>
  <c r="CY135" i="1"/>
  <c r="CR135" i="1"/>
  <c r="AU135" i="1"/>
  <c r="AN135" i="1"/>
  <c r="AO135" i="1" s="1"/>
  <c r="EK134" i="1"/>
  <c r="DK134" i="1"/>
  <c r="DF134" i="1"/>
  <c r="DD134" i="1"/>
  <c r="CW134" i="1"/>
  <c r="CY134" i="1" s="1"/>
  <c r="CP134" i="1"/>
  <c r="CR134" i="1" s="1"/>
  <c r="BM134" i="1"/>
  <c r="BE134" i="1"/>
  <c r="BC134" i="1"/>
  <c r="AU134" i="1"/>
  <c r="AN134" i="1"/>
  <c r="AO134" i="1" s="1"/>
  <c r="EK133" i="1"/>
  <c r="DF133" i="1"/>
  <c r="DD133" i="1"/>
  <c r="CY133" i="1"/>
  <c r="CW133" i="1"/>
  <c r="CR133" i="1"/>
  <c r="CP133" i="1"/>
  <c r="BM133" i="1"/>
  <c r="BK133" i="1"/>
  <c r="BE133" i="1"/>
  <c r="BC133" i="1"/>
  <c r="AU133" i="1"/>
  <c r="AN133" i="1"/>
  <c r="AO133" i="1" s="1"/>
  <c r="DN132" i="1"/>
  <c r="CY132" i="1"/>
  <c r="CR132" i="1"/>
  <c r="DN131" i="1"/>
  <c r="DH131" i="1"/>
  <c r="CY131" i="1"/>
  <c r="CR131" i="1"/>
  <c r="EK130" i="1"/>
  <c r="DK130" i="1"/>
  <c r="CY130" i="1"/>
  <c r="CR130" i="1"/>
  <c r="AU130" i="1"/>
  <c r="AN130" i="1"/>
  <c r="AO130" i="1" s="1"/>
  <c r="EK129" i="1"/>
  <c r="DK129" i="1"/>
  <c r="DF129" i="1"/>
  <c r="CY129" i="1"/>
  <c r="CP129" i="1"/>
  <c r="CR129" i="1" s="1"/>
  <c r="BK129" i="1"/>
  <c r="BM129" i="1" s="1"/>
  <c r="BC129" i="1"/>
  <c r="BE129" i="1" s="1"/>
  <c r="AU129" i="1"/>
  <c r="AO129" i="1"/>
  <c r="AN129" i="1"/>
  <c r="EK128" i="1"/>
  <c r="DK128" i="1"/>
  <c r="DF128" i="1"/>
  <c r="CY128" i="1"/>
  <c r="CR128" i="1"/>
  <c r="CP128" i="1"/>
  <c r="BM128" i="1"/>
  <c r="BK128" i="1"/>
  <c r="BE128" i="1"/>
  <c r="BC128" i="1"/>
  <c r="AU128" i="1"/>
  <c r="AN128" i="1"/>
  <c r="AO128" i="1" s="1"/>
  <c r="EK127" i="1"/>
  <c r="DK127" i="1"/>
  <c r="DF127" i="1"/>
  <c r="CY127" i="1"/>
  <c r="CW127" i="1"/>
  <c r="CR127" i="1"/>
  <c r="CP127" i="1"/>
  <c r="BM127" i="1"/>
  <c r="BK127" i="1"/>
  <c r="BE127" i="1"/>
  <c r="BC127" i="1"/>
  <c r="AU127" i="1"/>
  <c r="AN127" i="1"/>
  <c r="AO127" i="1" s="1"/>
  <c r="EK126" i="1"/>
  <c r="DN126" i="1"/>
  <c r="DK126" i="1"/>
  <c r="DH126" i="1"/>
  <c r="DL126" i="1" s="1"/>
  <c r="DF126" i="1"/>
  <c r="CW126" i="1"/>
  <c r="CY126" i="1" s="1"/>
  <c r="CP126" i="1"/>
  <c r="CR126" i="1" s="1"/>
  <c r="BK126" i="1"/>
  <c r="BM126" i="1" s="1"/>
  <c r="BC126" i="1"/>
  <c r="BE126" i="1" s="1"/>
  <c r="AU126" i="1"/>
  <c r="AW126" i="1" s="1"/>
  <c r="AN126" i="1"/>
  <c r="AO126" i="1" s="1"/>
  <c r="EK125" i="1"/>
  <c r="DF125" i="1"/>
  <c r="CW125" i="1"/>
  <c r="CY125" i="1" s="1"/>
  <c r="CP125" i="1"/>
  <c r="CR125" i="1" s="1"/>
  <c r="BK125" i="1"/>
  <c r="BM125" i="1" s="1"/>
  <c r="BC125" i="1"/>
  <c r="BE125" i="1" s="1"/>
  <c r="AU125" i="1"/>
  <c r="AO125" i="1"/>
  <c r="AN125" i="1"/>
  <c r="EK124" i="1"/>
  <c r="DF124" i="1"/>
  <c r="CY124" i="1"/>
  <c r="CW124" i="1"/>
  <c r="CR124" i="1"/>
  <c r="CP124" i="1"/>
  <c r="BM124" i="1"/>
  <c r="BK124" i="1"/>
  <c r="BE124" i="1"/>
  <c r="BC124" i="1"/>
  <c r="AU124" i="1"/>
  <c r="AN124" i="1"/>
  <c r="AO124" i="1" s="1"/>
  <c r="EK123" i="1"/>
  <c r="DF123" i="1"/>
  <c r="CW123" i="1"/>
  <c r="CY123" i="1" s="1"/>
  <c r="CP123" i="1"/>
  <c r="CR123" i="1" s="1"/>
  <c r="BK123" i="1"/>
  <c r="BM123" i="1" s="1"/>
  <c r="BC123" i="1"/>
  <c r="BE123" i="1" s="1"/>
  <c r="AU123" i="1"/>
  <c r="AN123" i="1"/>
  <c r="AO123" i="1" s="1"/>
  <c r="EK122" i="1"/>
  <c r="DF122" i="1"/>
  <c r="CY122" i="1"/>
  <c r="CW122" i="1"/>
  <c r="CR122" i="1"/>
  <c r="CP122" i="1"/>
  <c r="BM122" i="1"/>
  <c r="BK122" i="1"/>
  <c r="BE122" i="1"/>
  <c r="BC122" i="1"/>
  <c r="AU122" i="1"/>
  <c r="AN122" i="1"/>
  <c r="AO122" i="1" s="1"/>
  <c r="EK121" i="1"/>
  <c r="DF121" i="1"/>
  <c r="CW121" i="1"/>
  <c r="CY121" i="1" s="1"/>
  <c r="CP121" i="1"/>
  <c r="CR121" i="1" s="1"/>
  <c r="BK121" i="1"/>
  <c r="BM121" i="1" s="1"/>
  <c r="BC121" i="1"/>
  <c r="BE121" i="1" s="1"/>
  <c r="AU121" i="1"/>
  <c r="AO121" i="1"/>
  <c r="AN121" i="1"/>
  <c r="EK120" i="1"/>
  <c r="DF120" i="1"/>
  <c r="CY120" i="1"/>
  <c r="CW120" i="1"/>
  <c r="CR120" i="1"/>
  <c r="CP120" i="1"/>
  <c r="BM120" i="1"/>
  <c r="BK120" i="1"/>
  <c r="BE120" i="1"/>
  <c r="BC120" i="1"/>
  <c r="AU120" i="1"/>
  <c r="AN120" i="1"/>
  <c r="AO120" i="1" s="1"/>
  <c r="EK119" i="1"/>
  <c r="DF119" i="1"/>
  <c r="DD119" i="1"/>
  <c r="CY119" i="1"/>
  <c r="CW119" i="1"/>
  <c r="CR119" i="1"/>
  <c r="CP119" i="1"/>
  <c r="BM119" i="1"/>
  <c r="BK119" i="1"/>
  <c r="BE119" i="1"/>
  <c r="BC119" i="1"/>
  <c r="AU119" i="1"/>
  <c r="AN119" i="1"/>
  <c r="AO119" i="1" s="1"/>
  <c r="EK118" i="1"/>
  <c r="DK118" i="1"/>
  <c r="DF118" i="1"/>
  <c r="DD118" i="1"/>
  <c r="CW118" i="1"/>
  <c r="CY118" i="1" s="1"/>
  <c r="CP118" i="1"/>
  <c r="CR118" i="1" s="1"/>
  <c r="BK118" i="1"/>
  <c r="BM118" i="1" s="1"/>
  <c r="BC118" i="1"/>
  <c r="BE118" i="1" s="1"/>
  <c r="AU118" i="1"/>
  <c r="AO118" i="1"/>
  <c r="AN118" i="1"/>
  <c r="EK117" i="1"/>
  <c r="DK117" i="1"/>
  <c r="DF117" i="1"/>
  <c r="DD117" i="1"/>
  <c r="CY117" i="1"/>
  <c r="CW117" i="1"/>
  <c r="CR117" i="1"/>
  <c r="CP117" i="1"/>
  <c r="BM117" i="1"/>
  <c r="BK117" i="1"/>
  <c r="BE117" i="1"/>
  <c r="BC117" i="1"/>
  <c r="AU117" i="1"/>
  <c r="AN117" i="1"/>
  <c r="AO117" i="1" s="1"/>
  <c r="EK116" i="1"/>
  <c r="DK116" i="1"/>
  <c r="DF116" i="1"/>
  <c r="CY116" i="1"/>
  <c r="CW116" i="1"/>
  <c r="CR116" i="1"/>
  <c r="BM116" i="1"/>
  <c r="BE116" i="1"/>
  <c r="BC116" i="1"/>
  <c r="AU116" i="1"/>
  <c r="AN116" i="1"/>
  <c r="AO116" i="1" s="1"/>
  <c r="EK115" i="1"/>
  <c r="DK115" i="1"/>
  <c r="DF115" i="1"/>
  <c r="DD115" i="1"/>
  <c r="CW115" i="1"/>
  <c r="CY115" i="1" s="1"/>
  <c r="CP115" i="1"/>
  <c r="CR115" i="1" s="1"/>
  <c r="BK115" i="1"/>
  <c r="BM115" i="1" s="1"/>
  <c r="BC115" i="1"/>
  <c r="BE115" i="1" s="1"/>
  <c r="AU115" i="1"/>
  <c r="AO115" i="1"/>
  <c r="AN115" i="1"/>
  <c r="EK114" i="1"/>
  <c r="DK114" i="1"/>
  <c r="DF114" i="1"/>
  <c r="DD114" i="1"/>
  <c r="CW114" i="1"/>
  <c r="CY114" i="1" s="1"/>
  <c r="CR114" i="1"/>
  <c r="CP114" i="1"/>
  <c r="BM114" i="1"/>
  <c r="BK114" i="1"/>
  <c r="BE114" i="1"/>
  <c r="BC114" i="1"/>
  <c r="AU114" i="1"/>
  <c r="AN114" i="1"/>
  <c r="AO114" i="1" s="1"/>
  <c r="EK113" i="1"/>
  <c r="DK113" i="1"/>
  <c r="DF113" i="1"/>
  <c r="DD113" i="1"/>
  <c r="CW113" i="1"/>
  <c r="CY113" i="1" s="1"/>
  <c r="CP113" i="1"/>
  <c r="CR113" i="1" s="1"/>
  <c r="CI113" i="1"/>
  <c r="CA113" i="1"/>
  <c r="BS113" i="1"/>
  <c r="BM113" i="1"/>
  <c r="BK113" i="1"/>
  <c r="BE113" i="1"/>
  <c r="BC113" i="1"/>
  <c r="AU113" i="1"/>
  <c r="AN113" i="1"/>
  <c r="AO113" i="1" s="1"/>
  <c r="EK112" i="1"/>
  <c r="DK112" i="1"/>
  <c r="DF112" i="1"/>
  <c r="DD112" i="1"/>
  <c r="CW112" i="1"/>
  <c r="CY112" i="1" s="1"/>
  <c r="CP112" i="1"/>
  <c r="CR112" i="1" s="1"/>
  <c r="BK112" i="1"/>
  <c r="BM112" i="1" s="1"/>
  <c r="BC112" i="1"/>
  <c r="AU112" i="1"/>
  <c r="AN112" i="1"/>
  <c r="AO112" i="1" s="1"/>
  <c r="EK111" i="1"/>
  <c r="DK111" i="1"/>
  <c r="DF111" i="1"/>
  <c r="DD111" i="1"/>
  <c r="CW111" i="1"/>
  <c r="CY111" i="1" s="1"/>
  <c r="CP111" i="1"/>
  <c r="CR111" i="1" s="1"/>
  <c r="BK111" i="1"/>
  <c r="BM111" i="1" s="1"/>
  <c r="BC111" i="1"/>
  <c r="AU111" i="1"/>
  <c r="AN111" i="1"/>
  <c r="AO111" i="1" s="1"/>
  <c r="EK110" i="1"/>
  <c r="DK110" i="1"/>
  <c r="DF110" i="1"/>
  <c r="DD110" i="1"/>
  <c r="CW110" i="1"/>
  <c r="CY110" i="1" s="1"/>
  <c r="CP110" i="1"/>
  <c r="CR110" i="1" s="1"/>
  <c r="BK110" i="1"/>
  <c r="BM110" i="1" s="1"/>
  <c r="BC110" i="1"/>
  <c r="BE110" i="1" s="1"/>
  <c r="AU110" i="1"/>
  <c r="AN110" i="1"/>
  <c r="AO110" i="1" s="1"/>
  <c r="EK109" i="1"/>
  <c r="DK109" i="1"/>
  <c r="DF109" i="1"/>
  <c r="DD109" i="1"/>
  <c r="CY109" i="1"/>
  <c r="CW109" i="1"/>
  <c r="CR109" i="1"/>
  <c r="CP109" i="1"/>
  <c r="BM109" i="1"/>
  <c r="BK109" i="1"/>
  <c r="BE109" i="1"/>
  <c r="BC109" i="1"/>
  <c r="AU109" i="1"/>
  <c r="AN109" i="1"/>
  <c r="AO109" i="1" s="1"/>
  <c r="EK108" i="1"/>
  <c r="DK108" i="1"/>
  <c r="DF108" i="1"/>
  <c r="DD108" i="1"/>
  <c r="CW108" i="1"/>
  <c r="CY108" i="1" s="1"/>
  <c r="CP108" i="1"/>
  <c r="CR108" i="1" s="1"/>
  <c r="CK108" i="1"/>
  <c r="CC108" i="1"/>
  <c r="BU108" i="1"/>
  <c r="BM108" i="1"/>
  <c r="BK108" i="1"/>
  <c r="BC108" i="1"/>
  <c r="AU108" i="1"/>
  <c r="AO108" i="1"/>
  <c r="AN108" i="1"/>
  <c r="EK107" i="1"/>
  <c r="DK107" i="1"/>
  <c r="DF107" i="1"/>
  <c r="DD107" i="1"/>
  <c r="CW107" i="1"/>
  <c r="CY107" i="1" s="1"/>
  <c r="CR107" i="1"/>
  <c r="CP107" i="1"/>
  <c r="BM107" i="1"/>
  <c r="BK107" i="1"/>
  <c r="BE107" i="1"/>
  <c r="BC107" i="1"/>
  <c r="AU107" i="1"/>
  <c r="AN107" i="1"/>
  <c r="AO107" i="1" s="1"/>
  <c r="EK106" i="1"/>
  <c r="DK106" i="1"/>
  <c r="DF106" i="1"/>
  <c r="DD106" i="1"/>
  <c r="CW106" i="1"/>
  <c r="CY106" i="1" s="1"/>
  <c r="CP106" i="1"/>
  <c r="CR106" i="1" s="1"/>
  <c r="CK106" i="1"/>
  <c r="CC106" i="1"/>
  <c r="BU106" i="1"/>
  <c r="BM106" i="1"/>
  <c r="BK106" i="1"/>
  <c r="BE106" i="1"/>
  <c r="BC106" i="1"/>
  <c r="AU106" i="1"/>
  <c r="AN106" i="1"/>
  <c r="AO106" i="1" s="1"/>
  <c r="EK105" i="1"/>
  <c r="DK105" i="1"/>
  <c r="DF105" i="1"/>
  <c r="DD105" i="1"/>
  <c r="CW105" i="1"/>
  <c r="CY105" i="1" s="1"/>
  <c r="CP105" i="1"/>
  <c r="CR105" i="1" s="1"/>
  <c r="CK105" i="1"/>
  <c r="CC105" i="1"/>
  <c r="BU105" i="1"/>
  <c r="BM105" i="1"/>
  <c r="BK105" i="1"/>
  <c r="BE105" i="1"/>
  <c r="BC105" i="1"/>
  <c r="AU105" i="1"/>
  <c r="AN105" i="1"/>
  <c r="AO105" i="1" s="1"/>
  <c r="EK104" i="1"/>
  <c r="DP104" i="1"/>
  <c r="DR104" i="1" s="1"/>
  <c r="DT104" i="1" s="1"/>
  <c r="DN104" i="1"/>
  <c r="DX104" i="1" s="1"/>
  <c r="DK104" i="1"/>
  <c r="DH104" i="1"/>
  <c r="DF104" i="1"/>
  <c r="DD104" i="1"/>
  <c r="CW104" i="1"/>
  <c r="CY104" i="1" s="1"/>
  <c r="CP104" i="1"/>
  <c r="CR104" i="1" s="1"/>
  <c r="BK104" i="1"/>
  <c r="BM104" i="1" s="1"/>
  <c r="BC104" i="1"/>
  <c r="BE104" i="1" s="1"/>
  <c r="AU104" i="1"/>
  <c r="AW104" i="1" s="1"/>
  <c r="AN104" i="1"/>
  <c r="AO104" i="1" s="1"/>
  <c r="EK103" i="1"/>
  <c r="DK103" i="1"/>
  <c r="DF103" i="1"/>
  <c r="DD103" i="1"/>
  <c r="CW103" i="1"/>
  <c r="CY103" i="1" s="1"/>
  <c r="CP103" i="1"/>
  <c r="CR103" i="1" s="1"/>
  <c r="BK103" i="1"/>
  <c r="BM103" i="1" s="1"/>
  <c r="BC103" i="1"/>
  <c r="BE103" i="1" s="1"/>
  <c r="AU103" i="1"/>
  <c r="AO103" i="1"/>
  <c r="AN103" i="1"/>
  <c r="EK102" i="1"/>
  <c r="DK102" i="1"/>
  <c r="DF102" i="1"/>
  <c r="DD102" i="1"/>
  <c r="CY102" i="1"/>
  <c r="CW102" i="1"/>
  <c r="CR102" i="1"/>
  <c r="CP102" i="1"/>
  <c r="CK102" i="1"/>
  <c r="CC102" i="1"/>
  <c r="BU102" i="1"/>
  <c r="BK102" i="1"/>
  <c r="BM102" i="1" s="1"/>
  <c r="BC102" i="1"/>
  <c r="BE102" i="1" s="1"/>
  <c r="AU102" i="1"/>
  <c r="AO102" i="1"/>
  <c r="AN102" i="1"/>
  <c r="EK101" i="1"/>
  <c r="DK101" i="1"/>
  <c r="DF101" i="1"/>
  <c r="DD101" i="1"/>
  <c r="CY101" i="1"/>
  <c r="CW101" i="1"/>
  <c r="CR101" i="1"/>
  <c r="CP101" i="1"/>
  <c r="CK101" i="1"/>
  <c r="CC101" i="1"/>
  <c r="BU101" i="1"/>
  <c r="BK101" i="1"/>
  <c r="BM101" i="1" s="1"/>
  <c r="BC101" i="1"/>
  <c r="BE101" i="1" s="1"/>
  <c r="AU101" i="1"/>
  <c r="AO101" i="1"/>
  <c r="AN101" i="1"/>
  <c r="EK100" i="1"/>
  <c r="DK100" i="1"/>
  <c r="DF100" i="1"/>
  <c r="DD100" i="1"/>
  <c r="CY100" i="1"/>
  <c r="CW100" i="1"/>
  <c r="CR100" i="1"/>
  <c r="CP100" i="1"/>
  <c r="CK100" i="1"/>
  <c r="CI100" i="1"/>
  <c r="CC100" i="1"/>
  <c r="CA100" i="1"/>
  <c r="BU100" i="1"/>
  <c r="BS100" i="1"/>
  <c r="BM100" i="1"/>
  <c r="BK100" i="1"/>
  <c r="BE100" i="1"/>
  <c r="BC100" i="1"/>
  <c r="AU100" i="1"/>
  <c r="AN100" i="1"/>
  <c r="AO100" i="1" s="1"/>
  <c r="EK99" i="1"/>
  <c r="DK99" i="1"/>
  <c r="DD99" i="1"/>
  <c r="DF99" i="1" s="1"/>
  <c r="CW99" i="1"/>
  <c r="CY99" i="1" s="1"/>
  <c r="CP99" i="1"/>
  <c r="CR99" i="1" s="1"/>
  <c r="CI99" i="1"/>
  <c r="CK99" i="1" s="1"/>
  <c r="CA99" i="1"/>
  <c r="CC99" i="1" s="1"/>
  <c r="BS99" i="1"/>
  <c r="BU99" i="1" s="1"/>
  <c r="BK99" i="1"/>
  <c r="BM99" i="1" s="1"/>
  <c r="BC99" i="1"/>
  <c r="BE99" i="1" s="1"/>
  <c r="AU99" i="1"/>
  <c r="AO99" i="1"/>
  <c r="AN99" i="1"/>
  <c r="AO98" i="1"/>
  <c r="AQ98" i="1" s="1"/>
  <c r="AN98" i="1"/>
  <c r="AN97" i="1"/>
  <c r="AO97" i="1" s="1"/>
  <c r="AQ97" i="1" s="1"/>
  <c r="AO96" i="1"/>
  <c r="AQ96" i="1" s="1"/>
  <c r="AN96" i="1"/>
  <c r="AN95" i="1"/>
  <c r="AO95" i="1" s="1"/>
  <c r="AQ95" i="1" s="1"/>
  <c r="EK94" i="1"/>
  <c r="DK94" i="1"/>
  <c r="CR94" i="1"/>
  <c r="AU94" i="1"/>
  <c r="AN94" i="1"/>
  <c r="AO94" i="1" s="1"/>
  <c r="EK93" i="1"/>
  <c r="DK93" i="1"/>
  <c r="CR93" i="1"/>
  <c r="BE93" i="1"/>
  <c r="AU93" i="1"/>
  <c r="AO93" i="1"/>
  <c r="AN93" i="1"/>
  <c r="EK92" i="1"/>
  <c r="DK92" i="1"/>
  <c r="CR92" i="1"/>
  <c r="BE92" i="1"/>
  <c r="AU92" i="1"/>
  <c r="AN92" i="1"/>
  <c r="AO92" i="1" s="1"/>
  <c r="EK91" i="1"/>
  <c r="DK91" i="1"/>
  <c r="CR91" i="1"/>
  <c r="BE91" i="1"/>
  <c r="BC91" i="1"/>
  <c r="AU91" i="1"/>
  <c r="AN91" i="1"/>
  <c r="AO91" i="1" s="1"/>
  <c r="EK90" i="1"/>
  <c r="DK90" i="1"/>
  <c r="CW90" i="1"/>
  <c r="CR90" i="1"/>
  <c r="BC90" i="1"/>
  <c r="BE90" i="1" s="1"/>
  <c r="AU90" i="1"/>
  <c r="AO90" i="1"/>
  <c r="AN90" i="1"/>
  <c r="EK89" i="1"/>
  <c r="DK89" i="1"/>
  <c r="DF89" i="1"/>
  <c r="DD89" i="1"/>
  <c r="CY89" i="1"/>
  <c r="CW89" i="1"/>
  <c r="CR89" i="1"/>
  <c r="CP89" i="1"/>
  <c r="CK89" i="1"/>
  <c r="CI89" i="1"/>
  <c r="CC89" i="1"/>
  <c r="CA89" i="1"/>
  <c r="BU89" i="1"/>
  <c r="BS89" i="1"/>
  <c r="BM89" i="1"/>
  <c r="BK89" i="1"/>
  <c r="BE89" i="1"/>
  <c r="BC89" i="1"/>
  <c r="AU89" i="1"/>
  <c r="AN89" i="1"/>
  <c r="AO89" i="1" s="1"/>
  <c r="EK88" i="1"/>
  <c r="DK88" i="1"/>
  <c r="CW88" i="1"/>
  <c r="CY88" i="1" s="1"/>
  <c r="CR88" i="1"/>
  <c r="BE88" i="1"/>
  <c r="BC88" i="1"/>
  <c r="AU88" i="1"/>
  <c r="AN88" i="1"/>
  <c r="AO88" i="1" s="1"/>
  <c r="EK87" i="1"/>
  <c r="DK87" i="1"/>
  <c r="DF87" i="1"/>
  <c r="DD87" i="1"/>
  <c r="CW87" i="1"/>
  <c r="CY87" i="1" s="1"/>
  <c r="CP87" i="1"/>
  <c r="CR87" i="1" s="1"/>
  <c r="CI87" i="1"/>
  <c r="CK87" i="1" s="1"/>
  <c r="CA87" i="1"/>
  <c r="CC87" i="1" s="1"/>
  <c r="BS87" i="1"/>
  <c r="BU87" i="1" s="1"/>
  <c r="BK87" i="1"/>
  <c r="BM87" i="1" s="1"/>
  <c r="BC87" i="1"/>
  <c r="BE87" i="1" s="1"/>
  <c r="AU87" i="1"/>
  <c r="AO87" i="1"/>
  <c r="AN87" i="1"/>
  <c r="EK86" i="1"/>
  <c r="DN86" i="1"/>
  <c r="DK86" i="1"/>
  <c r="DH86" i="1"/>
  <c r="DL86" i="1" s="1"/>
  <c r="CY86" i="1"/>
  <c r="CW86" i="1"/>
  <c r="CR86" i="1"/>
  <c r="BC86" i="1"/>
  <c r="BE86" i="1" s="1"/>
  <c r="AU86" i="1"/>
  <c r="AW86" i="1" s="1"/>
  <c r="AN86" i="1"/>
  <c r="AO86" i="1" s="1"/>
  <c r="EK85" i="1"/>
  <c r="DK85" i="1"/>
  <c r="DF85" i="1"/>
  <c r="DD85" i="1"/>
  <c r="CW85" i="1"/>
  <c r="CY85" i="1" s="1"/>
  <c r="CP85" i="1"/>
  <c r="CR85" i="1" s="1"/>
  <c r="CI85" i="1"/>
  <c r="CK85" i="1" s="1"/>
  <c r="CA85" i="1"/>
  <c r="CC85" i="1" s="1"/>
  <c r="BS85" i="1"/>
  <c r="BU85" i="1" s="1"/>
  <c r="BK85" i="1"/>
  <c r="BM85" i="1" s="1"/>
  <c r="BC85" i="1"/>
  <c r="BE85" i="1" s="1"/>
  <c r="AU85" i="1"/>
  <c r="AO85" i="1"/>
  <c r="AN85" i="1"/>
  <c r="EK84" i="1"/>
  <c r="DK84" i="1"/>
  <c r="CY84" i="1"/>
  <c r="CW84" i="1"/>
  <c r="CR84" i="1"/>
  <c r="BC84" i="1"/>
  <c r="BE84" i="1" s="1"/>
  <c r="AU84" i="1"/>
  <c r="AO84" i="1"/>
  <c r="AN84" i="1"/>
  <c r="EK83" i="1"/>
  <c r="DK83" i="1"/>
  <c r="CY83" i="1"/>
  <c r="CW83" i="1"/>
  <c r="CR83" i="1"/>
  <c r="BC83" i="1"/>
  <c r="BE83" i="1" s="1"/>
  <c r="AU83" i="1"/>
  <c r="AO83" i="1"/>
  <c r="AN83" i="1"/>
  <c r="EK82" i="1"/>
  <c r="DK82" i="1"/>
  <c r="CY82" i="1"/>
  <c r="CW82" i="1"/>
  <c r="CR82" i="1"/>
  <c r="CP82" i="1"/>
  <c r="BE82" i="1"/>
  <c r="BC82" i="1"/>
  <c r="AU82" i="1"/>
  <c r="AN82" i="1"/>
  <c r="AO82" i="1" s="1"/>
  <c r="EK81" i="1"/>
  <c r="DK81" i="1"/>
  <c r="CW81" i="1"/>
  <c r="CY81" i="1" s="1"/>
  <c r="CR81" i="1"/>
  <c r="BE81" i="1"/>
  <c r="BC81" i="1"/>
  <c r="AU81" i="1"/>
  <c r="AN81" i="1"/>
  <c r="AO81" i="1" s="1"/>
  <c r="EK80" i="1"/>
  <c r="DK80" i="1"/>
  <c r="CW80" i="1"/>
  <c r="CY80" i="1" s="1"/>
  <c r="CR80" i="1"/>
  <c r="BE80" i="1"/>
  <c r="BC80" i="1"/>
  <c r="AU80" i="1"/>
  <c r="AN80" i="1"/>
  <c r="AO80" i="1" s="1"/>
  <c r="EK79" i="1"/>
  <c r="DK79" i="1"/>
  <c r="CW79" i="1"/>
  <c r="CY79" i="1" s="1"/>
  <c r="CR79" i="1"/>
  <c r="BE79" i="1"/>
  <c r="BC79" i="1"/>
  <c r="AU79" i="1"/>
  <c r="AN79" i="1"/>
  <c r="AO79" i="1" s="1"/>
  <c r="EK78" i="1"/>
  <c r="DK78" i="1"/>
  <c r="CW78" i="1"/>
  <c r="CY78" i="1" s="1"/>
  <c r="CR78" i="1"/>
  <c r="BE78" i="1"/>
  <c r="BC78" i="1"/>
  <c r="AU78" i="1"/>
  <c r="AN78" i="1"/>
  <c r="AO78" i="1" s="1"/>
  <c r="EK77" i="1"/>
  <c r="DK77" i="1"/>
  <c r="CW77" i="1"/>
  <c r="CY77" i="1" s="1"/>
  <c r="CP77" i="1"/>
  <c r="CR77" i="1" s="1"/>
  <c r="BK77" i="1"/>
  <c r="BM77" i="1" s="1"/>
  <c r="BC77" i="1"/>
  <c r="BE77" i="1" s="1"/>
  <c r="AU77" i="1"/>
  <c r="AO77" i="1"/>
  <c r="AN77" i="1"/>
  <c r="EK76" i="1"/>
  <c r="DK76" i="1"/>
  <c r="CY76" i="1"/>
  <c r="CW76" i="1"/>
  <c r="CR76" i="1"/>
  <c r="CP76" i="1"/>
  <c r="BK76" i="1"/>
  <c r="BM76" i="1" s="1"/>
  <c r="BC76" i="1"/>
  <c r="BE76" i="1" s="1"/>
  <c r="AU76" i="1"/>
  <c r="AN76" i="1"/>
  <c r="AO76" i="1" s="1"/>
  <c r="EK75" i="1"/>
  <c r="DK75" i="1"/>
  <c r="DF75" i="1"/>
  <c r="DD75" i="1"/>
  <c r="CW75" i="1"/>
  <c r="CY75" i="1" s="1"/>
  <c r="CP75" i="1"/>
  <c r="CR75" i="1" s="1"/>
  <c r="CI75" i="1"/>
  <c r="CK75" i="1" s="1"/>
  <c r="CA75" i="1"/>
  <c r="CC75" i="1" s="1"/>
  <c r="BS75" i="1"/>
  <c r="BU75" i="1" s="1"/>
  <c r="BK75" i="1"/>
  <c r="BM75" i="1" s="1"/>
  <c r="BC75" i="1"/>
  <c r="BE75" i="1" s="1"/>
  <c r="AU75" i="1"/>
  <c r="AO75" i="1"/>
  <c r="AN75" i="1"/>
  <c r="EK74" i="1"/>
  <c r="DN74" i="1"/>
  <c r="DK74" i="1"/>
  <c r="DH74" i="1"/>
  <c r="DL74" i="1" s="1"/>
  <c r="DF74" i="1"/>
  <c r="DD74" i="1"/>
  <c r="CY74" i="1"/>
  <c r="CW74" i="1"/>
  <c r="CR74" i="1"/>
  <c r="CI74" i="1"/>
  <c r="CK74" i="1" s="1"/>
  <c r="CA74" i="1"/>
  <c r="CC74" i="1" s="1"/>
  <c r="BS74" i="1"/>
  <c r="BU74" i="1" s="1"/>
  <c r="BK74" i="1"/>
  <c r="BM74" i="1" s="1"/>
  <c r="BC74" i="1"/>
  <c r="BE74" i="1" s="1"/>
  <c r="AU74" i="1"/>
  <c r="AW74" i="1" s="1"/>
  <c r="AN74" i="1"/>
  <c r="AO74" i="1" s="1"/>
  <c r="EK73" i="1"/>
  <c r="DK73" i="1"/>
  <c r="DF73" i="1"/>
  <c r="DD73" i="1"/>
  <c r="CW73" i="1"/>
  <c r="CY73" i="1" s="1"/>
  <c r="CR73" i="1"/>
  <c r="BM73" i="1"/>
  <c r="BK73" i="1"/>
  <c r="BC73" i="1"/>
  <c r="BE73" i="1" s="1"/>
  <c r="AU73" i="1"/>
  <c r="AN73" i="1"/>
  <c r="AO73" i="1" s="1"/>
  <c r="EK72" i="1"/>
  <c r="DK72" i="1"/>
  <c r="CW72" i="1"/>
  <c r="CY72" i="1" s="1"/>
  <c r="CP72" i="1"/>
  <c r="CR72" i="1" s="1"/>
  <c r="BK72" i="1"/>
  <c r="BM72" i="1" s="1"/>
  <c r="BC72" i="1"/>
  <c r="BE72" i="1" s="1"/>
  <c r="AU72" i="1"/>
  <c r="AO72" i="1"/>
  <c r="AN72" i="1"/>
  <c r="EK71" i="1"/>
  <c r="DK71" i="1"/>
  <c r="DD71" i="1"/>
  <c r="DF71" i="1" s="1"/>
  <c r="CW71" i="1"/>
  <c r="CY71" i="1" s="1"/>
  <c r="CR71" i="1"/>
  <c r="BK71" i="1"/>
  <c r="BM71" i="1" s="1"/>
  <c r="BC71" i="1"/>
  <c r="BE71" i="1" s="1"/>
  <c r="AU71" i="1"/>
  <c r="AO71" i="1"/>
  <c r="AN71" i="1"/>
  <c r="EK70" i="1"/>
  <c r="DK70" i="1"/>
  <c r="CW70" i="1"/>
  <c r="CY70" i="1" s="1"/>
  <c r="CR70" i="1"/>
  <c r="CP70" i="1"/>
  <c r="BM70" i="1"/>
  <c r="BK70" i="1"/>
  <c r="BE70" i="1"/>
  <c r="BC70" i="1"/>
  <c r="AU70" i="1"/>
  <c r="AN70" i="1"/>
  <c r="AO70" i="1" s="1"/>
  <c r="EK69" i="1"/>
  <c r="DK69" i="1"/>
  <c r="CW69" i="1"/>
  <c r="CY69" i="1" s="1"/>
  <c r="CP69" i="1"/>
  <c r="CR69" i="1" s="1"/>
  <c r="BK69" i="1"/>
  <c r="BM69" i="1" s="1"/>
  <c r="BC69" i="1"/>
  <c r="BE69" i="1" s="1"/>
  <c r="AU69" i="1"/>
  <c r="AO69" i="1"/>
  <c r="AN69" i="1"/>
  <c r="EQ68" i="1"/>
  <c r="EK68" i="1"/>
  <c r="DK68" i="1"/>
  <c r="DD68" i="1"/>
  <c r="DF68" i="1" s="1"/>
  <c r="CW68" i="1"/>
  <c r="CY68" i="1" s="1"/>
  <c r="CR68" i="1"/>
  <c r="BK68" i="1"/>
  <c r="BM68" i="1" s="1"/>
  <c r="BC68" i="1"/>
  <c r="BE68" i="1" s="1"/>
  <c r="AU68" i="1"/>
  <c r="AN68" i="1"/>
  <c r="AO68" i="1" s="1"/>
  <c r="EK67" i="1"/>
  <c r="DK67" i="1"/>
  <c r="CW67" i="1"/>
  <c r="CY67" i="1" s="1"/>
  <c r="CR67" i="1"/>
  <c r="CP67" i="1"/>
  <c r="BK67" i="1"/>
  <c r="BM67" i="1" s="1"/>
  <c r="BE67" i="1"/>
  <c r="BC67" i="1"/>
  <c r="AU67" i="1"/>
  <c r="AN67" i="1"/>
  <c r="AO67" i="1" s="1"/>
  <c r="EK66" i="1"/>
  <c r="DK66" i="1"/>
  <c r="CW66" i="1"/>
  <c r="CY66" i="1" s="1"/>
  <c r="CR66" i="1"/>
  <c r="CP66" i="1"/>
  <c r="BM66" i="1"/>
  <c r="BK66" i="1"/>
  <c r="BC66" i="1"/>
  <c r="BE66" i="1" s="1"/>
  <c r="AU66" i="1"/>
  <c r="AN66" i="1"/>
  <c r="AO66" i="1" s="1"/>
  <c r="EK65" i="1"/>
  <c r="DK65" i="1"/>
  <c r="CW65" i="1"/>
  <c r="CY65" i="1" s="1"/>
  <c r="CR65" i="1"/>
  <c r="BC65" i="1"/>
  <c r="BE65" i="1" s="1"/>
  <c r="AU65" i="1"/>
  <c r="AN65" i="1"/>
  <c r="AO65" i="1" s="1"/>
  <c r="EK64" i="1"/>
  <c r="DK64" i="1"/>
  <c r="DF64" i="1"/>
  <c r="DD64" i="1"/>
  <c r="CY64" i="1"/>
  <c r="CW64" i="1"/>
  <c r="CR64" i="1"/>
  <c r="CP64" i="1"/>
  <c r="CK64" i="1"/>
  <c r="CI64" i="1"/>
  <c r="CC64" i="1"/>
  <c r="CA64" i="1"/>
  <c r="BU64" i="1"/>
  <c r="BS64" i="1"/>
  <c r="BK64" i="1"/>
  <c r="BM64" i="1" s="1"/>
  <c r="BE64" i="1"/>
  <c r="BC64" i="1"/>
  <c r="AU64" i="1"/>
  <c r="AN64" i="1"/>
  <c r="AO64" i="1" s="1"/>
  <c r="EK63" i="1"/>
  <c r="DK63" i="1"/>
  <c r="DF63" i="1"/>
  <c r="DD63" i="1"/>
  <c r="CW63" i="1"/>
  <c r="CY63" i="1" s="1"/>
  <c r="CR63" i="1"/>
  <c r="BK63" i="1"/>
  <c r="BM63" i="1" s="1"/>
  <c r="BC63" i="1"/>
  <c r="BE63" i="1" s="1"/>
  <c r="AU63" i="1"/>
  <c r="AO63" i="1"/>
  <c r="AN63" i="1"/>
  <c r="EK62" i="1"/>
  <c r="DK62" i="1"/>
  <c r="DF62" i="1"/>
  <c r="DD62" i="1"/>
  <c r="CW62" i="1"/>
  <c r="CY62" i="1" s="1"/>
  <c r="CR62" i="1"/>
  <c r="BK62" i="1"/>
  <c r="BM62" i="1" s="1"/>
  <c r="BC62" i="1"/>
  <c r="BE62" i="1" s="1"/>
  <c r="AU62" i="1"/>
  <c r="AO62" i="1"/>
  <c r="AN62" i="1"/>
  <c r="EK61" i="1"/>
  <c r="DK61" i="1"/>
  <c r="DD61" i="1"/>
  <c r="DF61" i="1" s="1"/>
  <c r="CW61" i="1"/>
  <c r="CY61" i="1" s="1"/>
  <c r="CR61" i="1"/>
  <c r="BK61" i="1"/>
  <c r="BM61" i="1" s="1"/>
  <c r="BC61" i="1"/>
  <c r="BE61" i="1" s="1"/>
  <c r="AU61" i="1"/>
  <c r="AN61" i="1"/>
  <c r="AO61" i="1" s="1"/>
  <c r="EK60" i="1"/>
  <c r="DN60" i="1"/>
  <c r="DK60" i="1"/>
  <c r="DH60" i="1"/>
  <c r="DF60" i="1"/>
  <c r="DD60" i="1"/>
  <c r="CW60" i="1"/>
  <c r="CY60" i="1" s="1"/>
  <c r="CR60" i="1"/>
  <c r="BK60" i="1"/>
  <c r="BM60" i="1" s="1"/>
  <c r="BC60" i="1"/>
  <c r="BE60" i="1" s="1"/>
  <c r="AU60" i="1"/>
  <c r="AW60" i="1" s="1"/>
  <c r="AN60" i="1"/>
  <c r="AO60" i="1" s="1"/>
  <c r="EK59" i="1"/>
  <c r="DP59" i="1"/>
  <c r="DT59" i="1" s="1"/>
  <c r="DN59" i="1"/>
  <c r="DK59" i="1"/>
  <c r="DH59" i="1"/>
  <c r="DL59" i="1" s="1"/>
  <c r="DD59" i="1"/>
  <c r="DF59" i="1" s="1"/>
  <c r="CW59" i="1"/>
  <c r="CY59" i="1" s="1"/>
  <c r="CR59" i="1"/>
  <c r="BM59" i="1"/>
  <c r="BK59" i="1"/>
  <c r="BC59" i="1"/>
  <c r="BE59" i="1" s="1"/>
  <c r="AU59" i="1"/>
  <c r="AW59" i="1" s="1"/>
  <c r="AN59" i="1"/>
  <c r="AO59" i="1" s="1"/>
  <c r="EK58" i="1"/>
  <c r="DK58" i="1"/>
  <c r="DF58" i="1"/>
  <c r="DD58" i="1"/>
  <c r="CW58" i="1"/>
  <c r="CY58" i="1" s="1"/>
  <c r="CR58" i="1"/>
  <c r="CP58" i="1"/>
  <c r="CK58" i="1"/>
  <c r="CI58" i="1"/>
  <c r="CC58" i="1"/>
  <c r="CA58" i="1"/>
  <c r="BU58" i="1"/>
  <c r="BS58" i="1"/>
  <c r="BK58" i="1"/>
  <c r="BM58" i="1" s="1"/>
  <c r="BC58" i="1"/>
  <c r="BE58" i="1" s="1"/>
  <c r="AU58" i="1"/>
  <c r="AN58" i="1"/>
  <c r="AO58" i="1" s="1"/>
  <c r="EK57" i="1"/>
  <c r="DK57" i="1"/>
  <c r="DD57" i="1"/>
  <c r="DF57" i="1" s="1"/>
  <c r="CW57" i="1"/>
  <c r="CY57" i="1" s="1"/>
  <c r="CR57" i="1"/>
  <c r="BK57" i="1"/>
  <c r="BM57" i="1" s="1"/>
  <c r="BE57" i="1"/>
  <c r="BC57" i="1"/>
  <c r="AU57" i="1"/>
  <c r="AN57" i="1"/>
  <c r="AO57" i="1" s="1"/>
  <c r="EK56" i="1"/>
  <c r="DK56" i="1"/>
  <c r="DD56" i="1"/>
  <c r="DF56" i="1" s="1"/>
  <c r="CW56" i="1"/>
  <c r="CY56" i="1" s="1"/>
  <c r="CR56" i="1"/>
  <c r="BM56" i="1"/>
  <c r="BK56" i="1"/>
  <c r="BC56" i="1"/>
  <c r="BE56" i="1" s="1"/>
  <c r="AU56" i="1"/>
  <c r="AN56" i="1"/>
  <c r="AO56" i="1" s="1"/>
  <c r="EK55" i="1"/>
  <c r="DK55" i="1"/>
  <c r="DF55" i="1"/>
  <c r="DD55" i="1"/>
  <c r="CW55" i="1"/>
  <c r="CY55" i="1" s="1"/>
  <c r="CP55" i="1"/>
  <c r="CR55" i="1" s="1"/>
  <c r="BM55" i="1"/>
  <c r="BE55" i="1"/>
  <c r="BC55" i="1"/>
  <c r="AU55" i="1"/>
  <c r="AN55" i="1"/>
  <c r="AO55" i="1" s="1"/>
  <c r="EK54" i="1"/>
  <c r="DK54" i="1"/>
  <c r="DD54" i="1"/>
  <c r="DF54" i="1" s="1"/>
  <c r="CW54" i="1"/>
  <c r="CY54" i="1" s="1"/>
  <c r="CR54" i="1"/>
  <c r="BK54" i="1"/>
  <c r="BM54" i="1" s="1"/>
  <c r="BC54" i="1"/>
  <c r="BE54" i="1" s="1"/>
  <c r="AU54" i="1"/>
  <c r="AN54" i="1"/>
  <c r="AO54" i="1" s="1"/>
  <c r="EK53" i="1"/>
  <c r="DK53" i="1"/>
  <c r="DD53" i="1"/>
  <c r="DF53" i="1" s="1"/>
  <c r="CW53" i="1"/>
  <c r="CY53" i="1" s="1"/>
  <c r="CR53" i="1"/>
  <c r="BK53" i="1"/>
  <c r="BM53" i="1" s="1"/>
  <c r="BE53" i="1"/>
  <c r="BC53" i="1"/>
  <c r="AU53" i="1"/>
  <c r="AN53" i="1"/>
  <c r="AO53" i="1" s="1"/>
  <c r="EK52" i="1"/>
  <c r="DK52" i="1"/>
  <c r="DD52" i="1"/>
  <c r="DF52" i="1" s="1"/>
  <c r="CW52" i="1"/>
  <c r="CY52" i="1" s="1"/>
  <c r="CR52" i="1"/>
  <c r="BM52" i="1"/>
  <c r="BK52" i="1"/>
  <c r="BC52" i="1"/>
  <c r="BE52" i="1" s="1"/>
  <c r="AU52" i="1"/>
  <c r="AN52" i="1"/>
  <c r="AO52" i="1" s="1"/>
  <c r="EK51" i="1"/>
  <c r="DK51" i="1"/>
  <c r="DD51" i="1"/>
  <c r="DF51" i="1" s="1"/>
  <c r="CW51" i="1"/>
  <c r="CY51" i="1" s="1"/>
  <c r="CR51" i="1"/>
  <c r="BM51" i="1"/>
  <c r="BK51" i="1"/>
  <c r="BE51" i="1"/>
  <c r="BC51" i="1"/>
  <c r="AU51" i="1"/>
  <c r="AN51" i="1"/>
  <c r="AO51" i="1" s="1"/>
  <c r="EK50" i="1"/>
  <c r="DK50" i="1"/>
  <c r="DF50" i="1"/>
  <c r="DD50" i="1"/>
  <c r="CW50" i="1"/>
  <c r="CY50" i="1" s="1"/>
  <c r="CR50" i="1"/>
  <c r="BK50" i="1"/>
  <c r="BM50" i="1" s="1"/>
  <c r="BC50" i="1"/>
  <c r="BE50" i="1" s="1"/>
  <c r="AU50" i="1"/>
  <c r="AN50" i="1"/>
  <c r="AO50" i="1" s="1"/>
  <c r="EK49" i="1"/>
  <c r="DK49" i="1"/>
  <c r="DD49" i="1"/>
  <c r="DF49" i="1" s="1"/>
  <c r="CW49" i="1"/>
  <c r="CY49" i="1" s="1"/>
  <c r="CR49" i="1"/>
  <c r="BM49" i="1"/>
  <c r="BK49" i="1"/>
  <c r="BE49" i="1"/>
  <c r="BC49" i="1"/>
  <c r="AU49" i="1"/>
  <c r="AN49" i="1"/>
  <c r="AO49" i="1" s="1"/>
  <c r="EK48" i="1"/>
  <c r="DK48" i="1"/>
  <c r="DD48" i="1"/>
  <c r="DF48" i="1" s="1"/>
  <c r="CW48" i="1"/>
  <c r="CY48" i="1" s="1"/>
  <c r="CR48" i="1"/>
  <c r="BK48" i="1"/>
  <c r="BM48" i="1" s="1"/>
  <c r="BC48" i="1"/>
  <c r="BE48" i="1" s="1"/>
  <c r="AU48" i="1"/>
  <c r="AO48" i="1"/>
  <c r="AN48" i="1"/>
  <c r="EK47" i="1"/>
  <c r="DK47" i="1"/>
  <c r="DF47" i="1"/>
  <c r="DD47" i="1"/>
  <c r="CW47" i="1"/>
  <c r="CY47" i="1" s="1"/>
  <c r="CR47" i="1"/>
  <c r="BK47" i="1"/>
  <c r="BM47" i="1" s="1"/>
  <c r="BC47" i="1"/>
  <c r="BE47" i="1" s="1"/>
  <c r="AU47" i="1"/>
  <c r="AO47" i="1"/>
  <c r="AN47" i="1"/>
  <c r="EK46" i="1"/>
  <c r="DN46" i="1"/>
  <c r="DK46" i="1"/>
  <c r="DH46" i="1"/>
  <c r="DD46" i="1"/>
  <c r="DF46" i="1" s="1"/>
  <c r="CW46" i="1"/>
  <c r="CY46" i="1" s="1"/>
  <c r="CR46" i="1"/>
  <c r="BK46" i="1"/>
  <c r="BM46" i="1" s="1"/>
  <c r="BC46" i="1"/>
  <c r="BE46" i="1" s="1"/>
  <c r="AU46" i="1"/>
  <c r="AW46" i="1" s="1"/>
  <c r="AN46" i="1"/>
  <c r="AO46" i="1" s="1"/>
  <c r="EK45" i="1"/>
  <c r="DK45" i="1"/>
  <c r="DD45" i="1"/>
  <c r="DF45" i="1" s="1"/>
  <c r="CW45" i="1"/>
  <c r="CY45" i="1" s="1"/>
  <c r="CP45" i="1"/>
  <c r="CR45" i="1" s="1"/>
  <c r="BK45" i="1"/>
  <c r="BM45" i="1" s="1"/>
  <c r="BC45" i="1"/>
  <c r="BE45" i="1" s="1"/>
  <c r="AU45" i="1"/>
  <c r="AN45" i="1"/>
  <c r="AO45" i="1" s="1"/>
  <c r="EK44" i="1"/>
  <c r="DK44" i="1"/>
  <c r="DD44" i="1"/>
  <c r="DF44" i="1" s="1"/>
  <c r="CW44" i="1"/>
  <c r="CY44" i="1" s="1"/>
  <c r="CR44" i="1"/>
  <c r="BK44" i="1"/>
  <c r="BM44" i="1" s="1"/>
  <c r="BC44" i="1"/>
  <c r="BE44" i="1" s="1"/>
  <c r="AU44" i="1"/>
  <c r="AN44" i="1"/>
  <c r="AO44" i="1" s="1"/>
  <c r="EK43" i="1"/>
  <c r="DK43" i="1"/>
  <c r="DD43" i="1"/>
  <c r="DF43" i="1" s="1"/>
  <c r="CW43" i="1"/>
  <c r="CY43" i="1" s="1"/>
  <c r="CR43" i="1"/>
  <c r="BK43" i="1"/>
  <c r="BM43" i="1" s="1"/>
  <c r="BE43" i="1"/>
  <c r="BC43" i="1"/>
  <c r="AU43" i="1"/>
  <c r="AN43" i="1"/>
  <c r="AO43" i="1" s="1"/>
  <c r="EK42" i="1"/>
  <c r="DK42" i="1"/>
  <c r="DD42" i="1"/>
  <c r="DF42" i="1" s="1"/>
  <c r="CW42" i="1"/>
  <c r="CY42" i="1" s="1"/>
  <c r="CR42" i="1"/>
  <c r="BM42" i="1"/>
  <c r="BK42" i="1"/>
  <c r="BC42" i="1"/>
  <c r="BE42" i="1" s="1"/>
  <c r="AU42" i="1"/>
  <c r="AN42" i="1"/>
  <c r="AO42" i="1" s="1"/>
  <c r="EK41" i="1"/>
  <c r="DK41" i="1"/>
  <c r="DD41" i="1"/>
  <c r="DF41" i="1" s="1"/>
  <c r="CW41" i="1"/>
  <c r="CY41" i="1" s="1"/>
  <c r="CR41" i="1"/>
  <c r="BM41" i="1"/>
  <c r="BK41" i="1"/>
  <c r="BE41" i="1"/>
  <c r="BC41" i="1"/>
  <c r="AU41" i="1"/>
  <c r="AN41" i="1"/>
  <c r="AO41" i="1" s="1"/>
  <c r="EK40" i="1"/>
  <c r="DK40" i="1"/>
  <c r="DF40" i="1"/>
  <c r="DD40" i="1"/>
  <c r="CW40" i="1"/>
  <c r="CY40" i="1" s="1"/>
  <c r="CP40" i="1"/>
  <c r="CR40" i="1" s="1"/>
  <c r="CI40" i="1"/>
  <c r="CK40" i="1" s="1"/>
  <c r="CA40" i="1"/>
  <c r="CC40" i="1" s="1"/>
  <c r="BS40" i="1"/>
  <c r="BU40" i="1" s="1"/>
  <c r="BK40" i="1"/>
  <c r="BM40" i="1" s="1"/>
  <c r="BC40" i="1"/>
  <c r="BE40" i="1" s="1"/>
  <c r="AU40" i="1"/>
  <c r="AO40" i="1"/>
  <c r="AN40" i="1"/>
  <c r="EK39" i="1"/>
  <c r="DK39" i="1"/>
  <c r="DF39" i="1"/>
  <c r="DD39" i="1"/>
  <c r="CW39" i="1"/>
  <c r="CY39" i="1" s="1"/>
  <c r="CR39" i="1"/>
  <c r="BK39" i="1"/>
  <c r="BM39" i="1" s="1"/>
  <c r="BC39" i="1"/>
  <c r="BE39" i="1" s="1"/>
  <c r="AU39" i="1"/>
  <c r="AN39" i="1"/>
  <c r="AO39" i="1" s="1"/>
  <c r="EK38" i="1"/>
  <c r="DK38" i="1"/>
  <c r="DF38" i="1"/>
  <c r="DD38" i="1"/>
  <c r="CY38" i="1"/>
  <c r="CW38" i="1"/>
  <c r="CR38" i="1"/>
  <c r="BK38" i="1"/>
  <c r="BM38" i="1" s="1"/>
  <c r="BC38" i="1"/>
  <c r="BE38" i="1" s="1"/>
  <c r="AU38" i="1"/>
  <c r="AO38" i="1"/>
  <c r="AN38" i="1"/>
  <c r="EK37" i="1"/>
  <c r="DK37" i="1"/>
  <c r="DF37" i="1"/>
  <c r="DD37" i="1"/>
  <c r="CY37" i="1"/>
  <c r="CW37" i="1"/>
  <c r="CR37" i="1"/>
  <c r="BK37" i="1"/>
  <c r="BM37" i="1" s="1"/>
  <c r="BC37" i="1"/>
  <c r="BE37" i="1" s="1"/>
  <c r="AU37" i="1"/>
  <c r="AO37" i="1"/>
  <c r="AN37" i="1"/>
  <c r="EK36" i="1"/>
  <c r="DK36" i="1"/>
  <c r="DF36" i="1"/>
  <c r="DD36" i="1"/>
  <c r="CY36" i="1"/>
  <c r="CW36" i="1"/>
  <c r="CR36" i="1"/>
  <c r="BK36" i="1"/>
  <c r="BM36" i="1" s="1"/>
  <c r="BC36" i="1"/>
  <c r="BE36" i="1" s="1"/>
  <c r="AU36" i="1"/>
  <c r="AO36" i="1"/>
  <c r="AN36" i="1"/>
  <c r="EK35" i="1"/>
  <c r="DK35" i="1"/>
  <c r="DF35" i="1"/>
  <c r="DD35" i="1"/>
  <c r="CY35" i="1"/>
  <c r="CW35" i="1"/>
  <c r="CR35" i="1"/>
  <c r="BK35" i="1"/>
  <c r="BM35" i="1" s="1"/>
  <c r="BC35" i="1"/>
  <c r="BE35" i="1" s="1"/>
  <c r="AU35" i="1"/>
  <c r="AO35" i="1"/>
  <c r="AN35" i="1"/>
  <c r="EK34" i="1"/>
  <c r="DK34" i="1"/>
  <c r="DF34" i="1"/>
  <c r="DD34" i="1"/>
  <c r="CY34" i="1"/>
  <c r="CW34" i="1"/>
  <c r="CR34" i="1"/>
  <c r="CP34" i="1"/>
  <c r="BK34" i="1"/>
  <c r="BM34" i="1" s="1"/>
  <c r="BE34" i="1"/>
  <c r="BC34" i="1"/>
  <c r="AU34" i="1"/>
  <c r="AN34" i="1"/>
  <c r="AO34" i="1" s="1"/>
  <c r="EK33" i="1"/>
  <c r="DK33" i="1"/>
  <c r="DF33" i="1"/>
  <c r="DD33" i="1"/>
  <c r="CW33" i="1"/>
  <c r="CY33" i="1" s="1"/>
  <c r="CP33" i="1"/>
  <c r="CR33" i="1" s="1"/>
  <c r="BK33" i="1"/>
  <c r="BM33" i="1" s="1"/>
  <c r="BC33" i="1"/>
  <c r="BE33" i="1" s="1"/>
  <c r="AU33" i="1"/>
  <c r="AN33" i="1"/>
  <c r="AO33" i="1" s="1"/>
  <c r="EK32" i="1"/>
  <c r="DK32" i="1"/>
  <c r="DF32" i="1"/>
  <c r="DD32" i="1"/>
  <c r="CW32" i="1"/>
  <c r="CY32" i="1" s="1"/>
  <c r="CR32" i="1"/>
  <c r="CP32" i="1"/>
  <c r="BK32" i="1"/>
  <c r="BM32" i="1" s="1"/>
  <c r="BE32" i="1"/>
  <c r="BC32" i="1"/>
  <c r="AU32" i="1"/>
  <c r="AN32" i="1"/>
  <c r="AO32" i="1" s="1"/>
  <c r="EK31" i="1"/>
  <c r="DK31" i="1"/>
  <c r="DF31" i="1"/>
  <c r="DD31" i="1"/>
  <c r="CY31" i="1"/>
  <c r="CW31" i="1"/>
  <c r="CR31" i="1"/>
  <c r="CP31" i="1"/>
  <c r="BK31" i="1"/>
  <c r="BM31" i="1" s="1"/>
  <c r="BE31" i="1"/>
  <c r="BC31" i="1"/>
  <c r="AU31" i="1"/>
  <c r="AN31" i="1"/>
  <c r="AO31" i="1" s="1"/>
  <c r="EK30" i="1"/>
  <c r="DK30" i="1"/>
  <c r="DF30" i="1"/>
  <c r="CY30" i="1"/>
  <c r="CW30" i="1"/>
  <c r="CR30" i="1"/>
  <c r="CP30" i="1"/>
  <c r="BM30" i="1"/>
  <c r="BK30" i="1"/>
  <c r="BC30" i="1"/>
  <c r="BE30" i="1" s="1"/>
  <c r="AU30" i="1"/>
  <c r="AN30" i="1"/>
  <c r="AO30" i="1" s="1"/>
  <c r="EK29" i="1"/>
  <c r="DK29" i="1"/>
  <c r="DF29" i="1"/>
  <c r="CY29" i="1"/>
  <c r="CW29" i="1"/>
  <c r="CR29" i="1"/>
  <c r="CP29" i="1"/>
  <c r="CK29" i="1"/>
  <c r="CI29" i="1"/>
  <c r="CC29" i="1"/>
  <c r="CA29" i="1"/>
  <c r="BU29" i="1"/>
  <c r="BS29" i="1"/>
  <c r="BM29" i="1"/>
  <c r="BK29" i="1"/>
  <c r="BE29" i="1"/>
  <c r="BC29" i="1"/>
  <c r="AU29" i="1"/>
  <c r="AN29" i="1"/>
  <c r="AO29" i="1" s="1"/>
  <c r="EK28" i="1"/>
  <c r="DK28" i="1"/>
  <c r="CW28" i="1"/>
  <c r="CR28" i="1"/>
  <c r="CP28" i="1"/>
  <c r="BK28" i="1"/>
  <c r="BC28" i="1"/>
  <c r="BE28" i="1" s="1"/>
  <c r="AU28" i="1"/>
  <c r="AN28" i="1"/>
  <c r="AO28" i="1" s="1"/>
  <c r="EK27" i="1"/>
  <c r="DR27" i="1"/>
  <c r="DT27" i="1" s="1"/>
  <c r="DP27" i="1"/>
  <c r="DN27" i="1"/>
  <c r="DX27" i="1" s="1"/>
  <c r="DK27" i="1"/>
  <c r="DL27" i="1" s="1"/>
  <c r="DH27" i="1"/>
  <c r="DF27" i="1"/>
  <c r="DD27" i="1"/>
  <c r="CW27" i="1"/>
  <c r="CY27" i="1" s="1"/>
  <c r="CP27" i="1"/>
  <c r="CR27" i="1" s="1"/>
  <c r="BK27" i="1"/>
  <c r="BC27" i="1"/>
  <c r="BE27" i="1" s="1"/>
  <c r="AW27" i="1"/>
  <c r="AU27" i="1"/>
  <c r="AN27" i="1"/>
  <c r="AO27" i="1" s="1"/>
  <c r="EK26" i="1"/>
  <c r="DK26" i="1"/>
  <c r="DF26" i="1"/>
  <c r="DD26" i="1"/>
  <c r="CW26" i="1"/>
  <c r="CY26" i="1" s="1"/>
  <c r="CR26" i="1"/>
  <c r="CP26" i="1"/>
  <c r="CK26" i="1"/>
  <c r="CI26" i="1"/>
  <c r="CC26" i="1"/>
  <c r="CA26" i="1"/>
  <c r="BU26" i="1"/>
  <c r="BS26" i="1"/>
  <c r="BK26" i="1"/>
  <c r="BM26" i="1" s="1"/>
  <c r="BE26" i="1"/>
  <c r="BC26" i="1"/>
  <c r="AU26" i="1"/>
  <c r="AN26" i="1"/>
  <c r="AO26" i="1" s="1"/>
  <c r="EK25" i="1"/>
  <c r="DK25" i="1"/>
  <c r="DF25" i="1"/>
  <c r="DD25" i="1"/>
  <c r="CW25" i="1"/>
  <c r="CY25" i="1" s="1"/>
  <c r="CP25" i="1"/>
  <c r="CR25" i="1" s="1"/>
  <c r="CI25" i="1"/>
  <c r="CK25" i="1" s="1"/>
  <c r="CA25" i="1"/>
  <c r="CC25" i="1" s="1"/>
  <c r="BS25" i="1"/>
  <c r="BU25" i="1" s="1"/>
  <c r="BK25" i="1"/>
  <c r="BM25" i="1" s="1"/>
  <c r="BC25" i="1"/>
  <c r="BE25" i="1" s="1"/>
  <c r="AU25" i="1"/>
  <c r="AO25" i="1"/>
  <c r="AN25" i="1"/>
  <c r="EK24" i="1"/>
  <c r="DK24" i="1"/>
  <c r="DF24" i="1"/>
  <c r="DD24" i="1"/>
  <c r="CW24" i="1"/>
  <c r="CY24" i="1" s="1"/>
  <c r="CR24" i="1"/>
  <c r="CP24" i="1"/>
  <c r="CK24" i="1"/>
  <c r="CI24" i="1"/>
  <c r="CC24" i="1"/>
  <c r="CA24" i="1"/>
  <c r="BU24" i="1"/>
  <c r="BS24" i="1"/>
  <c r="BM24" i="1"/>
  <c r="BK24" i="1"/>
  <c r="BC24" i="1"/>
  <c r="BE24" i="1" s="1"/>
  <c r="AU24" i="1"/>
  <c r="AN24" i="1"/>
  <c r="AO24" i="1" s="1"/>
  <c r="EK23" i="1"/>
  <c r="DK23" i="1"/>
  <c r="DF23" i="1"/>
  <c r="DD23" i="1"/>
  <c r="CW23" i="1"/>
  <c r="CY23" i="1" s="1"/>
  <c r="CP23" i="1"/>
  <c r="CR23" i="1" s="1"/>
  <c r="CI23" i="1"/>
  <c r="CK23" i="1" s="1"/>
  <c r="CA23" i="1"/>
  <c r="CC23" i="1" s="1"/>
  <c r="BS23" i="1"/>
  <c r="BU23" i="1" s="1"/>
  <c r="BK23" i="1"/>
  <c r="BM23" i="1" s="1"/>
  <c r="BC23" i="1"/>
  <c r="BE23" i="1" s="1"/>
  <c r="AU23" i="1"/>
  <c r="AO23" i="1"/>
  <c r="AQ23" i="1" s="1"/>
  <c r="AN23" i="1"/>
  <c r="EK22" i="1"/>
  <c r="DK22" i="1"/>
  <c r="DF22" i="1"/>
  <c r="DD22" i="1"/>
  <c r="CW22" i="1"/>
  <c r="CY22" i="1" s="1"/>
  <c r="CP22" i="1"/>
  <c r="CR22" i="1" s="1"/>
  <c r="BK22" i="1"/>
  <c r="BE22" i="1"/>
  <c r="BC22" i="1"/>
  <c r="AU22" i="1"/>
  <c r="AN22" i="1"/>
  <c r="AO22" i="1" s="1"/>
  <c r="EK21" i="1"/>
  <c r="DK21" i="1"/>
  <c r="DF21" i="1"/>
  <c r="DD21" i="1"/>
  <c r="CY21" i="1"/>
  <c r="CW21" i="1"/>
  <c r="CR21" i="1"/>
  <c r="CP21" i="1"/>
  <c r="CK21" i="1"/>
  <c r="CI21" i="1"/>
  <c r="CC21" i="1"/>
  <c r="CA21" i="1"/>
  <c r="BU21" i="1"/>
  <c r="BS21" i="1"/>
  <c r="BK21" i="1"/>
  <c r="BM21" i="1" s="1"/>
  <c r="BC21" i="1"/>
  <c r="BE21" i="1" s="1"/>
  <c r="AU21" i="1"/>
  <c r="AN21" i="1"/>
  <c r="AO21" i="1" s="1"/>
  <c r="EK20" i="1"/>
  <c r="DR20" i="1"/>
  <c r="DT20" i="1" s="1"/>
  <c r="DV20" i="1" s="1"/>
  <c r="DP20" i="1"/>
  <c r="DN20" i="1"/>
  <c r="DX20" i="1" s="1"/>
  <c r="DK20" i="1"/>
  <c r="DH20" i="1"/>
  <c r="DF20" i="1"/>
  <c r="DD20" i="1"/>
  <c r="CY20" i="1"/>
  <c r="CW20" i="1"/>
  <c r="CR20" i="1"/>
  <c r="CP20" i="1"/>
  <c r="BM20" i="1"/>
  <c r="BK20" i="1"/>
  <c r="BC20" i="1"/>
  <c r="BE20" i="1" s="1"/>
  <c r="AW20" i="1"/>
  <c r="AU20" i="1"/>
  <c r="AO20" i="1"/>
  <c r="AN20" i="1"/>
  <c r="EK19" i="1"/>
  <c r="DP19" i="1"/>
  <c r="DR19" i="1" s="1"/>
  <c r="DN19" i="1"/>
  <c r="DK19" i="1"/>
  <c r="DH19" i="1"/>
  <c r="DL19" i="1" s="1"/>
  <c r="DF19" i="1"/>
  <c r="DD19" i="1"/>
  <c r="CW19" i="1"/>
  <c r="CY19" i="1" s="1"/>
  <c r="CP19" i="1"/>
  <c r="CR19" i="1" s="1"/>
  <c r="CI19" i="1"/>
  <c r="CK19" i="1" s="1"/>
  <c r="CA19" i="1"/>
  <c r="CC19" i="1" s="1"/>
  <c r="BS19" i="1"/>
  <c r="BU19" i="1" s="1"/>
  <c r="BK19" i="1"/>
  <c r="BM19" i="1" s="1"/>
  <c r="BC19" i="1"/>
  <c r="BE19" i="1" s="1"/>
  <c r="AU19" i="1"/>
  <c r="AW19" i="1" s="1"/>
  <c r="AN19" i="1"/>
  <c r="AO19" i="1" s="1"/>
  <c r="EK18" i="1"/>
  <c r="DK18" i="1"/>
  <c r="DD18" i="1"/>
  <c r="DF18" i="1" s="1"/>
  <c r="CW18" i="1"/>
  <c r="CY18" i="1" s="1"/>
  <c r="CP18" i="1"/>
  <c r="CR18" i="1" s="1"/>
  <c r="CI18" i="1"/>
  <c r="CK18" i="1" s="1"/>
  <c r="CA18" i="1"/>
  <c r="CC18" i="1" s="1"/>
  <c r="BS18" i="1"/>
  <c r="BU18" i="1" s="1"/>
  <c r="BK18" i="1"/>
  <c r="BM18" i="1" s="1"/>
  <c r="BC18" i="1"/>
  <c r="BE18" i="1" s="1"/>
  <c r="AU18" i="1"/>
  <c r="AO18" i="1"/>
  <c r="AQ18" i="1" s="1"/>
  <c r="AN18" i="1"/>
  <c r="EK17" i="1"/>
  <c r="DK17" i="1"/>
  <c r="DD17" i="1"/>
  <c r="DF17" i="1" s="1"/>
  <c r="CW17" i="1"/>
  <c r="CY17" i="1" s="1"/>
  <c r="CR17" i="1"/>
  <c r="CP17" i="1"/>
  <c r="CK17" i="1"/>
  <c r="CI17" i="1"/>
  <c r="CC17" i="1"/>
  <c r="CA17" i="1"/>
  <c r="BU17" i="1"/>
  <c r="BS17" i="1"/>
  <c r="BK17" i="1"/>
  <c r="BM17" i="1" s="1"/>
  <c r="BC17" i="1"/>
  <c r="BE17" i="1" s="1"/>
  <c r="AU17" i="1"/>
  <c r="AN17" i="1"/>
  <c r="AO17" i="1" s="1"/>
  <c r="EK16" i="1"/>
  <c r="DK16" i="1"/>
  <c r="DD16" i="1"/>
  <c r="DF16" i="1" s="1"/>
  <c r="CW16" i="1"/>
  <c r="CY16" i="1" s="1"/>
  <c r="CP16" i="1"/>
  <c r="CR16" i="1" s="1"/>
  <c r="BK16" i="1"/>
  <c r="BM16" i="1" s="1"/>
  <c r="BC16" i="1"/>
  <c r="BE16" i="1" s="1"/>
  <c r="AU16" i="1"/>
  <c r="AO16" i="1"/>
  <c r="AQ16" i="1" s="1"/>
  <c r="AN16" i="1"/>
  <c r="EK15" i="1"/>
  <c r="DK15" i="1"/>
  <c r="DF15" i="1"/>
  <c r="DD15" i="1"/>
  <c r="CW15" i="1"/>
  <c r="CY15" i="1" s="1"/>
  <c r="CR15" i="1"/>
  <c r="CP15" i="1"/>
  <c r="BM15" i="1"/>
  <c r="BK15" i="1"/>
  <c r="BC15" i="1"/>
  <c r="BE15" i="1" s="1"/>
  <c r="AU15" i="1"/>
  <c r="AN15" i="1"/>
  <c r="AO15" i="1" s="1"/>
  <c r="EK14" i="1"/>
  <c r="DK14" i="1"/>
  <c r="DD14" i="1"/>
  <c r="DF14" i="1" s="1"/>
  <c r="CW14" i="1"/>
  <c r="CY14" i="1" s="1"/>
  <c r="CP14" i="1"/>
  <c r="CR14" i="1" s="1"/>
  <c r="BK14" i="1"/>
  <c r="BM14" i="1" s="1"/>
  <c r="BC14" i="1"/>
  <c r="BE14" i="1" s="1"/>
  <c r="AU14" i="1"/>
  <c r="AO14" i="1"/>
  <c r="AQ14" i="1" s="1"/>
  <c r="AN14" i="1"/>
  <c r="EK13" i="1"/>
  <c r="DK13" i="1"/>
  <c r="DD13" i="1"/>
  <c r="DF13" i="1" s="1"/>
  <c r="CW13" i="1"/>
  <c r="CY13" i="1" s="1"/>
  <c r="CP13" i="1"/>
  <c r="CR13" i="1" s="1"/>
  <c r="BK13" i="1"/>
  <c r="BM13" i="1" s="1"/>
  <c r="BC13" i="1"/>
  <c r="BE13" i="1" s="1"/>
  <c r="AU13" i="1"/>
  <c r="AN13" i="1"/>
  <c r="AO13" i="1" s="1"/>
  <c r="EK12" i="1"/>
  <c r="DK12" i="1"/>
  <c r="DF12" i="1"/>
  <c r="DD12" i="1"/>
  <c r="CY12" i="1"/>
  <c r="CW12" i="1"/>
  <c r="CR12" i="1"/>
  <c r="CP12" i="1"/>
  <c r="BK12" i="1"/>
  <c r="BM12" i="1" s="1"/>
  <c r="BC12" i="1"/>
  <c r="BE12" i="1" s="1"/>
  <c r="AU12" i="1"/>
  <c r="AN12" i="1"/>
  <c r="AO12" i="1" s="1"/>
  <c r="EK11" i="1"/>
  <c r="DK11" i="1"/>
  <c r="DD11" i="1"/>
  <c r="DF11" i="1" s="1"/>
  <c r="CW11" i="1"/>
  <c r="CY11" i="1" s="1"/>
  <c r="CP11" i="1"/>
  <c r="CR11" i="1" s="1"/>
  <c r="BK11" i="1"/>
  <c r="BM11" i="1" s="1"/>
  <c r="BC11" i="1"/>
  <c r="BE11" i="1" s="1"/>
  <c r="AU11" i="1"/>
  <c r="AN11" i="1"/>
  <c r="AO11" i="1" s="1"/>
  <c r="AQ11" i="1" s="1"/>
  <c r="EK10" i="1"/>
  <c r="DK10" i="1"/>
  <c r="DD10" i="1"/>
  <c r="DF10" i="1" s="1"/>
  <c r="CW10" i="1"/>
  <c r="CY10" i="1" s="1"/>
  <c r="CR10" i="1"/>
  <c r="CP10" i="1"/>
  <c r="BK10" i="1"/>
  <c r="BM10" i="1" s="1"/>
  <c r="BE10" i="1"/>
  <c r="BC10" i="1"/>
  <c r="AU10" i="1"/>
  <c r="AN10" i="1"/>
  <c r="AO10" i="1" s="1"/>
  <c r="EK9" i="1"/>
  <c r="DK9" i="1"/>
  <c r="CW9" i="1"/>
  <c r="CY9" i="1" s="1"/>
  <c r="CR9" i="1"/>
  <c r="BK9" i="1"/>
  <c r="BM9" i="1" s="1"/>
  <c r="BE9" i="1"/>
  <c r="BC9" i="1"/>
  <c r="AU9" i="1"/>
  <c r="AN9" i="1"/>
  <c r="AO9" i="1" s="1"/>
  <c r="EO5" i="1"/>
  <c r="DY4" i="1"/>
  <c r="CD4" i="1"/>
  <c r="CE4" i="1" s="1"/>
  <c r="CC4" i="1"/>
  <c r="DW3" i="1"/>
  <c r="AO3" i="1"/>
  <c r="EL672" i="1" l="1"/>
  <c r="EN672" i="1" s="1"/>
  <c r="EL676" i="1"/>
  <c r="EN676" i="1" s="1"/>
  <c r="EL680" i="1"/>
  <c r="EN680" i="1" s="1"/>
  <c r="EL708" i="1"/>
  <c r="EN708" i="1" s="1"/>
  <c r="EE667" i="1"/>
  <c r="EE668" i="1"/>
  <c r="EE660" i="1"/>
  <c r="EL660" i="1" s="1"/>
  <c r="EN660" i="1" s="1"/>
  <c r="EE661" i="1"/>
  <c r="EL629" i="1"/>
  <c r="EN629" i="1" s="1"/>
  <c r="EL630" i="1"/>
  <c r="EN630" i="1" s="1"/>
  <c r="EL631" i="1"/>
  <c r="EN631" i="1" s="1"/>
  <c r="EL638" i="1"/>
  <c r="EN638" i="1" s="1"/>
  <c r="EL674" i="1"/>
  <c r="EN674" i="1" s="1"/>
  <c r="EL678" i="1"/>
  <c r="EN678" i="1" s="1"/>
  <c r="EL691" i="1"/>
  <c r="EN691" i="1" s="1"/>
  <c r="EL693" i="1"/>
  <c r="EN693" i="1" s="1"/>
  <c r="EL697" i="1"/>
  <c r="EN697" i="1" s="1"/>
  <c r="EL701" i="1"/>
  <c r="EN701" i="1" s="1"/>
  <c r="EL702" i="1"/>
  <c r="EN702" i="1" s="1"/>
  <c r="EL712" i="1"/>
  <c r="EN712" i="1" s="1"/>
  <c r="EL716" i="1"/>
  <c r="EN716" i="1" s="1"/>
  <c r="EL720" i="1"/>
  <c r="EN720" i="1" s="1"/>
  <c r="EL724" i="1"/>
  <c r="EN724" i="1" s="1"/>
  <c r="EL728" i="1"/>
  <c r="EN728" i="1" s="1"/>
  <c r="EL732" i="1"/>
  <c r="EN732" i="1" s="1"/>
  <c r="EL736" i="1"/>
  <c r="EN736" i="1" s="1"/>
  <c r="EL737" i="1"/>
  <c r="EN737" i="1" s="1"/>
  <c r="EL740" i="1"/>
  <c r="EN740" i="1" s="1"/>
  <c r="EL632" i="1"/>
  <c r="EN632" i="1" s="1"/>
  <c r="EL633" i="1"/>
  <c r="EN633" i="1" s="1"/>
  <c r="EL634" i="1"/>
  <c r="EN634" i="1" s="1"/>
  <c r="EL635" i="1"/>
  <c r="EN635" i="1" s="1"/>
  <c r="EL636" i="1"/>
  <c r="EN636" i="1" s="1"/>
  <c r="EL637" i="1"/>
  <c r="EN637" i="1" s="1"/>
  <c r="EL639" i="1"/>
  <c r="EN639" i="1" s="1"/>
  <c r="EL707" i="1"/>
  <c r="EN707" i="1" s="1"/>
  <c r="EL645" i="1"/>
  <c r="EN645" i="1" s="1"/>
  <c r="EL661" i="1"/>
  <c r="EN661" i="1" s="1"/>
  <c r="EL705" i="1"/>
  <c r="EN705" i="1" s="1"/>
  <c r="DH618" i="1"/>
  <c r="EL361" i="1"/>
  <c r="EN361" i="1" s="1"/>
  <c r="EL372" i="1"/>
  <c r="EN372" i="1" s="1"/>
  <c r="EL374" i="1"/>
  <c r="EN374" i="1" s="1"/>
  <c r="EE350" i="1"/>
  <c r="EL350" i="1" s="1"/>
  <c r="EN350" i="1" s="1"/>
  <c r="EE351" i="1"/>
  <c r="EE354" i="1"/>
  <c r="EL354" i="1" s="1"/>
  <c r="EN354" i="1" s="1"/>
  <c r="EE356" i="1"/>
  <c r="EE357" i="1"/>
  <c r="EL357" i="1" s="1"/>
  <c r="EN357" i="1" s="1"/>
  <c r="EE358" i="1"/>
  <c r="EE360" i="1"/>
  <c r="EE367" i="1"/>
  <c r="EE371" i="1"/>
  <c r="EL371" i="1" s="1"/>
  <c r="EN371" i="1" s="1"/>
  <c r="EE376" i="1"/>
  <c r="EE347" i="1"/>
  <c r="EL358" i="1"/>
  <c r="EN358" i="1" s="1"/>
  <c r="EL370" i="1"/>
  <c r="EN370" i="1" s="1"/>
  <c r="EE375" i="1"/>
  <c r="EL375" i="1" s="1"/>
  <c r="EN375" i="1" s="1"/>
  <c r="EL351" i="1"/>
  <c r="EN351" i="1" s="1"/>
  <c r="EL352" i="1"/>
  <c r="EN352" i="1" s="1"/>
  <c r="EL360" i="1"/>
  <c r="EN360" i="1" s="1"/>
  <c r="DL291" i="1"/>
  <c r="DL307" i="1"/>
  <c r="EE322" i="1"/>
  <c r="EE282" i="1"/>
  <c r="EL282" i="1" s="1"/>
  <c r="EN282" i="1" s="1"/>
  <c r="EE192" i="1"/>
  <c r="EL192" i="1" s="1"/>
  <c r="EN192" i="1" s="1"/>
  <c r="AW175" i="1"/>
  <c r="AW198" i="1"/>
  <c r="DL141" i="1"/>
  <c r="DL104" i="1"/>
  <c r="DL20" i="1"/>
  <c r="DL46" i="1"/>
  <c r="DL60" i="1"/>
  <c r="DN11" i="1"/>
  <c r="AW11" i="1"/>
  <c r="DP11" i="1"/>
  <c r="DH11" i="1"/>
  <c r="DL11" i="1" s="1"/>
  <c r="AQ15" i="1"/>
  <c r="AQ17" i="1"/>
  <c r="AQ21" i="1"/>
  <c r="AQ24" i="1"/>
  <c r="AQ26" i="1"/>
  <c r="AQ29" i="1"/>
  <c r="AQ31" i="1"/>
  <c r="AQ34" i="1"/>
  <c r="AQ41" i="1"/>
  <c r="AQ43" i="1"/>
  <c r="AQ51" i="1"/>
  <c r="AQ53" i="1"/>
  <c r="AQ55" i="1"/>
  <c r="AQ57" i="1"/>
  <c r="AQ65" i="1"/>
  <c r="AQ66" i="1"/>
  <c r="AQ68" i="1"/>
  <c r="AQ73" i="1"/>
  <c r="AQ76" i="1"/>
  <c r="AQ92" i="1"/>
  <c r="DN95" i="1"/>
  <c r="DH95" i="1"/>
  <c r="DL95" i="1" s="1"/>
  <c r="DN96" i="1"/>
  <c r="DH96" i="1"/>
  <c r="DL96" i="1" s="1"/>
  <c r="AQ106" i="1"/>
  <c r="AQ109" i="1"/>
  <c r="AQ114" i="1"/>
  <c r="AQ117" i="1"/>
  <c r="AQ120" i="1"/>
  <c r="AQ124" i="1"/>
  <c r="AQ128" i="1"/>
  <c r="AQ130" i="1"/>
  <c r="AQ134" i="1"/>
  <c r="AQ137" i="1"/>
  <c r="AQ139" i="1"/>
  <c r="AQ142" i="1"/>
  <c r="AQ146" i="1"/>
  <c r="AQ149" i="1"/>
  <c r="AQ166" i="1"/>
  <c r="AQ168" i="1"/>
  <c r="AQ169" i="1"/>
  <c r="AQ171" i="1"/>
  <c r="AW171" i="1" s="1"/>
  <c r="AQ9" i="1"/>
  <c r="AQ10" i="1"/>
  <c r="AQ12" i="1"/>
  <c r="DN14" i="1"/>
  <c r="AW14" i="1"/>
  <c r="DP14" i="1"/>
  <c r="DH14" i="1"/>
  <c r="DL14" i="1" s="1"/>
  <c r="DN16" i="1"/>
  <c r="AW16" i="1"/>
  <c r="DP16" i="1"/>
  <c r="DH16" i="1"/>
  <c r="DL16" i="1" s="1"/>
  <c r="DN18" i="1"/>
  <c r="AW18" i="1"/>
  <c r="DP18" i="1"/>
  <c r="DH18" i="1"/>
  <c r="DL18" i="1" s="1"/>
  <c r="EE20" i="1"/>
  <c r="EL20" i="1" s="1"/>
  <c r="EN20" i="1" s="1"/>
  <c r="AQ22" i="1"/>
  <c r="DN23" i="1"/>
  <c r="AW23" i="1"/>
  <c r="DP23" i="1"/>
  <c r="DH23" i="1"/>
  <c r="DL23" i="1" s="1"/>
  <c r="EE27" i="1"/>
  <c r="EL27" i="1" s="1"/>
  <c r="EN27" i="1" s="1"/>
  <c r="AQ30" i="1"/>
  <c r="AQ32" i="1"/>
  <c r="AQ39" i="1"/>
  <c r="AQ42" i="1"/>
  <c r="AQ44" i="1"/>
  <c r="AQ49" i="1"/>
  <c r="AQ52" i="1"/>
  <c r="AQ54" i="1"/>
  <c r="AQ56" i="1"/>
  <c r="AQ58" i="1"/>
  <c r="AQ61" i="1"/>
  <c r="AQ64" i="1"/>
  <c r="AQ67" i="1"/>
  <c r="AQ70" i="1"/>
  <c r="AQ78" i="1"/>
  <c r="AQ79" i="1"/>
  <c r="AQ80" i="1"/>
  <c r="AQ81" i="1"/>
  <c r="AQ82" i="1"/>
  <c r="AQ88" i="1"/>
  <c r="AQ89" i="1"/>
  <c r="AQ91" i="1"/>
  <c r="AQ94" i="1"/>
  <c r="DN97" i="1"/>
  <c r="DH97" i="1"/>
  <c r="DL97" i="1" s="1"/>
  <c r="DN98" i="1"/>
  <c r="DH98" i="1"/>
  <c r="DL98" i="1" s="1"/>
  <c r="AQ100" i="1"/>
  <c r="EE104" i="1"/>
  <c r="EL104" i="1" s="1"/>
  <c r="EN104" i="1" s="1"/>
  <c r="AQ105" i="1"/>
  <c r="AQ107" i="1"/>
  <c r="AQ111" i="1"/>
  <c r="AQ112" i="1"/>
  <c r="AQ113" i="1"/>
  <c r="AQ116" i="1"/>
  <c r="AQ119" i="1"/>
  <c r="AQ122" i="1"/>
  <c r="AQ127" i="1"/>
  <c r="AQ133" i="1"/>
  <c r="AQ135" i="1"/>
  <c r="AQ136" i="1"/>
  <c r="AQ138" i="1"/>
  <c r="AQ140" i="1"/>
  <c r="AQ143" i="1"/>
  <c r="AQ145" i="1"/>
  <c r="AQ147" i="1"/>
  <c r="AQ151" i="1"/>
  <c r="AQ152" i="1"/>
  <c r="AQ156" i="1"/>
  <c r="AQ158" i="1"/>
  <c r="AQ161" i="1"/>
  <c r="AQ163" i="1"/>
  <c r="AW163" i="1" s="1"/>
  <c r="DX163" i="1"/>
  <c r="AQ167" i="1"/>
  <c r="DX170" i="1"/>
  <c r="AQ172" i="1"/>
  <c r="AQ173" i="1"/>
  <c r="AW173" i="1" s="1"/>
  <c r="AQ174" i="1"/>
  <c r="AW174" i="1" s="1"/>
  <c r="AQ28" i="1"/>
  <c r="AQ33" i="1"/>
  <c r="AQ35" i="1"/>
  <c r="AQ36" i="1"/>
  <c r="AQ37" i="1"/>
  <c r="AQ38" i="1"/>
  <c r="AQ40" i="1"/>
  <c r="AQ45" i="1"/>
  <c r="DP46" i="1"/>
  <c r="AQ47" i="1"/>
  <c r="AQ48" i="1"/>
  <c r="AQ50" i="1"/>
  <c r="DR59" i="1"/>
  <c r="DX59" i="1" s="1"/>
  <c r="EE59" i="1" s="1"/>
  <c r="EL59" i="1" s="1"/>
  <c r="EN59" i="1" s="1"/>
  <c r="DP60" i="1"/>
  <c r="AQ62" i="1"/>
  <c r="AQ63" i="1"/>
  <c r="AQ69" i="1"/>
  <c r="AQ71" i="1"/>
  <c r="AQ72" i="1"/>
  <c r="DP74" i="1"/>
  <c r="AQ75" i="1"/>
  <c r="AQ77" i="1"/>
  <c r="AQ83" i="1"/>
  <c r="AQ84" i="1"/>
  <c r="AQ85" i="1"/>
  <c r="DP86" i="1"/>
  <c r="AQ87" i="1"/>
  <c r="AQ90" i="1"/>
  <c r="AQ93" i="1"/>
  <c r="AQ99" i="1"/>
  <c r="AQ101" i="1"/>
  <c r="AQ102" i="1"/>
  <c r="AQ103" i="1"/>
  <c r="AQ108" i="1"/>
  <c r="AQ110" i="1"/>
  <c r="AQ115" i="1"/>
  <c r="AQ118" i="1"/>
  <c r="AQ121" i="1"/>
  <c r="AQ123" i="1"/>
  <c r="AQ125" i="1"/>
  <c r="DP126" i="1"/>
  <c r="DR126" i="1" s="1"/>
  <c r="DT126" i="1" s="1"/>
  <c r="AQ129" i="1"/>
  <c r="DP131" i="1"/>
  <c r="DR131" i="1" s="1"/>
  <c r="DT131" i="1" s="1"/>
  <c r="DP132" i="1"/>
  <c r="DR132" i="1" s="1"/>
  <c r="DT132" i="1" s="1"/>
  <c r="DP141" i="1"/>
  <c r="DR141" i="1" s="1"/>
  <c r="DT141" i="1" s="1"/>
  <c r="AQ144" i="1"/>
  <c r="AQ148" i="1"/>
  <c r="AQ150" i="1"/>
  <c r="DP153" i="1"/>
  <c r="DR153" i="1" s="1"/>
  <c r="DT153" i="1" s="1"/>
  <c r="AQ154" i="1"/>
  <c r="AQ155" i="1"/>
  <c r="ER204" i="1"/>
  <c r="EW204" i="1"/>
  <c r="DT157" i="1"/>
  <c r="DV157" i="1" s="1"/>
  <c r="AQ159" i="1"/>
  <c r="AQ160" i="1"/>
  <c r="AW160" i="1" s="1"/>
  <c r="DT160" i="1"/>
  <c r="DV160" i="1" s="1"/>
  <c r="AQ162" i="1"/>
  <c r="AW162" i="1" s="1"/>
  <c r="DT162" i="1"/>
  <c r="DV162" i="1" s="1"/>
  <c r="DR163" i="1"/>
  <c r="AQ164" i="1"/>
  <c r="AQ165" i="1"/>
  <c r="AQ170" i="1"/>
  <c r="AW170" i="1" s="1"/>
  <c r="EE170" i="1" s="1"/>
  <c r="EL170" i="1" s="1"/>
  <c r="EN170" i="1" s="1"/>
  <c r="DT170" i="1"/>
  <c r="DV170" i="1" s="1"/>
  <c r="DR171" i="1"/>
  <c r="DX171" i="1" s="1"/>
  <c r="DT173" i="1"/>
  <c r="DV173" i="1" s="1"/>
  <c r="DT175" i="1"/>
  <c r="DV175" i="1" s="1"/>
  <c r="AQ176" i="1"/>
  <c r="AW176" i="1" s="1"/>
  <c r="DT176" i="1"/>
  <c r="DV176" i="1" s="1"/>
  <c r="AQ180" i="1"/>
  <c r="AW180" i="1" s="1"/>
  <c r="AQ181" i="1"/>
  <c r="AQ185" i="1"/>
  <c r="AQ188" i="1"/>
  <c r="AQ190" i="1"/>
  <c r="AW190" i="1" s="1"/>
  <c r="EE190" i="1" s="1"/>
  <c r="EL190" i="1" s="1"/>
  <c r="EN190" i="1" s="1"/>
  <c r="AQ193" i="1"/>
  <c r="AQ196" i="1"/>
  <c r="AQ197" i="1"/>
  <c r="EE198" i="1"/>
  <c r="EL198" i="1" s="1"/>
  <c r="EN198" i="1" s="1"/>
  <c r="AQ199" i="1"/>
  <c r="AQ200" i="1"/>
  <c r="AQ201" i="1"/>
  <c r="AQ203" i="1"/>
  <c r="AQ204" i="1"/>
  <c r="AW204" i="1" s="1"/>
  <c r="EE204" i="1" s="1"/>
  <c r="EL204" i="1" s="1"/>
  <c r="EN204" i="1" s="1"/>
  <c r="DH228" i="1"/>
  <c r="DL228" i="1" s="1"/>
  <c r="DN228" i="1"/>
  <c r="AW228" i="1"/>
  <c r="DH242" i="1"/>
  <c r="DL242" i="1" s="1"/>
  <c r="DN242" i="1"/>
  <c r="AW242" i="1"/>
  <c r="AQ257" i="1"/>
  <c r="DP263" i="1"/>
  <c r="DH263" i="1"/>
  <c r="DL263" i="1" s="1"/>
  <c r="AY263" i="1"/>
  <c r="BE263" i="1" s="1"/>
  <c r="DN263" i="1"/>
  <c r="AW263" i="1"/>
  <c r="AQ265" i="1"/>
  <c r="AQ280" i="1"/>
  <c r="AQ293" i="1"/>
  <c r="AQ298" i="1"/>
  <c r="AQ316" i="1"/>
  <c r="DP325" i="1"/>
  <c r="DH325" i="1"/>
  <c r="DL325" i="1" s="1"/>
  <c r="DN325" i="1"/>
  <c r="AW325" i="1"/>
  <c r="EE426" i="1"/>
  <c r="EL426" i="1" s="1"/>
  <c r="EN426" i="1" s="1"/>
  <c r="DT19" i="1"/>
  <c r="DX19" i="1" s="1"/>
  <c r="EE19" i="1" s="1"/>
  <c r="EL19" i="1" s="1"/>
  <c r="EN19" i="1" s="1"/>
  <c r="AQ13" i="1"/>
  <c r="AQ25" i="1"/>
  <c r="DT163" i="1"/>
  <c r="DV163" i="1" s="1"/>
  <c r="DT171" i="1"/>
  <c r="DV171" i="1" s="1"/>
  <c r="DX176" i="1"/>
  <c r="AQ177" i="1"/>
  <c r="DH178" i="1"/>
  <c r="DL178" i="1" s="1"/>
  <c r="BE178" i="1"/>
  <c r="DN178" i="1"/>
  <c r="AW178" i="1"/>
  <c r="AQ179" i="1"/>
  <c r="AQ183" i="1"/>
  <c r="DP184" i="1"/>
  <c r="DH184" i="1"/>
  <c r="DL184" i="1" s="1"/>
  <c r="AW184" i="1"/>
  <c r="DN184" i="1"/>
  <c r="AQ186" i="1"/>
  <c r="AW186" i="1" s="1"/>
  <c r="EE186" i="1" s="1"/>
  <c r="EL186" i="1" s="1"/>
  <c r="EN186" i="1" s="1"/>
  <c r="AQ187" i="1"/>
  <c r="AQ189" i="1"/>
  <c r="AW189" i="1" s="1"/>
  <c r="AQ194" i="1"/>
  <c r="AQ195" i="1"/>
  <c r="AW195" i="1" s="1"/>
  <c r="AQ202" i="1"/>
  <c r="AQ210" i="1"/>
  <c r="DP217" i="1"/>
  <c r="DH217" i="1"/>
  <c r="DL217" i="1" s="1"/>
  <c r="DN217" i="1"/>
  <c r="AW217" i="1"/>
  <c r="DN219" i="1"/>
  <c r="DH219" i="1"/>
  <c r="DL219" i="1" s="1"/>
  <c r="AW219" i="1"/>
  <c r="DP219" i="1"/>
  <c r="AQ222" i="1"/>
  <c r="DH230" i="1"/>
  <c r="DL230" i="1" s="1"/>
  <c r="DN230" i="1"/>
  <c r="AW230" i="1"/>
  <c r="EE235" i="1"/>
  <c r="AQ256" i="1"/>
  <c r="AQ258" i="1"/>
  <c r="AQ259" i="1"/>
  <c r="AQ277" i="1"/>
  <c r="AQ279" i="1"/>
  <c r="AQ285" i="1"/>
  <c r="AW285" i="1" s="1"/>
  <c r="EE285" i="1" s="1"/>
  <c r="EL285" i="1" s="1"/>
  <c r="EN285" i="1" s="1"/>
  <c r="AQ297" i="1"/>
  <c r="AQ300" i="1"/>
  <c r="AQ315" i="1"/>
  <c r="DP317" i="1"/>
  <c r="DH317" i="1"/>
  <c r="DL317" i="1" s="1"/>
  <c r="AY317" i="1"/>
  <c r="BE317" i="1" s="1"/>
  <c r="DN317" i="1"/>
  <c r="AW317" i="1"/>
  <c r="DT180" i="1"/>
  <c r="DV180" i="1" s="1"/>
  <c r="DX180" i="1"/>
  <c r="DX182" i="1"/>
  <c r="DX190" i="1"/>
  <c r="DX191" i="1"/>
  <c r="DX195" i="1"/>
  <c r="DN205" i="1"/>
  <c r="BE205" i="1"/>
  <c r="AW205" i="1"/>
  <c r="DH205" i="1"/>
  <c r="DL205" i="1" s="1"/>
  <c r="DH211" i="1"/>
  <c r="DL211" i="1" s="1"/>
  <c r="AW211" i="1"/>
  <c r="BE211" i="1"/>
  <c r="DN211" i="1"/>
  <c r="AQ214" i="1"/>
  <c r="DP218" i="1"/>
  <c r="DH218" i="1"/>
  <c r="DL218" i="1" s="1"/>
  <c r="AW218" i="1"/>
  <c r="DN218" i="1"/>
  <c r="DP220" i="1"/>
  <c r="DH220" i="1"/>
  <c r="DL220" i="1" s="1"/>
  <c r="AW220" i="1"/>
  <c r="DN220" i="1"/>
  <c r="DP221" i="1"/>
  <c r="DH221" i="1"/>
  <c r="DL221" i="1" s="1"/>
  <c r="AW221" i="1"/>
  <c r="DN221" i="1"/>
  <c r="AQ224" i="1"/>
  <c r="AQ225" i="1"/>
  <c r="AQ226" i="1"/>
  <c r="DH227" i="1"/>
  <c r="DL227" i="1" s="1"/>
  <c r="AW227" i="1"/>
  <c r="AY227" i="1"/>
  <c r="BE227" i="1" s="1"/>
  <c r="DN227" i="1"/>
  <c r="AW229" i="1"/>
  <c r="DN229" i="1"/>
  <c r="DP231" i="1"/>
  <c r="DH231" i="1"/>
  <c r="DL231" i="1" s="1"/>
  <c r="AW231" i="1"/>
  <c r="DN231" i="1"/>
  <c r="DN238" i="1"/>
  <c r="DX238" i="1" s="1"/>
  <c r="AW238" i="1"/>
  <c r="DH238" i="1"/>
  <c r="DL238" i="1" s="1"/>
  <c r="DX240" i="1"/>
  <c r="EE240" i="1" s="1"/>
  <c r="EL240" i="1" s="1"/>
  <c r="EN240" i="1" s="1"/>
  <c r="AW241" i="1"/>
  <c r="DN241" i="1"/>
  <c r="AW243" i="1"/>
  <c r="AW247" i="1"/>
  <c r="AQ250" i="1"/>
  <c r="DP251" i="1"/>
  <c r="DP253" i="1"/>
  <c r="DP255" i="1"/>
  <c r="DN260" i="1"/>
  <c r="DX260" i="1" s="1"/>
  <c r="AW260" i="1"/>
  <c r="DP264" i="1"/>
  <c r="DH264" i="1"/>
  <c r="DL264" i="1" s="1"/>
  <c r="AW264" i="1"/>
  <c r="AY264" i="1"/>
  <c r="BE264" i="1" s="1"/>
  <c r="DN264" i="1"/>
  <c r="DN266" i="1"/>
  <c r="AY266" i="1"/>
  <c r="BE266" i="1" s="1"/>
  <c r="AW266" i="1"/>
  <c r="DH266" i="1"/>
  <c r="DL266" i="1" s="1"/>
  <c r="DP267" i="1"/>
  <c r="DH267" i="1"/>
  <c r="DL267" i="1" s="1"/>
  <c r="AY267" i="1"/>
  <c r="BE267" i="1" s="1"/>
  <c r="AW267" i="1"/>
  <c r="AQ268" i="1"/>
  <c r="DN269" i="1"/>
  <c r="AY269" i="1"/>
  <c r="BE269" i="1" s="1"/>
  <c r="AW269" i="1"/>
  <c r="DH269" i="1"/>
  <c r="DL269" i="1" s="1"/>
  <c r="DP270" i="1"/>
  <c r="DH270" i="1"/>
  <c r="DL270" i="1" s="1"/>
  <c r="AW270" i="1"/>
  <c r="DN270" i="1"/>
  <c r="DP271" i="1"/>
  <c r="DH271" i="1"/>
  <c r="DL271" i="1" s="1"/>
  <c r="AW271" i="1"/>
  <c r="DN271" i="1"/>
  <c r="AQ274" i="1"/>
  <c r="DP276" i="1"/>
  <c r="DH276" i="1"/>
  <c r="DL276" i="1" s="1"/>
  <c r="AY276" i="1"/>
  <c r="BE276" i="1" s="1"/>
  <c r="AW276" i="1"/>
  <c r="DN276" i="1"/>
  <c r="DN281" i="1"/>
  <c r="DX281" i="1" s="1"/>
  <c r="AW281" i="1"/>
  <c r="EE281" i="1" s="1"/>
  <c r="EL281" i="1" s="1"/>
  <c r="EN281" i="1" s="1"/>
  <c r="DP284" i="1"/>
  <c r="DH284" i="1"/>
  <c r="DL284" i="1" s="1"/>
  <c r="AW284" i="1"/>
  <c r="AY284" i="1"/>
  <c r="BE284" i="1" s="1"/>
  <c r="DN284" i="1"/>
  <c r="AQ288" i="1"/>
  <c r="AW288" i="1" s="1"/>
  <c r="EE288" i="1" s="1"/>
  <c r="EL288" i="1" s="1"/>
  <c r="EN288" i="1" s="1"/>
  <c r="DP292" i="1"/>
  <c r="DH292" i="1"/>
  <c r="DL292" i="1" s="1"/>
  <c r="AW292" i="1"/>
  <c r="AY292" i="1"/>
  <c r="BE292" i="1" s="1"/>
  <c r="AQ294" i="1"/>
  <c r="DN295" i="1"/>
  <c r="AY295" i="1"/>
  <c r="BE295" i="1" s="1"/>
  <c r="AW295" i="1"/>
  <c r="DP295" i="1"/>
  <c r="DP299" i="1"/>
  <c r="DH299" i="1"/>
  <c r="DL299" i="1" s="1"/>
  <c r="AW299" i="1"/>
  <c r="AY299" i="1"/>
  <c r="BE299" i="1" s="1"/>
  <c r="EE301" i="1"/>
  <c r="DN302" i="1"/>
  <c r="AY302" i="1"/>
  <c r="BE302" i="1" s="1"/>
  <c r="AW302" i="1"/>
  <c r="DP302" i="1"/>
  <c r="AQ303" i="1"/>
  <c r="DP304" i="1"/>
  <c r="DH304" i="1"/>
  <c r="DL304" i="1" s="1"/>
  <c r="AY304" i="1"/>
  <c r="BE304" i="1" s="1"/>
  <c r="AW304" i="1"/>
  <c r="DP305" i="1"/>
  <c r="DH305" i="1"/>
  <c r="DL305" i="1" s="1"/>
  <c r="AY305" i="1"/>
  <c r="BE305" i="1" s="1"/>
  <c r="AW305" i="1"/>
  <c r="AW306" i="1"/>
  <c r="DX307" i="1"/>
  <c r="AQ309" i="1"/>
  <c r="DP310" i="1"/>
  <c r="DH310" i="1"/>
  <c r="DL310" i="1" s="1"/>
  <c r="AY310" i="1"/>
  <c r="BE310" i="1" s="1"/>
  <c r="AW310" i="1"/>
  <c r="AW311" i="1"/>
  <c r="DP314" i="1"/>
  <c r="DT314" i="1" s="1"/>
  <c r="DV314" i="1" s="1"/>
  <c r="DH314" i="1"/>
  <c r="DL314" i="1" s="1"/>
  <c r="AY314" i="1"/>
  <c r="BE314" i="1" s="1"/>
  <c r="AW314" i="1"/>
  <c r="DN314" i="1"/>
  <c r="DX314" i="1" s="1"/>
  <c r="DN318" i="1"/>
  <c r="AW318" i="1"/>
  <c r="AY318" i="1"/>
  <c r="BE318" i="1" s="1"/>
  <c r="DH318" i="1"/>
  <c r="DL318" i="1" s="1"/>
  <c r="EL323" i="1"/>
  <c r="EN323" i="1" s="1"/>
  <c r="DP324" i="1"/>
  <c r="DH324" i="1"/>
  <c r="DL324" i="1" s="1"/>
  <c r="AY324" i="1"/>
  <c r="BE324" i="1" s="1"/>
  <c r="AW324" i="1"/>
  <c r="DN324" i="1"/>
  <c r="DP327" i="1"/>
  <c r="DH327" i="1"/>
  <c r="DL327" i="1" s="1"/>
  <c r="AY327" i="1"/>
  <c r="BE327" i="1" s="1"/>
  <c r="AW327" i="1"/>
  <c r="DN327" i="1"/>
  <c r="DH329" i="1"/>
  <c r="DL329" i="1" s="1"/>
  <c r="AW329" i="1"/>
  <c r="AY329" i="1"/>
  <c r="BE329" i="1" s="1"/>
  <c r="DH330" i="1"/>
  <c r="DL330" i="1" s="1"/>
  <c r="AY330" i="1"/>
  <c r="BE330" i="1" s="1"/>
  <c r="AW330" i="1"/>
  <c r="DN330" i="1"/>
  <c r="DX333" i="1"/>
  <c r="EE333" i="1" s="1"/>
  <c r="EL333" i="1" s="1"/>
  <c r="EN333" i="1" s="1"/>
  <c r="DX339" i="1"/>
  <c r="EE339" i="1" s="1"/>
  <c r="EL339" i="1" s="1"/>
  <c r="EN339" i="1" s="1"/>
  <c r="EL376" i="1"/>
  <c r="EN376" i="1" s="1"/>
  <c r="EL378" i="1"/>
  <c r="EN378" i="1" s="1"/>
  <c r="EL380" i="1"/>
  <c r="EN380" i="1" s="1"/>
  <c r="EL382" i="1"/>
  <c r="EN382" i="1" s="1"/>
  <c r="EE386" i="1"/>
  <c r="EE387" i="1"/>
  <c r="EL387" i="1" s="1"/>
  <c r="EN387" i="1" s="1"/>
  <c r="EE388" i="1"/>
  <c r="DP402" i="1"/>
  <c r="DP405" i="1"/>
  <c r="DR407" i="1"/>
  <c r="DT407" i="1"/>
  <c r="DV407" i="1" s="1"/>
  <c r="DP409" i="1"/>
  <c r="DP412" i="1"/>
  <c r="DR414" i="1"/>
  <c r="DT414" i="1"/>
  <c r="DV414" i="1" s="1"/>
  <c r="EE416" i="1"/>
  <c r="EL416" i="1" s="1"/>
  <c r="EN416" i="1" s="1"/>
  <c r="DR417" i="1"/>
  <c r="DX417" i="1" s="1"/>
  <c r="EE417" i="1" s="1"/>
  <c r="EL417" i="1" s="1"/>
  <c r="EN417" i="1" s="1"/>
  <c r="DT417" i="1"/>
  <c r="DV417" i="1" s="1"/>
  <c r="DR424" i="1"/>
  <c r="DT424" i="1"/>
  <c r="DV424" i="1" s="1"/>
  <c r="EE444" i="1"/>
  <c r="DR449" i="1"/>
  <c r="DT449" i="1" s="1"/>
  <c r="DV449" i="1" s="1"/>
  <c r="DT174" i="1"/>
  <c r="DV174" i="1" s="1"/>
  <c r="AQ182" i="1"/>
  <c r="AW182" i="1" s="1"/>
  <c r="EE182" i="1" s="1"/>
  <c r="EL182" i="1" s="1"/>
  <c r="EN182" i="1" s="1"/>
  <c r="DT189" i="1"/>
  <c r="DV189" i="1" s="1"/>
  <c r="AQ191" i="1"/>
  <c r="AW191" i="1" s="1"/>
  <c r="DP205" i="1"/>
  <c r="AQ206" i="1"/>
  <c r="AW206" i="1" s="1"/>
  <c r="DX206" i="1"/>
  <c r="DT206" i="1"/>
  <c r="DV206" i="1" s="1"/>
  <c r="AQ207" i="1"/>
  <c r="AW207" i="1" s="1"/>
  <c r="EE207" i="1" s="1"/>
  <c r="EL207" i="1" s="1"/>
  <c r="EN207" i="1" s="1"/>
  <c r="AQ208" i="1"/>
  <c r="AQ209" i="1"/>
  <c r="AQ212" i="1"/>
  <c r="AW212" i="1" s="1"/>
  <c r="EE212" i="1" s="1"/>
  <c r="EL212" i="1" s="1"/>
  <c r="EN212" i="1" s="1"/>
  <c r="AQ213" i="1"/>
  <c r="AQ215" i="1"/>
  <c r="AN216" i="1"/>
  <c r="AO216" i="1" s="1"/>
  <c r="AQ223" i="1"/>
  <c r="AQ232" i="1"/>
  <c r="AW232" i="1" s="1"/>
  <c r="EE232" i="1" s="1"/>
  <c r="EL232" i="1" s="1"/>
  <c r="EN232" i="1" s="1"/>
  <c r="EL235" i="1"/>
  <c r="EN235" i="1" s="1"/>
  <c r="DX235" i="1"/>
  <c r="DX236" i="1"/>
  <c r="EE236" i="1" s="1"/>
  <c r="EL236" i="1" s="1"/>
  <c r="EN236" i="1" s="1"/>
  <c r="AQ237" i="1"/>
  <c r="DX239" i="1"/>
  <c r="EE239" i="1" s="1"/>
  <c r="EL239" i="1" s="1"/>
  <c r="EN239" i="1" s="1"/>
  <c r="DX243" i="1"/>
  <c r="AQ244" i="1"/>
  <c r="AQ245" i="1"/>
  <c r="DH246" i="1"/>
  <c r="DL246" i="1" s="1"/>
  <c r="AW246" i="1"/>
  <c r="AY246" i="1"/>
  <c r="BE246" i="1" s="1"/>
  <c r="DN246" i="1"/>
  <c r="DX247" i="1"/>
  <c r="AQ249" i="1"/>
  <c r="BE251" i="1"/>
  <c r="AQ252" i="1"/>
  <c r="DH253" i="1"/>
  <c r="DL253" i="1" s="1"/>
  <c r="AW253" i="1"/>
  <c r="AQ254" i="1"/>
  <c r="DH255" i="1"/>
  <c r="DL255" i="1" s="1"/>
  <c r="AW255" i="1"/>
  <c r="DH260" i="1"/>
  <c r="DL260" i="1" s="1"/>
  <c r="DL261" i="1"/>
  <c r="EE261" i="1" s="1"/>
  <c r="EL261" i="1" s="1"/>
  <c r="EN261" i="1" s="1"/>
  <c r="DX261" i="1"/>
  <c r="AQ262" i="1"/>
  <c r="DP266" i="1"/>
  <c r="DN267" i="1"/>
  <c r="DP269" i="1"/>
  <c r="AQ272" i="1"/>
  <c r="AQ273" i="1"/>
  <c r="AQ275" i="1"/>
  <c r="AN278" i="1"/>
  <c r="AO278" i="1" s="1"/>
  <c r="DH281" i="1"/>
  <c r="DL281" i="1" s="1"/>
  <c r="DT283" i="1"/>
  <c r="DV283" i="1" s="1"/>
  <c r="AQ286" i="1"/>
  <c r="AQ287" i="1"/>
  <c r="AQ289" i="1"/>
  <c r="AQ290" i="1"/>
  <c r="DT291" i="1"/>
  <c r="DV291" i="1" s="1"/>
  <c r="DN292" i="1"/>
  <c r="DH295" i="1"/>
  <c r="DL295" i="1" s="1"/>
  <c r="AQ296" i="1"/>
  <c r="DN299" i="1"/>
  <c r="EL301" i="1"/>
  <c r="EN301" i="1" s="1"/>
  <c r="DX301" i="1"/>
  <c r="DH302" i="1"/>
  <c r="DL302" i="1" s="1"/>
  <c r="DN304" i="1"/>
  <c r="DN305" i="1"/>
  <c r="DN306" i="1"/>
  <c r="DX306" i="1" s="1"/>
  <c r="BE307" i="1"/>
  <c r="EE307" i="1" s="1"/>
  <c r="EL307" i="1" s="1"/>
  <c r="EN307" i="1" s="1"/>
  <c r="DT307" i="1"/>
  <c r="DV307" i="1" s="1"/>
  <c r="AN308" i="1"/>
  <c r="AO308" i="1" s="1"/>
  <c r="DN310" i="1"/>
  <c r="DN311" i="1"/>
  <c r="DX311" i="1" s="1"/>
  <c r="AQ312" i="1"/>
  <c r="AQ313" i="1"/>
  <c r="DP318" i="1"/>
  <c r="AQ319" i="1"/>
  <c r="EL320" i="1"/>
  <c r="EN320" i="1" s="1"/>
  <c r="DL321" i="1"/>
  <c r="DP321" i="1"/>
  <c r="EL322" i="1"/>
  <c r="EN322" i="1" s="1"/>
  <c r="AQ328" i="1"/>
  <c r="DN329" i="1"/>
  <c r="AQ331" i="1"/>
  <c r="AQ332" i="1"/>
  <c r="DT333" i="1"/>
  <c r="DV333" i="1" s="1"/>
  <c r="DL334" i="1"/>
  <c r="DP334" i="1"/>
  <c r="DT335" i="1"/>
  <c r="DV335" i="1" s="1"/>
  <c r="DT336" i="1"/>
  <c r="DV336" i="1" s="1"/>
  <c r="DT337" i="1"/>
  <c r="DV337" i="1" s="1"/>
  <c r="DT338" i="1"/>
  <c r="DV338" i="1" s="1"/>
  <c r="EL386" i="1"/>
  <c r="EN386" i="1" s="1"/>
  <c r="EL388" i="1"/>
  <c r="EN388" i="1" s="1"/>
  <c r="DX407" i="1"/>
  <c r="EE407" i="1" s="1"/>
  <c r="EL407" i="1" s="1"/>
  <c r="EN407" i="1" s="1"/>
  <c r="DT411" i="1"/>
  <c r="DR411" i="1"/>
  <c r="DX411" i="1" s="1"/>
  <c r="EE411" i="1" s="1"/>
  <c r="EL411" i="1" s="1"/>
  <c r="EN411" i="1" s="1"/>
  <c r="DX414" i="1"/>
  <c r="EE414" i="1" s="1"/>
  <c r="EL414" i="1" s="1"/>
  <c r="EN414" i="1" s="1"/>
  <c r="DR415" i="1"/>
  <c r="DT415" i="1"/>
  <c r="DV415" i="1" s="1"/>
  <c r="DP418" i="1"/>
  <c r="DP425" i="1"/>
  <c r="EE435" i="1"/>
  <c r="EL435" i="1" s="1"/>
  <c r="EN435" i="1" s="1"/>
  <c r="EE437" i="1"/>
  <c r="DX439" i="1"/>
  <c r="EE439" i="1" s="1"/>
  <c r="EL439" i="1" s="1"/>
  <c r="EN439" i="1" s="1"/>
  <c r="DP440" i="1"/>
  <c r="DR440" i="1" s="1"/>
  <c r="DT440" i="1" s="1"/>
  <c r="DV440" i="1" s="1"/>
  <c r="DX444" i="1"/>
  <c r="DX445" i="1"/>
  <c r="EE445" i="1" s="1"/>
  <c r="EL445" i="1" s="1"/>
  <c r="EN445" i="1" s="1"/>
  <c r="DP445" i="1"/>
  <c r="DR445" i="1" s="1"/>
  <c r="DT445" i="1" s="1"/>
  <c r="DV445" i="1" s="1"/>
  <c r="EE448" i="1"/>
  <c r="EL448" i="1" s="1"/>
  <c r="EN448" i="1" s="1"/>
  <c r="EL466" i="1"/>
  <c r="EN466" i="1" s="1"/>
  <c r="DP474" i="1"/>
  <c r="DR474" i="1" s="1"/>
  <c r="DT474" i="1" s="1"/>
  <c r="DV474" i="1" s="1"/>
  <c r="DX481" i="1"/>
  <c r="EE481" i="1" s="1"/>
  <c r="EL481" i="1" s="1"/>
  <c r="EN481" i="1" s="1"/>
  <c r="DP481" i="1"/>
  <c r="DR481" i="1" s="1"/>
  <c r="DT481" i="1" s="1"/>
  <c r="DV481" i="1" s="1"/>
  <c r="DN493" i="1"/>
  <c r="AW493" i="1"/>
  <c r="DP493" i="1"/>
  <c r="DR493" i="1" s="1"/>
  <c r="DT493" i="1" s="1"/>
  <c r="DV493" i="1" s="1"/>
  <c r="DH493" i="1"/>
  <c r="DL493" i="1" s="1"/>
  <c r="AQ494" i="1"/>
  <c r="DP498" i="1"/>
  <c r="DR498" i="1" s="1"/>
  <c r="DT498" i="1" s="1"/>
  <c r="DV498" i="1" s="1"/>
  <c r="DH498" i="1"/>
  <c r="DL498" i="1" s="1"/>
  <c r="AW498" i="1"/>
  <c r="DN498" i="1"/>
  <c r="AQ499" i="1"/>
  <c r="DP502" i="1"/>
  <c r="DR502" i="1" s="1"/>
  <c r="DT502" i="1" s="1"/>
  <c r="DV502" i="1" s="1"/>
  <c r="DH502" i="1"/>
  <c r="DL502" i="1" s="1"/>
  <c r="AW502" i="1"/>
  <c r="DN502" i="1"/>
  <c r="AQ503" i="1"/>
  <c r="DP504" i="1"/>
  <c r="DR504" i="1" s="1"/>
  <c r="DT504" i="1" s="1"/>
  <c r="DV504" i="1" s="1"/>
  <c r="DH504" i="1"/>
  <c r="DL504" i="1" s="1"/>
  <c r="AW504" i="1"/>
  <c r="DN504" i="1"/>
  <c r="AQ505" i="1"/>
  <c r="DP507" i="1"/>
  <c r="DR507" i="1" s="1"/>
  <c r="DT507" i="1" s="1"/>
  <c r="DV507" i="1" s="1"/>
  <c r="DH507" i="1"/>
  <c r="DL507" i="1" s="1"/>
  <c r="AW507" i="1"/>
  <c r="DN507" i="1"/>
  <c r="DX507" i="1" s="1"/>
  <c r="AQ508" i="1"/>
  <c r="AQ509" i="1"/>
  <c r="AQ510" i="1"/>
  <c r="AQ511" i="1"/>
  <c r="AQ512" i="1"/>
  <c r="AQ513" i="1"/>
  <c r="AQ514" i="1"/>
  <c r="AQ515" i="1"/>
  <c r="DP522" i="1"/>
  <c r="DR522" i="1" s="1"/>
  <c r="DT522" i="1" s="1"/>
  <c r="DV522" i="1" s="1"/>
  <c r="DH522" i="1"/>
  <c r="DL522" i="1" s="1"/>
  <c r="AW522" i="1"/>
  <c r="DN522" i="1"/>
  <c r="AQ523" i="1"/>
  <c r="DT233" i="1"/>
  <c r="DV233" i="1" s="1"/>
  <c r="DT248" i="1"/>
  <c r="DV248" i="1" s="1"/>
  <c r="DP341" i="1"/>
  <c r="DP342" i="1"/>
  <c r="EL346" i="1"/>
  <c r="EN346" i="1" s="1"/>
  <c r="EL347" i="1"/>
  <c r="EN347" i="1" s="1"/>
  <c r="EL348" i="1"/>
  <c r="EN348" i="1" s="1"/>
  <c r="EE349" i="1"/>
  <c r="EL349" i="1" s="1"/>
  <c r="EN349" i="1" s="1"/>
  <c r="EL353" i="1"/>
  <c r="EN353" i="1" s="1"/>
  <c r="EE355" i="1"/>
  <c r="EL355" i="1" s="1"/>
  <c r="EN355" i="1" s="1"/>
  <c r="EL356" i="1"/>
  <c r="EN356" i="1" s="1"/>
  <c r="DX359" i="1"/>
  <c r="EE359" i="1" s="1"/>
  <c r="EL359" i="1" s="1"/>
  <c r="EN359" i="1" s="1"/>
  <c r="EE363" i="1"/>
  <c r="EL363" i="1" s="1"/>
  <c r="EN363" i="1" s="1"/>
  <c r="EL364" i="1"/>
  <c r="EN364" i="1" s="1"/>
  <c r="EL365" i="1"/>
  <c r="EN365" i="1" s="1"/>
  <c r="EL366" i="1"/>
  <c r="EN366" i="1" s="1"/>
  <c r="EL367" i="1"/>
  <c r="EN367" i="1" s="1"/>
  <c r="EL368" i="1"/>
  <c r="EN368" i="1" s="1"/>
  <c r="EL373" i="1"/>
  <c r="EN373" i="1" s="1"/>
  <c r="EL384" i="1"/>
  <c r="EN384" i="1" s="1"/>
  <c r="EE389" i="1"/>
  <c r="EL389" i="1" s="1"/>
  <c r="EN389" i="1" s="1"/>
  <c r="EL391" i="1"/>
  <c r="EN391" i="1" s="1"/>
  <c r="EL392" i="1"/>
  <c r="EN392" i="1" s="1"/>
  <c r="EE392" i="1"/>
  <c r="EE394" i="1"/>
  <c r="DX396" i="1"/>
  <c r="EE396" i="1" s="1"/>
  <c r="EL396" i="1" s="1"/>
  <c r="EN396" i="1" s="1"/>
  <c r="DX398" i="1"/>
  <c r="EE398" i="1" s="1"/>
  <c r="EL398" i="1" s="1"/>
  <c r="EN398" i="1" s="1"/>
  <c r="DX400" i="1"/>
  <c r="EE400" i="1" s="1"/>
  <c r="EL400" i="1" s="1"/>
  <c r="EN400" i="1" s="1"/>
  <c r="DP401" i="1"/>
  <c r="DP404" i="1"/>
  <c r="DP406" i="1"/>
  <c r="EE410" i="1"/>
  <c r="EL410" i="1" s="1"/>
  <c r="EN410" i="1" s="1"/>
  <c r="DX410" i="1"/>
  <c r="EE413" i="1"/>
  <c r="EL413" i="1" s="1"/>
  <c r="EN413" i="1" s="1"/>
  <c r="DX420" i="1"/>
  <c r="EE420" i="1" s="1"/>
  <c r="EL420" i="1" s="1"/>
  <c r="EN420" i="1" s="1"/>
  <c r="EE421" i="1"/>
  <c r="EL421" i="1" s="1"/>
  <c r="EN421" i="1" s="1"/>
  <c r="DX421" i="1"/>
  <c r="DX422" i="1"/>
  <c r="EE422" i="1" s="1"/>
  <c r="EL422" i="1" s="1"/>
  <c r="EN422" i="1" s="1"/>
  <c r="DX423" i="1"/>
  <c r="EE423" i="1" s="1"/>
  <c r="EL423" i="1" s="1"/>
  <c r="EN423" i="1" s="1"/>
  <c r="DX426" i="1"/>
  <c r="DX427" i="1"/>
  <c r="EE427" i="1" s="1"/>
  <c r="EL427" i="1" s="1"/>
  <c r="EN427" i="1" s="1"/>
  <c r="EL428" i="1"/>
  <c r="EN428" i="1" s="1"/>
  <c r="EE428" i="1"/>
  <c r="EL429" i="1"/>
  <c r="EN429" i="1" s="1"/>
  <c r="EE429" i="1"/>
  <c r="DX430" i="1"/>
  <c r="EE430" i="1" s="1"/>
  <c r="EL430" i="1" s="1"/>
  <c r="EN430" i="1" s="1"/>
  <c r="DP430" i="1"/>
  <c r="DX431" i="1"/>
  <c r="EE431" i="1" s="1"/>
  <c r="EL431" i="1" s="1"/>
  <c r="EN431" i="1" s="1"/>
  <c r="DP431" i="1"/>
  <c r="DX432" i="1"/>
  <c r="EE432" i="1" s="1"/>
  <c r="EL432" i="1" s="1"/>
  <c r="EN432" i="1" s="1"/>
  <c r="DP432" i="1"/>
  <c r="EE433" i="1"/>
  <c r="EL433" i="1" s="1"/>
  <c r="EN433" i="1" s="1"/>
  <c r="EL437" i="1"/>
  <c r="EN437" i="1" s="1"/>
  <c r="EE438" i="1"/>
  <c r="EL438" i="1" s="1"/>
  <c r="EN438" i="1" s="1"/>
  <c r="DX441" i="1"/>
  <c r="EE441" i="1" s="1"/>
  <c r="EL441" i="1" s="1"/>
  <c r="EN441" i="1" s="1"/>
  <c r="DP442" i="1"/>
  <c r="DR442" i="1" s="1"/>
  <c r="DT442" i="1" s="1"/>
  <c r="DV442" i="1" s="1"/>
  <c r="DX443" i="1"/>
  <c r="EE443" i="1" s="1"/>
  <c r="EL443" i="1" s="1"/>
  <c r="EN443" i="1" s="1"/>
  <c r="EL444" i="1"/>
  <c r="EN444" i="1" s="1"/>
  <c r="DX446" i="1"/>
  <c r="EE446" i="1" s="1"/>
  <c r="EL446" i="1" s="1"/>
  <c r="EN446" i="1" s="1"/>
  <c r="DP447" i="1"/>
  <c r="DR447" i="1" s="1"/>
  <c r="DT447" i="1" s="1"/>
  <c r="DV447" i="1" s="1"/>
  <c r="DX450" i="1"/>
  <c r="EE450" i="1" s="1"/>
  <c r="EL450" i="1" s="1"/>
  <c r="EN450" i="1" s="1"/>
  <c r="DP450" i="1"/>
  <c r="DR450" i="1" s="1"/>
  <c r="DT450" i="1" s="1"/>
  <c r="DV450" i="1" s="1"/>
  <c r="DR475" i="1"/>
  <c r="DT475" i="1"/>
  <c r="DV475" i="1" s="1"/>
  <c r="DP482" i="1"/>
  <c r="DR482" i="1" s="1"/>
  <c r="DT482" i="1" s="1"/>
  <c r="DV482" i="1" s="1"/>
  <c r="DH482" i="1"/>
  <c r="DL482" i="1" s="1"/>
  <c r="DN482" i="1"/>
  <c r="AW482" i="1"/>
  <c r="DN483" i="1"/>
  <c r="DP483" i="1"/>
  <c r="DR483" i="1" s="1"/>
  <c r="DT483" i="1" s="1"/>
  <c r="DV483" i="1" s="1"/>
  <c r="AW483" i="1"/>
  <c r="DH483" i="1"/>
  <c r="DL483" i="1" s="1"/>
  <c r="DT340" i="1"/>
  <c r="DV340" i="1" s="1"/>
  <c r="DT397" i="1"/>
  <c r="DV397" i="1" s="1"/>
  <c r="DT399" i="1"/>
  <c r="DV399" i="1" s="1"/>
  <c r="DT403" i="1"/>
  <c r="DV403" i="1" s="1"/>
  <c r="DT408" i="1"/>
  <c r="DV408" i="1" s="1"/>
  <c r="DT419" i="1"/>
  <c r="DV419" i="1" s="1"/>
  <c r="DX451" i="1"/>
  <c r="EE451" i="1" s="1"/>
  <c r="EL451" i="1" s="1"/>
  <c r="EN451" i="1" s="1"/>
  <c r="DP452" i="1"/>
  <c r="DR452" i="1" s="1"/>
  <c r="DT452" i="1" s="1"/>
  <c r="DV452" i="1" s="1"/>
  <c r="DP453" i="1"/>
  <c r="DR453" i="1" s="1"/>
  <c r="DT453" i="1" s="1"/>
  <c r="DV453" i="1" s="1"/>
  <c r="DP454" i="1"/>
  <c r="DR454" i="1" s="1"/>
  <c r="DT454" i="1" s="1"/>
  <c r="DV454" i="1" s="1"/>
  <c r="DP455" i="1"/>
  <c r="DR455" i="1" s="1"/>
  <c r="DT455" i="1" s="1"/>
  <c r="DV455" i="1" s="1"/>
  <c r="DP456" i="1"/>
  <c r="DR456" i="1" s="1"/>
  <c r="DT456" i="1" s="1"/>
  <c r="DV456" i="1" s="1"/>
  <c r="DP457" i="1"/>
  <c r="DR457" i="1" s="1"/>
  <c r="DT457" i="1" s="1"/>
  <c r="DV457" i="1" s="1"/>
  <c r="DP458" i="1"/>
  <c r="DR458" i="1" s="1"/>
  <c r="DT458" i="1" s="1"/>
  <c r="DV458" i="1" s="1"/>
  <c r="DP459" i="1"/>
  <c r="DR459" i="1" s="1"/>
  <c r="DT459" i="1" s="1"/>
  <c r="DV459" i="1" s="1"/>
  <c r="DP460" i="1"/>
  <c r="DR460" i="1" s="1"/>
  <c r="DT460" i="1" s="1"/>
  <c r="DV460" i="1" s="1"/>
  <c r="DP461" i="1"/>
  <c r="DR461" i="1" s="1"/>
  <c r="DT461" i="1" s="1"/>
  <c r="DV461" i="1" s="1"/>
  <c r="DP462" i="1"/>
  <c r="DR462" i="1" s="1"/>
  <c r="DT462" i="1" s="1"/>
  <c r="DV462" i="1" s="1"/>
  <c r="DP463" i="1"/>
  <c r="DR463" i="1" s="1"/>
  <c r="DT463" i="1" s="1"/>
  <c r="DV463" i="1" s="1"/>
  <c r="DX464" i="1"/>
  <c r="EE464" i="1" s="1"/>
  <c r="EL464" i="1" s="1"/>
  <c r="EN464" i="1" s="1"/>
  <c r="EE466" i="1"/>
  <c r="EE468" i="1"/>
  <c r="EL468" i="1" s="1"/>
  <c r="EN468" i="1" s="1"/>
  <c r="EE470" i="1"/>
  <c r="EL470" i="1" s="1"/>
  <c r="EN470" i="1" s="1"/>
  <c r="EL472" i="1"/>
  <c r="EN472" i="1" s="1"/>
  <c r="EE476" i="1"/>
  <c r="DP520" i="1"/>
  <c r="DR520" i="1" s="1"/>
  <c r="DT520" i="1" s="1"/>
  <c r="DV520" i="1" s="1"/>
  <c r="DH520" i="1"/>
  <c r="DL520" i="1" s="1"/>
  <c r="AW520" i="1"/>
  <c r="DN520" i="1"/>
  <c r="AQ521" i="1"/>
  <c r="DP524" i="1"/>
  <c r="DR524" i="1" s="1"/>
  <c r="DT524" i="1" s="1"/>
  <c r="DV524" i="1" s="1"/>
  <c r="DH524" i="1"/>
  <c r="DL524" i="1" s="1"/>
  <c r="AW524" i="1"/>
  <c r="AW525" i="1"/>
  <c r="DP525" i="1"/>
  <c r="DR525" i="1" s="1"/>
  <c r="DT525" i="1" s="1"/>
  <c r="DV525" i="1" s="1"/>
  <c r="DP526" i="1"/>
  <c r="DR526" i="1" s="1"/>
  <c r="DT526" i="1" s="1"/>
  <c r="DV526" i="1" s="1"/>
  <c r="DH526" i="1"/>
  <c r="DL526" i="1" s="1"/>
  <c r="AW526" i="1"/>
  <c r="AW527" i="1"/>
  <c r="DP527" i="1"/>
  <c r="DR527" i="1" s="1"/>
  <c r="DT527" i="1" s="1"/>
  <c r="DV527" i="1" s="1"/>
  <c r="AQ528" i="1"/>
  <c r="AQ530" i="1"/>
  <c r="AQ532" i="1"/>
  <c r="DN534" i="1"/>
  <c r="AW534" i="1"/>
  <c r="AW535" i="1"/>
  <c r="DP535" i="1"/>
  <c r="DR535" i="1" s="1"/>
  <c r="DT535" i="1" s="1"/>
  <c r="DV535" i="1" s="1"/>
  <c r="DH536" i="1"/>
  <c r="DL536" i="1" s="1"/>
  <c r="AW536" i="1"/>
  <c r="AW537" i="1"/>
  <c r="DP537" i="1"/>
  <c r="DR537" i="1" s="1"/>
  <c r="DT537" i="1" s="1"/>
  <c r="DV537" i="1" s="1"/>
  <c r="AQ538" i="1"/>
  <c r="DP541" i="1"/>
  <c r="DR541" i="1" s="1"/>
  <c r="DT541" i="1" s="1"/>
  <c r="DV541" i="1" s="1"/>
  <c r="DP544" i="1"/>
  <c r="DR544" i="1" s="1"/>
  <c r="DT544" i="1" s="1"/>
  <c r="DV544" i="1" s="1"/>
  <c r="DP546" i="1"/>
  <c r="DR546" i="1" s="1"/>
  <c r="DT546" i="1" s="1"/>
  <c r="DV546" i="1" s="1"/>
  <c r="DP548" i="1"/>
  <c r="DR548" i="1" s="1"/>
  <c r="DT548" i="1" s="1"/>
  <c r="DV548" i="1" s="1"/>
  <c r="DP550" i="1"/>
  <c r="DR550" i="1" s="1"/>
  <c r="DT550" i="1" s="1"/>
  <c r="DV550" i="1" s="1"/>
  <c r="DP552" i="1"/>
  <c r="DR552" i="1" s="1"/>
  <c r="DT552" i="1" s="1"/>
  <c r="DV552" i="1" s="1"/>
  <c r="DH557" i="1"/>
  <c r="DL557" i="1" s="1"/>
  <c r="AW557" i="1"/>
  <c r="DN557" i="1"/>
  <c r="AQ558" i="1"/>
  <c r="DH561" i="1"/>
  <c r="DL561" i="1" s="1"/>
  <c r="AW561" i="1"/>
  <c r="DN561" i="1"/>
  <c r="AQ562" i="1"/>
  <c r="DH577" i="1"/>
  <c r="DL577" i="1" s="1"/>
  <c r="DN577" i="1"/>
  <c r="AW577" i="1"/>
  <c r="AQ484" i="1"/>
  <c r="AQ485" i="1"/>
  <c r="AQ486" i="1"/>
  <c r="AQ487" i="1"/>
  <c r="AQ488" i="1"/>
  <c r="AQ489" i="1"/>
  <c r="AQ490" i="1"/>
  <c r="AQ491" i="1"/>
  <c r="AQ492" i="1"/>
  <c r="AQ495" i="1"/>
  <c r="AQ496" i="1"/>
  <c r="AQ497" i="1"/>
  <c r="AQ500" i="1"/>
  <c r="AQ501" i="1"/>
  <c r="AQ506" i="1"/>
  <c r="AQ516" i="1"/>
  <c r="AQ517" i="1"/>
  <c r="AQ518" i="1"/>
  <c r="AQ519" i="1"/>
  <c r="DN524" i="1"/>
  <c r="DX524" i="1" s="1"/>
  <c r="DH525" i="1"/>
  <c r="DL525" i="1" s="1"/>
  <c r="DN526" i="1"/>
  <c r="DX526" i="1" s="1"/>
  <c r="DH527" i="1"/>
  <c r="DL527" i="1" s="1"/>
  <c r="AQ529" i="1"/>
  <c r="AQ531" i="1"/>
  <c r="AQ533" i="1"/>
  <c r="DH534" i="1"/>
  <c r="DL534" i="1" s="1"/>
  <c r="DH535" i="1"/>
  <c r="DL535" i="1" s="1"/>
  <c r="DN536" i="1"/>
  <c r="DH537" i="1"/>
  <c r="DL537" i="1" s="1"/>
  <c r="DP539" i="1"/>
  <c r="DR539" i="1" s="1"/>
  <c r="DT539" i="1" s="1"/>
  <c r="DV539" i="1" s="1"/>
  <c r="DH539" i="1"/>
  <c r="DL539" i="1" s="1"/>
  <c r="AW539" i="1"/>
  <c r="AQ540" i="1"/>
  <c r="DH541" i="1"/>
  <c r="DL541" i="1" s="1"/>
  <c r="AW541" i="1"/>
  <c r="AQ542" i="1"/>
  <c r="AQ543" i="1"/>
  <c r="DH544" i="1"/>
  <c r="DL544" i="1" s="1"/>
  <c r="AW544" i="1"/>
  <c r="AQ545" i="1"/>
  <c r="DH546" i="1"/>
  <c r="DL546" i="1" s="1"/>
  <c r="AW546" i="1"/>
  <c r="AQ547" i="1"/>
  <c r="DH548" i="1"/>
  <c r="DL548" i="1" s="1"/>
  <c r="AW548" i="1"/>
  <c r="AQ549" i="1"/>
  <c r="DH550" i="1"/>
  <c r="DL550" i="1" s="1"/>
  <c r="AW550" i="1"/>
  <c r="AQ551" i="1"/>
  <c r="DH552" i="1"/>
  <c r="DL552" i="1" s="1"/>
  <c r="AW552" i="1"/>
  <c r="AQ553" i="1"/>
  <c r="DH554" i="1"/>
  <c r="DL554" i="1" s="1"/>
  <c r="AW554" i="1"/>
  <c r="DN554" i="1"/>
  <c r="AQ555" i="1"/>
  <c r="DH559" i="1"/>
  <c r="DL559" i="1" s="1"/>
  <c r="AW559" i="1"/>
  <c r="DN559" i="1"/>
  <c r="AQ560" i="1"/>
  <c r="DP585" i="1"/>
  <c r="DR585" i="1" s="1"/>
  <c r="DT585" i="1" s="1"/>
  <c r="DV585" i="1" s="1"/>
  <c r="DH585" i="1"/>
  <c r="DL585" i="1" s="1"/>
  <c r="DN585" i="1"/>
  <c r="AW585" i="1"/>
  <c r="DH563" i="1"/>
  <c r="DL563" i="1" s="1"/>
  <c r="AW563" i="1"/>
  <c r="AW564" i="1"/>
  <c r="DP564" i="1"/>
  <c r="DR564" i="1" s="1"/>
  <c r="DT564" i="1" s="1"/>
  <c r="DV564" i="1" s="1"/>
  <c r="DH565" i="1"/>
  <c r="DL565" i="1" s="1"/>
  <c r="AW565" i="1"/>
  <c r="AW566" i="1"/>
  <c r="DP566" i="1"/>
  <c r="DR566" i="1" s="1"/>
  <c r="DT566" i="1" s="1"/>
  <c r="DV566" i="1" s="1"/>
  <c r="DH567" i="1"/>
  <c r="DL567" i="1" s="1"/>
  <c r="AW567" i="1"/>
  <c r="AW568" i="1"/>
  <c r="DP568" i="1"/>
  <c r="DR568" i="1" s="1"/>
  <c r="DT568" i="1" s="1"/>
  <c r="DV568" i="1" s="1"/>
  <c r="DH569" i="1"/>
  <c r="DL569" i="1" s="1"/>
  <c r="AW569" i="1"/>
  <c r="AW570" i="1"/>
  <c r="DP570" i="1"/>
  <c r="DR570" i="1" s="1"/>
  <c r="DT570" i="1" s="1"/>
  <c r="DV570" i="1" s="1"/>
  <c r="DH571" i="1"/>
  <c r="DL571" i="1" s="1"/>
  <c r="AW571" i="1"/>
  <c r="AW572" i="1"/>
  <c r="DP572" i="1"/>
  <c r="DR572" i="1" s="1"/>
  <c r="DT572" i="1" s="1"/>
  <c r="DV572" i="1" s="1"/>
  <c r="DH573" i="1"/>
  <c r="DL573" i="1" s="1"/>
  <c r="AW573" i="1"/>
  <c r="AW574" i="1"/>
  <c r="DP574" i="1"/>
  <c r="DR574" i="1" s="1"/>
  <c r="DT574" i="1" s="1"/>
  <c r="DV574" i="1" s="1"/>
  <c r="DN575" i="1"/>
  <c r="AW575" i="1"/>
  <c r="AW576" i="1"/>
  <c r="DN576" i="1"/>
  <c r="AW578" i="1"/>
  <c r="DP578" i="1"/>
  <c r="DR578" i="1" s="1"/>
  <c r="DT578" i="1" s="1"/>
  <c r="DV578" i="1" s="1"/>
  <c r="DH579" i="1"/>
  <c r="DL579" i="1" s="1"/>
  <c r="AW579" i="1"/>
  <c r="DN579" i="1"/>
  <c r="DP583" i="1"/>
  <c r="DR583" i="1" s="1"/>
  <c r="DT583" i="1" s="1"/>
  <c r="DV583" i="1" s="1"/>
  <c r="DH583" i="1"/>
  <c r="DL583" i="1" s="1"/>
  <c r="AW583" i="1"/>
  <c r="DN583" i="1"/>
  <c r="DP586" i="1"/>
  <c r="DH586" i="1"/>
  <c r="DL586" i="1" s="1"/>
  <c r="AW586" i="1"/>
  <c r="DN586" i="1"/>
  <c r="AW591" i="1"/>
  <c r="DP591" i="1"/>
  <c r="DR591" i="1" s="1"/>
  <c r="DT591" i="1" s="1"/>
  <c r="DV591" i="1" s="1"/>
  <c r="AQ592" i="1"/>
  <c r="DP593" i="1"/>
  <c r="DR593" i="1" s="1"/>
  <c r="DT593" i="1" s="1"/>
  <c r="DV593" i="1" s="1"/>
  <c r="DP595" i="1"/>
  <c r="DR595" i="1" s="1"/>
  <c r="DT595" i="1" s="1"/>
  <c r="DV595" i="1" s="1"/>
  <c r="DP597" i="1"/>
  <c r="DR597" i="1" s="1"/>
  <c r="DT597" i="1" s="1"/>
  <c r="DV597" i="1" s="1"/>
  <c r="DP599" i="1"/>
  <c r="DR599" i="1" s="1"/>
  <c r="DT599" i="1" s="1"/>
  <c r="DV599" i="1" s="1"/>
  <c r="DP601" i="1"/>
  <c r="DR601" i="1" s="1"/>
  <c r="DT601" i="1" s="1"/>
  <c r="DV601" i="1" s="1"/>
  <c r="AQ617" i="1"/>
  <c r="DX620" i="1"/>
  <c r="AQ556" i="1"/>
  <c r="DN563" i="1"/>
  <c r="DH564" i="1"/>
  <c r="DL564" i="1" s="1"/>
  <c r="DN565" i="1"/>
  <c r="DH566" i="1"/>
  <c r="DL566" i="1" s="1"/>
  <c r="DN567" i="1"/>
  <c r="DH568" i="1"/>
  <c r="DL568" i="1" s="1"/>
  <c r="DN569" i="1"/>
  <c r="DH570" i="1"/>
  <c r="DL570" i="1" s="1"/>
  <c r="DN571" i="1"/>
  <c r="DH572" i="1"/>
  <c r="DL572" i="1" s="1"/>
  <c r="DN573" i="1"/>
  <c r="DH574" i="1"/>
  <c r="DL574" i="1" s="1"/>
  <c r="DH575" i="1"/>
  <c r="DL575" i="1" s="1"/>
  <c r="DH578" i="1"/>
  <c r="DL578" i="1" s="1"/>
  <c r="AQ580" i="1"/>
  <c r="DP581" i="1"/>
  <c r="DH581" i="1"/>
  <c r="DL581" i="1" s="1"/>
  <c r="AW581" i="1"/>
  <c r="AQ582" i="1"/>
  <c r="AQ584" i="1"/>
  <c r="AQ587" i="1"/>
  <c r="DP588" i="1"/>
  <c r="DR588" i="1" s="1"/>
  <c r="DT588" i="1" s="1"/>
  <c r="DV588" i="1" s="1"/>
  <c r="DH588" i="1"/>
  <c r="DL588" i="1" s="1"/>
  <c r="AW588" i="1"/>
  <c r="AQ589" i="1"/>
  <c r="DH590" i="1"/>
  <c r="DL590" i="1" s="1"/>
  <c r="AW590" i="1"/>
  <c r="DN590" i="1"/>
  <c r="DH591" i="1"/>
  <c r="DL591" i="1" s="1"/>
  <c r="AQ594" i="1"/>
  <c r="AQ596" i="1"/>
  <c r="AQ598" i="1"/>
  <c r="AQ600" i="1"/>
  <c r="AQ602" i="1"/>
  <c r="DH604" i="1"/>
  <c r="DL604" i="1" s="1"/>
  <c r="AW604" i="1"/>
  <c r="DN604" i="1"/>
  <c r="AW607" i="1"/>
  <c r="DP607" i="1"/>
  <c r="DR607" i="1" s="1"/>
  <c r="DT607" i="1" s="1"/>
  <c r="DV607" i="1" s="1"/>
  <c r="DH608" i="1"/>
  <c r="DL608" i="1" s="1"/>
  <c r="AW608" i="1"/>
  <c r="DN608" i="1"/>
  <c r="AW611" i="1"/>
  <c r="DH611" i="1"/>
  <c r="DL611" i="1" s="1"/>
  <c r="AW613" i="1"/>
  <c r="DH613" i="1"/>
  <c r="DL613" i="1" s="1"/>
  <c r="AW615" i="1"/>
  <c r="DH615" i="1"/>
  <c r="DL615" i="1" s="1"/>
  <c r="AQ616" i="1"/>
  <c r="DP621" i="1"/>
  <c r="DR621" i="1" s="1"/>
  <c r="DT621" i="1" s="1"/>
  <c r="DV621" i="1" s="1"/>
  <c r="DP622" i="1"/>
  <c r="DR622" i="1" s="1"/>
  <c r="DT622" i="1" s="1"/>
  <c r="DV622" i="1" s="1"/>
  <c r="DX623" i="1"/>
  <c r="AQ624" i="1"/>
  <c r="DH593" i="1"/>
  <c r="DL593" i="1" s="1"/>
  <c r="AW593" i="1"/>
  <c r="DH595" i="1"/>
  <c r="DL595" i="1" s="1"/>
  <c r="AW595" i="1"/>
  <c r="DH597" i="1"/>
  <c r="DL597" i="1" s="1"/>
  <c r="AW597" i="1"/>
  <c r="DH599" i="1"/>
  <c r="DL599" i="1" s="1"/>
  <c r="AW599" i="1"/>
  <c r="DH601" i="1"/>
  <c r="DL601" i="1" s="1"/>
  <c r="AW601" i="1"/>
  <c r="AQ603" i="1"/>
  <c r="AQ605" i="1"/>
  <c r="DH606" i="1"/>
  <c r="DL606" i="1" s="1"/>
  <c r="AW606" i="1"/>
  <c r="DN606" i="1"/>
  <c r="DH607" i="1"/>
  <c r="DL607" i="1" s="1"/>
  <c r="AQ609" i="1"/>
  <c r="DH610" i="1"/>
  <c r="DL610" i="1" s="1"/>
  <c r="AW610" i="1"/>
  <c r="DN610" i="1"/>
  <c r="DP611" i="1"/>
  <c r="DR611" i="1" s="1"/>
  <c r="DT611" i="1" s="1"/>
  <c r="DV611" i="1" s="1"/>
  <c r="DH612" i="1"/>
  <c r="DL612" i="1" s="1"/>
  <c r="AW612" i="1"/>
  <c r="DN612" i="1"/>
  <c r="DP613" i="1"/>
  <c r="DR613" i="1" s="1"/>
  <c r="DT613" i="1" s="1"/>
  <c r="DV613" i="1" s="1"/>
  <c r="DH614" i="1"/>
  <c r="DL614" i="1" s="1"/>
  <c r="AW614" i="1"/>
  <c r="DN614" i="1"/>
  <c r="DP615" i="1"/>
  <c r="DR615" i="1" s="1"/>
  <c r="DT615" i="1" s="1"/>
  <c r="DV615" i="1" s="1"/>
  <c r="DP618" i="1"/>
  <c r="DR618" i="1" s="1"/>
  <c r="DT618" i="1" s="1"/>
  <c r="DV618" i="1" s="1"/>
  <c r="DP619" i="1"/>
  <c r="DR619" i="1" s="1"/>
  <c r="DT619" i="1" s="1"/>
  <c r="DV619" i="1" s="1"/>
  <c r="DP620" i="1"/>
  <c r="DR620" i="1" s="1"/>
  <c r="DT620" i="1" s="1"/>
  <c r="DV620" i="1" s="1"/>
  <c r="EE640" i="1"/>
  <c r="EL640" i="1" s="1"/>
  <c r="EN640" i="1" s="1"/>
  <c r="EE642" i="1"/>
  <c r="EL642" i="1" s="1"/>
  <c r="EN642" i="1" s="1"/>
  <c r="EE644" i="1"/>
  <c r="EL644" i="1" s="1"/>
  <c r="EN644" i="1" s="1"/>
  <c r="EL646" i="1"/>
  <c r="EN646" i="1" s="1"/>
  <c r="CR647" i="1"/>
  <c r="EE647" i="1" s="1"/>
  <c r="EL647" i="1" s="1"/>
  <c r="EN647" i="1" s="1"/>
  <c r="EL649" i="1"/>
  <c r="EN649" i="1" s="1"/>
  <c r="EL651" i="1"/>
  <c r="EN651" i="1" s="1"/>
  <c r="EE652" i="1"/>
  <c r="EL652" i="1" s="1"/>
  <c r="EN652" i="1" s="1"/>
  <c r="EE654" i="1"/>
  <c r="EL654" i="1" s="1"/>
  <c r="EN654" i="1" s="1"/>
  <c r="EE663" i="1"/>
  <c r="EL663" i="1" s="1"/>
  <c r="EN663" i="1" s="1"/>
  <c r="EE655" i="1"/>
  <c r="EL655" i="1" s="1"/>
  <c r="EN655" i="1" s="1"/>
  <c r="EE657" i="1"/>
  <c r="EL657" i="1" s="1"/>
  <c r="EN657" i="1" s="1"/>
  <c r="EE659" i="1"/>
  <c r="EL659" i="1" s="1"/>
  <c r="EN659" i="1" s="1"/>
  <c r="EL662" i="1"/>
  <c r="EN662" i="1" s="1"/>
  <c r="EE664" i="1"/>
  <c r="EL664" i="1" s="1"/>
  <c r="EN664" i="1" s="1"/>
  <c r="EE666" i="1"/>
  <c r="EL666" i="1" s="1"/>
  <c r="EN666" i="1" s="1"/>
  <c r="EL667" i="1"/>
  <c r="EN667" i="1" s="1"/>
  <c r="EL668" i="1"/>
  <c r="EN668" i="1" s="1"/>
  <c r="EE670" i="1"/>
  <c r="EL670" i="1" s="1"/>
  <c r="EN670" i="1" s="1"/>
  <c r="EL692" i="1"/>
  <c r="EN692" i="1" s="1"/>
  <c r="EL694" i="1"/>
  <c r="EN694" i="1" s="1"/>
  <c r="EL696" i="1"/>
  <c r="EN696" i="1" s="1"/>
  <c r="EL698" i="1"/>
  <c r="EN698" i="1" s="1"/>
  <c r="EL699" i="1"/>
  <c r="EN699" i="1" s="1"/>
  <c r="EL700" i="1"/>
  <c r="EN700" i="1" s="1"/>
  <c r="EL703" i="1"/>
  <c r="EN703" i="1" s="1"/>
  <c r="EL709" i="1"/>
  <c r="EN709" i="1" s="1"/>
  <c r="EL704" i="1"/>
  <c r="EN704" i="1" s="1"/>
  <c r="EL706" i="1"/>
  <c r="EN706" i="1" s="1"/>
  <c r="DX552" i="1" l="1"/>
  <c r="DX544" i="1"/>
  <c r="EE535" i="1"/>
  <c r="EL535" i="1" s="1"/>
  <c r="EN535" i="1" s="1"/>
  <c r="DX535" i="1"/>
  <c r="DX522" i="1"/>
  <c r="DX607" i="1"/>
  <c r="EE607" i="1" s="1"/>
  <c r="EL607" i="1" s="1"/>
  <c r="EN607" i="1" s="1"/>
  <c r="DX601" i="1"/>
  <c r="DX599" i="1"/>
  <c r="EE599" i="1" s="1"/>
  <c r="EL599" i="1" s="1"/>
  <c r="EN599" i="1" s="1"/>
  <c r="DX597" i="1"/>
  <c r="DX595" i="1"/>
  <c r="EE595" i="1" s="1"/>
  <c r="EL595" i="1" s="1"/>
  <c r="EN595" i="1" s="1"/>
  <c r="DX593" i="1"/>
  <c r="DX548" i="1"/>
  <c r="EE260" i="1"/>
  <c r="EL260" i="1" s="1"/>
  <c r="EN260" i="1" s="1"/>
  <c r="EE314" i="1"/>
  <c r="EL314" i="1" s="1"/>
  <c r="EN314" i="1" s="1"/>
  <c r="DP610" i="1"/>
  <c r="DR610" i="1" s="1"/>
  <c r="DT610" i="1" s="1"/>
  <c r="DV610" i="1" s="1"/>
  <c r="DN605" i="1"/>
  <c r="AW605" i="1"/>
  <c r="DH605" i="1"/>
  <c r="DL605" i="1" s="1"/>
  <c r="DX611" i="1"/>
  <c r="DN589" i="1"/>
  <c r="AW589" i="1"/>
  <c r="DH589" i="1"/>
  <c r="DL589" i="1" s="1"/>
  <c r="DP584" i="1"/>
  <c r="DR584" i="1" s="1"/>
  <c r="DT584" i="1" s="1"/>
  <c r="DV584" i="1" s="1"/>
  <c r="DH584" i="1"/>
  <c r="DL584" i="1" s="1"/>
  <c r="AW584" i="1"/>
  <c r="DN584" i="1"/>
  <c r="DN582" i="1"/>
  <c r="DH582" i="1"/>
  <c r="DL582" i="1" s="1"/>
  <c r="AW582" i="1"/>
  <c r="DP582" i="1"/>
  <c r="DT581" i="1"/>
  <c r="DV581" i="1" s="1"/>
  <c r="DR581" i="1"/>
  <c r="DX565" i="1"/>
  <c r="DP565" i="1"/>
  <c r="DR565" i="1" s="1"/>
  <c r="DT565" i="1" s="1"/>
  <c r="DV565" i="1" s="1"/>
  <c r="DX579" i="1"/>
  <c r="DP579" i="1"/>
  <c r="DR579" i="1" s="1"/>
  <c r="DT579" i="1" s="1"/>
  <c r="DV579" i="1" s="1"/>
  <c r="EE565" i="1"/>
  <c r="EL565" i="1" s="1"/>
  <c r="EN565" i="1" s="1"/>
  <c r="DX585" i="1"/>
  <c r="DN555" i="1"/>
  <c r="DX555" i="1" s="1"/>
  <c r="DP555" i="1"/>
  <c r="DR555" i="1" s="1"/>
  <c r="DT555" i="1" s="1"/>
  <c r="DV555" i="1" s="1"/>
  <c r="DH555" i="1"/>
  <c r="DL555" i="1" s="1"/>
  <c r="AW555" i="1"/>
  <c r="DX554" i="1"/>
  <c r="DP554" i="1"/>
  <c r="DR554" i="1" s="1"/>
  <c r="DT554" i="1" s="1"/>
  <c r="DV554" i="1" s="1"/>
  <c r="DN531" i="1"/>
  <c r="AW531" i="1"/>
  <c r="DH531" i="1"/>
  <c r="DL531" i="1" s="1"/>
  <c r="DN517" i="1"/>
  <c r="AW517" i="1"/>
  <c r="DP517" i="1"/>
  <c r="DR517" i="1" s="1"/>
  <c r="DT517" i="1" s="1"/>
  <c r="DV517" i="1" s="1"/>
  <c r="DH517" i="1"/>
  <c r="DL517" i="1" s="1"/>
  <c r="DP496" i="1"/>
  <c r="DR496" i="1" s="1"/>
  <c r="DT496" i="1" s="1"/>
  <c r="DV496" i="1" s="1"/>
  <c r="DH496" i="1"/>
  <c r="DL496" i="1" s="1"/>
  <c r="AW496" i="1"/>
  <c r="DN496" i="1"/>
  <c r="DX496" i="1" s="1"/>
  <c r="DN490" i="1"/>
  <c r="AW490" i="1"/>
  <c r="DP490" i="1"/>
  <c r="DR490" i="1" s="1"/>
  <c r="DT490" i="1" s="1"/>
  <c r="DV490" i="1" s="1"/>
  <c r="DH490" i="1"/>
  <c r="DL490" i="1" s="1"/>
  <c r="DX572" i="1"/>
  <c r="DN530" i="1"/>
  <c r="AW530" i="1"/>
  <c r="DH530" i="1"/>
  <c r="DL530" i="1" s="1"/>
  <c r="DN528" i="1"/>
  <c r="AW528" i="1"/>
  <c r="DP528" i="1"/>
  <c r="DR528" i="1" s="1"/>
  <c r="DT528" i="1" s="1"/>
  <c r="DV528" i="1" s="1"/>
  <c r="DH528" i="1"/>
  <c r="DL528" i="1" s="1"/>
  <c r="DX419" i="1"/>
  <c r="EE419" i="1" s="1"/>
  <c r="EL419" i="1" s="1"/>
  <c r="EN419" i="1" s="1"/>
  <c r="DP514" i="1"/>
  <c r="DR514" i="1" s="1"/>
  <c r="DT514" i="1" s="1"/>
  <c r="DV514" i="1" s="1"/>
  <c r="DH514" i="1"/>
  <c r="DL514" i="1" s="1"/>
  <c r="DN514" i="1"/>
  <c r="DX514" i="1" s="1"/>
  <c r="AW514" i="1"/>
  <c r="DP512" i="1"/>
  <c r="DR512" i="1" s="1"/>
  <c r="DT512" i="1" s="1"/>
  <c r="DV512" i="1" s="1"/>
  <c r="DH512" i="1"/>
  <c r="DL512" i="1" s="1"/>
  <c r="DN512" i="1"/>
  <c r="DX512" i="1" s="1"/>
  <c r="AW512" i="1"/>
  <c r="DP510" i="1"/>
  <c r="DR510" i="1" s="1"/>
  <c r="DT510" i="1" s="1"/>
  <c r="DV510" i="1" s="1"/>
  <c r="DH510" i="1"/>
  <c r="DL510" i="1" s="1"/>
  <c r="DN510" i="1"/>
  <c r="DX510" i="1" s="1"/>
  <c r="AW510" i="1"/>
  <c r="DT334" i="1"/>
  <c r="DV334" i="1" s="1"/>
  <c r="DR334" i="1"/>
  <c r="DN332" i="1"/>
  <c r="AW332" i="1"/>
  <c r="DH332" i="1"/>
  <c r="DL332" i="1" s="1"/>
  <c r="AY332" i="1"/>
  <c r="BE332" i="1" s="1"/>
  <c r="DP332" i="1"/>
  <c r="DN328" i="1"/>
  <c r="AY328" i="1"/>
  <c r="BE328" i="1" s="1"/>
  <c r="DH328" i="1"/>
  <c r="DL328" i="1" s="1"/>
  <c r="AW328" i="1"/>
  <c r="DR318" i="1"/>
  <c r="DT318" i="1"/>
  <c r="DV318" i="1" s="1"/>
  <c r="DN312" i="1"/>
  <c r="AY312" i="1"/>
  <c r="BE312" i="1" s="1"/>
  <c r="DP312" i="1"/>
  <c r="AW312" i="1"/>
  <c r="DH312" i="1"/>
  <c r="DL312" i="1" s="1"/>
  <c r="DN296" i="1"/>
  <c r="AY296" i="1"/>
  <c r="BE296" i="1" s="1"/>
  <c r="DP296" i="1"/>
  <c r="AW296" i="1"/>
  <c r="DH296" i="1"/>
  <c r="DL296" i="1" s="1"/>
  <c r="DN289" i="1"/>
  <c r="DH289" i="1"/>
  <c r="DL289" i="1" s="1"/>
  <c r="AW289" i="1"/>
  <c r="DP289" i="1"/>
  <c r="DN286" i="1"/>
  <c r="AY286" i="1"/>
  <c r="BE286" i="1" s="1"/>
  <c r="DH286" i="1"/>
  <c r="DL286" i="1" s="1"/>
  <c r="AW286" i="1"/>
  <c r="DP286" i="1"/>
  <c r="DH273" i="1"/>
  <c r="DL273" i="1" s="1"/>
  <c r="DN273" i="1"/>
  <c r="DX273" i="1" s="1"/>
  <c r="AW273" i="1"/>
  <c r="DP246" i="1"/>
  <c r="DN245" i="1"/>
  <c r="AW245" i="1"/>
  <c r="DH245" i="1"/>
  <c r="DL245" i="1" s="1"/>
  <c r="DH237" i="1"/>
  <c r="DL237" i="1" s="1"/>
  <c r="AW237" i="1"/>
  <c r="DN237" i="1"/>
  <c r="DX237" i="1" s="1"/>
  <c r="DN223" i="1"/>
  <c r="DH223" i="1"/>
  <c r="DL223" i="1" s="1"/>
  <c r="AW223" i="1"/>
  <c r="DP223" i="1"/>
  <c r="DN215" i="1"/>
  <c r="BE215" i="1"/>
  <c r="DH215" i="1"/>
  <c r="DL215" i="1" s="1"/>
  <c r="AW215" i="1"/>
  <c r="DP215" i="1"/>
  <c r="DT409" i="1"/>
  <c r="DV409" i="1" s="1"/>
  <c r="DR409" i="1"/>
  <c r="DT405" i="1"/>
  <c r="DV405" i="1" s="1"/>
  <c r="DR405" i="1"/>
  <c r="DT402" i="1"/>
  <c r="DV402" i="1" s="1"/>
  <c r="DR402" i="1"/>
  <c r="DP330" i="1"/>
  <c r="DN309" i="1"/>
  <c r="AW309" i="1"/>
  <c r="DP309" i="1"/>
  <c r="DH309" i="1"/>
  <c r="DL309" i="1" s="1"/>
  <c r="AY309" i="1"/>
  <c r="BE309" i="1" s="1"/>
  <c r="DN303" i="1"/>
  <c r="AW303" i="1"/>
  <c r="DP303" i="1"/>
  <c r="DH303" i="1"/>
  <c r="DL303" i="1" s="1"/>
  <c r="AY303" i="1"/>
  <c r="BE303" i="1" s="1"/>
  <c r="DR302" i="1"/>
  <c r="DT302" i="1"/>
  <c r="DV302" i="1" s="1"/>
  <c r="DX291" i="1"/>
  <c r="EE291" i="1" s="1"/>
  <c r="EL291" i="1" s="1"/>
  <c r="EN291" i="1" s="1"/>
  <c r="DT284" i="1"/>
  <c r="DV284" i="1" s="1"/>
  <c r="DR284" i="1"/>
  <c r="DX284" i="1" s="1"/>
  <c r="EE284" i="1" s="1"/>
  <c r="EL284" i="1" s="1"/>
  <c r="EN284" i="1" s="1"/>
  <c r="DT276" i="1"/>
  <c r="DV276" i="1" s="1"/>
  <c r="DR276" i="1"/>
  <c r="DX276" i="1" s="1"/>
  <c r="EE276" i="1" s="1"/>
  <c r="EL276" i="1" s="1"/>
  <c r="EN276" i="1" s="1"/>
  <c r="DN274" i="1"/>
  <c r="AW274" i="1"/>
  <c r="DH274" i="1"/>
  <c r="DL274" i="1" s="1"/>
  <c r="DP274" i="1"/>
  <c r="DT271" i="1"/>
  <c r="DV271" i="1" s="1"/>
  <c r="DR271" i="1"/>
  <c r="DT270" i="1"/>
  <c r="DV270" i="1" s="1"/>
  <c r="DR270" i="1"/>
  <c r="DT267" i="1"/>
  <c r="DV267" i="1" s="1"/>
  <c r="DR267" i="1"/>
  <c r="DT255" i="1"/>
  <c r="DV255" i="1" s="1"/>
  <c r="DR255" i="1"/>
  <c r="DT251" i="1"/>
  <c r="DV251" i="1" s="1"/>
  <c r="DR251" i="1"/>
  <c r="DN250" i="1"/>
  <c r="AW250" i="1"/>
  <c r="DH250" i="1"/>
  <c r="DL250" i="1" s="1"/>
  <c r="EE247" i="1"/>
  <c r="EL247" i="1" s="1"/>
  <c r="EN247" i="1" s="1"/>
  <c r="DT231" i="1"/>
  <c r="DV231" i="1" s="1"/>
  <c r="DR231" i="1"/>
  <c r="DP229" i="1"/>
  <c r="DT218" i="1"/>
  <c r="DV218" i="1" s="1"/>
  <c r="DR218" i="1"/>
  <c r="DP211" i="1"/>
  <c r="DP315" i="1"/>
  <c r="DH315" i="1"/>
  <c r="DL315" i="1" s="1"/>
  <c r="AY315" i="1"/>
  <c r="BE315" i="1" s="1"/>
  <c r="DN315" i="1"/>
  <c r="AW315" i="1"/>
  <c r="DN300" i="1"/>
  <c r="AY300" i="1"/>
  <c r="BE300" i="1" s="1"/>
  <c r="DH300" i="1"/>
  <c r="DL300" i="1" s="1"/>
  <c r="DP300" i="1"/>
  <c r="AW300" i="1"/>
  <c r="DN277" i="1"/>
  <c r="AW277" i="1"/>
  <c r="DH277" i="1"/>
  <c r="DL277" i="1" s="1"/>
  <c r="AY277" i="1"/>
  <c r="BE277" i="1" s="1"/>
  <c r="DP277" i="1"/>
  <c r="DH259" i="1"/>
  <c r="DL259" i="1" s="1"/>
  <c r="AW259" i="1"/>
  <c r="DN259" i="1"/>
  <c r="AY259" i="1"/>
  <c r="BE259" i="1" s="1"/>
  <c r="DN256" i="1"/>
  <c r="AW256" i="1"/>
  <c r="AY256" i="1"/>
  <c r="BE256" i="1" s="1"/>
  <c r="DH256" i="1"/>
  <c r="DL256" i="1" s="1"/>
  <c r="DP230" i="1"/>
  <c r="DP222" i="1"/>
  <c r="DH222" i="1"/>
  <c r="DL222" i="1" s="1"/>
  <c r="BE222" i="1"/>
  <c r="AW222" i="1"/>
  <c r="DN222" i="1"/>
  <c r="DR219" i="1"/>
  <c r="DX219" i="1" s="1"/>
  <c r="EE219" i="1" s="1"/>
  <c r="EL219" i="1" s="1"/>
  <c r="EN219" i="1" s="1"/>
  <c r="DT219" i="1"/>
  <c r="DV219" i="1" s="1"/>
  <c r="DP187" i="1"/>
  <c r="DH187" i="1"/>
  <c r="DL187" i="1" s="1"/>
  <c r="AW187" i="1"/>
  <c r="DN187" i="1"/>
  <c r="DN183" i="1"/>
  <c r="DP183" i="1"/>
  <c r="DH183" i="1"/>
  <c r="DL183" i="1" s="1"/>
  <c r="AW183" i="1"/>
  <c r="DN179" i="1"/>
  <c r="AW179" i="1"/>
  <c r="DH179" i="1"/>
  <c r="DL179" i="1" s="1"/>
  <c r="BE179" i="1"/>
  <c r="DN177" i="1"/>
  <c r="AW177" i="1"/>
  <c r="DH177" i="1"/>
  <c r="DL177" i="1" s="1"/>
  <c r="BE177" i="1"/>
  <c r="DN25" i="1"/>
  <c r="AW25" i="1"/>
  <c r="DP25" i="1"/>
  <c r="DH25" i="1"/>
  <c r="DL25" i="1" s="1"/>
  <c r="DT325" i="1"/>
  <c r="DV325" i="1" s="1"/>
  <c r="DR325" i="1"/>
  <c r="DX325" i="1" s="1"/>
  <c r="EE325" i="1" s="1"/>
  <c r="EL325" i="1" s="1"/>
  <c r="EN325" i="1" s="1"/>
  <c r="DP298" i="1"/>
  <c r="DH298" i="1"/>
  <c r="DL298" i="1" s="1"/>
  <c r="AY298" i="1"/>
  <c r="BE298" i="1" s="1"/>
  <c r="DN298" i="1"/>
  <c r="AW298" i="1"/>
  <c r="DN293" i="1"/>
  <c r="AY293" i="1"/>
  <c r="BE293" i="1" s="1"/>
  <c r="DH293" i="1"/>
  <c r="DL293" i="1" s="1"/>
  <c r="DP293" i="1"/>
  <c r="AW293" i="1"/>
  <c r="DP242" i="1"/>
  <c r="DP228" i="1"/>
  <c r="DP203" i="1"/>
  <c r="DH203" i="1"/>
  <c r="DL203" i="1" s="1"/>
  <c r="DN203" i="1"/>
  <c r="AW203" i="1"/>
  <c r="DN201" i="1"/>
  <c r="AW201" i="1"/>
  <c r="DH201" i="1"/>
  <c r="DL201" i="1" s="1"/>
  <c r="BE201" i="1"/>
  <c r="DP200" i="1"/>
  <c r="DH200" i="1"/>
  <c r="DL200" i="1" s="1"/>
  <c r="DN200" i="1"/>
  <c r="AW200" i="1"/>
  <c r="DP199" i="1"/>
  <c r="DH199" i="1"/>
  <c r="DL199" i="1" s="1"/>
  <c r="DN199" i="1"/>
  <c r="AW199" i="1"/>
  <c r="DP188" i="1"/>
  <c r="DH188" i="1"/>
  <c r="DL188" i="1" s="1"/>
  <c r="DN188" i="1"/>
  <c r="AW188" i="1"/>
  <c r="DH164" i="1"/>
  <c r="DL164" i="1" s="1"/>
  <c r="BE164" i="1"/>
  <c r="DN164" i="1"/>
  <c r="AW164" i="1"/>
  <c r="DH159" i="1"/>
  <c r="DL159" i="1" s="1"/>
  <c r="BE159" i="1"/>
  <c r="DN159" i="1"/>
  <c r="AW159" i="1"/>
  <c r="DH155" i="1"/>
  <c r="DN155" i="1"/>
  <c r="AW155" i="1"/>
  <c r="DN148" i="1"/>
  <c r="DH148" i="1"/>
  <c r="DL148" i="1" s="1"/>
  <c r="AW148" i="1"/>
  <c r="DN123" i="1"/>
  <c r="DH123" i="1"/>
  <c r="DL123" i="1" s="1"/>
  <c r="AW123" i="1"/>
  <c r="DH118" i="1"/>
  <c r="DL118" i="1" s="1"/>
  <c r="DN118" i="1"/>
  <c r="AW118" i="1"/>
  <c r="DH110" i="1"/>
  <c r="DL110" i="1" s="1"/>
  <c r="DN110" i="1"/>
  <c r="AW110" i="1"/>
  <c r="DH103" i="1"/>
  <c r="DL103" i="1" s="1"/>
  <c r="DN103" i="1"/>
  <c r="AW103" i="1"/>
  <c r="DN101" i="1"/>
  <c r="DH101" i="1"/>
  <c r="DL101" i="1" s="1"/>
  <c r="AW101" i="1"/>
  <c r="DH93" i="1"/>
  <c r="DL93" i="1" s="1"/>
  <c r="DN93" i="1"/>
  <c r="AW93" i="1"/>
  <c r="DP87" i="1"/>
  <c r="DH87" i="1"/>
  <c r="DL87" i="1" s="1"/>
  <c r="DN87" i="1"/>
  <c r="AW87" i="1"/>
  <c r="DH85" i="1"/>
  <c r="DL85" i="1" s="1"/>
  <c r="DN85" i="1"/>
  <c r="AW85" i="1"/>
  <c r="DN83" i="1"/>
  <c r="DH83" i="1"/>
  <c r="DL83" i="1" s="1"/>
  <c r="AW83" i="1"/>
  <c r="DH75" i="1"/>
  <c r="DL75" i="1" s="1"/>
  <c r="DN75" i="1"/>
  <c r="AW75" i="1"/>
  <c r="DH72" i="1"/>
  <c r="DL72" i="1" s="1"/>
  <c r="DN72" i="1"/>
  <c r="AW72" i="1"/>
  <c r="DH69" i="1"/>
  <c r="DL69" i="1" s="1"/>
  <c r="DN69" i="1"/>
  <c r="AW69" i="1"/>
  <c r="DN62" i="1"/>
  <c r="DH62" i="1"/>
  <c r="DL62" i="1" s="1"/>
  <c r="AW62" i="1"/>
  <c r="DN48" i="1"/>
  <c r="DH48" i="1"/>
  <c r="DL48" i="1" s="1"/>
  <c r="AW48" i="1"/>
  <c r="DR46" i="1"/>
  <c r="DT46" i="1"/>
  <c r="DP40" i="1"/>
  <c r="DH40" i="1"/>
  <c r="DL40" i="1" s="1"/>
  <c r="DN40" i="1"/>
  <c r="AW40" i="1"/>
  <c r="DN37" i="1"/>
  <c r="DP37" i="1"/>
  <c r="DH37" i="1"/>
  <c r="DL37" i="1" s="1"/>
  <c r="AW37" i="1"/>
  <c r="DN35" i="1"/>
  <c r="DP35" i="1"/>
  <c r="DH35" i="1"/>
  <c r="DL35" i="1" s="1"/>
  <c r="AW35" i="1"/>
  <c r="DP28" i="1"/>
  <c r="DH28" i="1"/>
  <c r="DL28" i="1" s="1"/>
  <c r="DN28" i="1"/>
  <c r="AW28" i="1"/>
  <c r="DH172" i="1"/>
  <c r="DL172" i="1" s="1"/>
  <c r="AW172" i="1"/>
  <c r="DN172" i="1"/>
  <c r="DN167" i="1"/>
  <c r="AW167" i="1"/>
  <c r="DH167" i="1"/>
  <c r="DL167" i="1" s="1"/>
  <c r="BG167" i="1"/>
  <c r="BM167" i="1" s="1"/>
  <c r="EE163" i="1"/>
  <c r="EL163" i="1" s="1"/>
  <c r="EN163" i="1" s="1"/>
  <c r="DP158" i="1"/>
  <c r="DH158" i="1"/>
  <c r="DL158" i="1" s="1"/>
  <c r="AW158" i="1"/>
  <c r="DN158" i="1"/>
  <c r="DN152" i="1"/>
  <c r="DH152" i="1"/>
  <c r="DL152" i="1" s="1"/>
  <c r="AW152" i="1"/>
  <c r="DH145" i="1"/>
  <c r="DL145" i="1" s="1"/>
  <c r="AW145" i="1"/>
  <c r="DN145" i="1"/>
  <c r="DX141" i="1"/>
  <c r="EE141" i="1" s="1"/>
  <c r="EL141" i="1" s="1"/>
  <c r="EN141" i="1" s="1"/>
  <c r="DH140" i="1"/>
  <c r="DL140" i="1" s="1"/>
  <c r="AW140" i="1"/>
  <c r="DN140" i="1"/>
  <c r="DH138" i="1"/>
  <c r="DL138" i="1" s="1"/>
  <c r="AW138" i="1"/>
  <c r="DN138" i="1"/>
  <c r="DH136" i="1"/>
  <c r="DL136" i="1" s="1"/>
  <c r="AW136" i="1"/>
  <c r="DN136" i="1"/>
  <c r="DH135" i="1"/>
  <c r="DL135" i="1" s="1"/>
  <c r="DN135" i="1"/>
  <c r="AW135" i="1"/>
  <c r="AW133" i="1"/>
  <c r="DN133" i="1"/>
  <c r="DH133" i="1"/>
  <c r="DL133" i="1" s="1"/>
  <c r="DX131" i="1"/>
  <c r="EE131" i="1" s="1"/>
  <c r="DH127" i="1"/>
  <c r="DL127" i="1" s="1"/>
  <c r="AW127" i="1"/>
  <c r="DN127" i="1"/>
  <c r="DH116" i="1"/>
  <c r="DL116" i="1" s="1"/>
  <c r="AW116" i="1"/>
  <c r="DN116" i="1"/>
  <c r="DH105" i="1"/>
  <c r="DL105" i="1" s="1"/>
  <c r="AW105" i="1"/>
  <c r="DN105" i="1"/>
  <c r="DN100" i="1"/>
  <c r="AW100" i="1"/>
  <c r="DH100" i="1"/>
  <c r="DL100" i="1" s="1"/>
  <c r="DH94" i="1"/>
  <c r="DL94" i="1" s="1"/>
  <c r="AW94" i="1"/>
  <c r="DN94" i="1"/>
  <c r="DN89" i="1"/>
  <c r="AW89" i="1"/>
  <c r="DH89" i="1"/>
  <c r="DL89" i="1" s="1"/>
  <c r="DH81" i="1"/>
  <c r="DL81" i="1" s="1"/>
  <c r="AW81" i="1"/>
  <c r="DN81" i="1"/>
  <c r="DH80" i="1"/>
  <c r="DL80" i="1" s="1"/>
  <c r="AW80" i="1"/>
  <c r="DN80" i="1"/>
  <c r="DH79" i="1"/>
  <c r="DL79" i="1" s="1"/>
  <c r="AW79" i="1"/>
  <c r="DN79" i="1"/>
  <c r="DH78" i="1"/>
  <c r="DL78" i="1" s="1"/>
  <c r="AW78" i="1"/>
  <c r="DN78" i="1"/>
  <c r="DN70" i="1"/>
  <c r="AW70" i="1"/>
  <c r="DH70" i="1"/>
  <c r="DL70" i="1" s="1"/>
  <c r="DN67" i="1"/>
  <c r="AW67" i="1"/>
  <c r="DH67" i="1"/>
  <c r="DL67" i="1" s="1"/>
  <c r="DN64" i="1"/>
  <c r="AW64" i="1"/>
  <c r="DH64" i="1"/>
  <c r="DL64" i="1" s="1"/>
  <c r="DN61" i="1"/>
  <c r="DH61" i="1"/>
  <c r="DL61" i="1" s="1"/>
  <c r="AW61" i="1"/>
  <c r="DN58" i="1"/>
  <c r="AW58" i="1"/>
  <c r="DH58" i="1"/>
  <c r="DL58" i="1" s="1"/>
  <c r="DH49" i="1"/>
  <c r="DL49" i="1" s="1"/>
  <c r="AW49" i="1"/>
  <c r="DN49" i="1"/>
  <c r="DH42" i="1"/>
  <c r="DL42" i="1" s="1"/>
  <c r="AW42" i="1"/>
  <c r="DN42" i="1"/>
  <c r="DP39" i="1"/>
  <c r="DH39" i="1"/>
  <c r="DL39" i="1" s="1"/>
  <c r="AW39" i="1"/>
  <c r="DN39" i="1"/>
  <c r="DN32" i="1"/>
  <c r="AW32" i="1"/>
  <c r="DP32" i="1"/>
  <c r="DH32" i="1"/>
  <c r="DL32" i="1" s="1"/>
  <c r="DR23" i="1"/>
  <c r="DT23" i="1"/>
  <c r="DX23" i="1" s="1"/>
  <c r="EE23" i="1" s="1"/>
  <c r="EL23" i="1" s="1"/>
  <c r="EN23" i="1" s="1"/>
  <c r="DP12" i="1"/>
  <c r="DH12" i="1"/>
  <c r="DL12" i="1" s="1"/>
  <c r="DN12" i="1"/>
  <c r="AW12" i="1"/>
  <c r="DP10" i="1"/>
  <c r="DH10" i="1"/>
  <c r="DL10" i="1" s="1"/>
  <c r="DN10" i="1"/>
  <c r="AW10" i="1"/>
  <c r="DN9" i="1"/>
  <c r="DP9" i="1"/>
  <c r="DH9" i="1"/>
  <c r="DL9" i="1" s="1"/>
  <c r="AW9" i="1"/>
  <c r="EE171" i="1"/>
  <c r="EL171" i="1" s="1"/>
  <c r="EN171" i="1" s="1"/>
  <c r="DN168" i="1"/>
  <c r="DH168" i="1"/>
  <c r="DL168" i="1" s="1"/>
  <c r="AW168" i="1"/>
  <c r="DN166" i="1"/>
  <c r="DH166" i="1"/>
  <c r="DL166" i="1" s="1"/>
  <c r="AW166" i="1"/>
  <c r="DX160" i="1"/>
  <c r="DH142" i="1"/>
  <c r="DL142" i="1" s="1"/>
  <c r="AW142" i="1"/>
  <c r="DN142" i="1"/>
  <c r="DX126" i="1"/>
  <c r="EE126" i="1" s="1"/>
  <c r="EL126" i="1" s="1"/>
  <c r="EN126" i="1" s="1"/>
  <c r="DN120" i="1"/>
  <c r="DH120" i="1"/>
  <c r="DL120" i="1" s="1"/>
  <c r="AW120" i="1"/>
  <c r="DN117" i="1"/>
  <c r="AW117" i="1"/>
  <c r="DH117" i="1"/>
  <c r="DL117" i="1" s="1"/>
  <c r="DN114" i="1"/>
  <c r="AW114" i="1"/>
  <c r="DH114" i="1"/>
  <c r="DL114" i="1" s="1"/>
  <c r="DN109" i="1"/>
  <c r="AW109" i="1"/>
  <c r="DH109" i="1"/>
  <c r="DL109" i="1" s="1"/>
  <c r="DH106" i="1"/>
  <c r="DL106" i="1" s="1"/>
  <c r="AW106" i="1"/>
  <c r="DN106" i="1"/>
  <c r="DN76" i="1"/>
  <c r="AW76" i="1"/>
  <c r="DH76" i="1"/>
  <c r="DL76" i="1" s="1"/>
  <c r="DH57" i="1"/>
  <c r="DL57" i="1" s="1"/>
  <c r="AW57" i="1"/>
  <c r="DN57" i="1"/>
  <c r="DP55" i="1"/>
  <c r="DR55" i="1" s="1"/>
  <c r="DT55" i="1" s="1"/>
  <c r="DH55" i="1"/>
  <c r="DL55" i="1" s="1"/>
  <c r="AW55" i="1"/>
  <c r="DN55" i="1"/>
  <c r="DH53" i="1"/>
  <c r="DL53" i="1" s="1"/>
  <c r="AW53" i="1"/>
  <c r="DN53" i="1"/>
  <c r="DH51" i="1"/>
  <c r="DL51" i="1" s="1"/>
  <c r="AW51" i="1"/>
  <c r="DN51" i="1"/>
  <c r="DH43" i="1"/>
  <c r="DL43" i="1" s="1"/>
  <c r="AW43" i="1"/>
  <c r="DN43" i="1"/>
  <c r="DH41" i="1"/>
  <c r="DL41" i="1" s="1"/>
  <c r="AW41" i="1"/>
  <c r="DN41" i="1"/>
  <c r="DN31" i="1"/>
  <c r="AW31" i="1"/>
  <c r="DP31" i="1"/>
  <c r="DH31" i="1"/>
  <c r="DL31" i="1" s="1"/>
  <c r="DP614" i="1"/>
  <c r="DR614" i="1" s="1"/>
  <c r="DT614" i="1" s="1"/>
  <c r="DV614" i="1" s="1"/>
  <c r="DH603" i="1"/>
  <c r="DL603" i="1" s="1"/>
  <c r="AW603" i="1"/>
  <c r="DN603" i="1"/>
  <c r="EE611" i="1"/>
  <c r="EL611" i="1" s="1"/>
  <c r="EN611" i="1" s="1"/>
  <c r="DP608" i="1"/>
  <c r="DR608" i="1" s="1"/>
  <c r="DT608" i="1" s="1"/>
  <c r="DV608" i="1" s="1"/>
  <c r="DP604" i="1"/>
  <c r="DR604" i="1" s="1"/>
  <c r="DT604" i="1" s="1"/>
  <c r="DV604" i="1" s="1"/>
  <c r="DX615" i="1"/>
  <c r="EE615" i="1" s="1"/>
  <c r="EL615" i="1" s="1"/>
  <c r="EN615" i="1" s="1"/>
  <c r="DP573" i="1"/>
  <c r="DR573" i="1" s="1"/>
  <c r="DT573" i="1" s="1"/>
  <c r="DV573" i="1" s="1"/>
  <c r="DP569" i="1"/>
  <c r="DR569" i="1" s="1"/>
  <c r="DT569" i="1" s="1"/>
  <c r="DV569" i="1" s="1"/>
  <c r="DN556" i="1"/>
  <c r="AW556" i="1"/>
  <c r="DP556" i="1"/>
  <c r="DR556" i="1" s="1"/>
  <c r="DT556" i="1" s="1"/>
  <c r="DV556" i="1" s="1"/>
  <c r="DH556" i="1"/>
  <c r="DL556" i="1" s="1"/>
  <c r="DN617" i="1"/>
  <c r="AW617" i="1"/>
  <c r="DH617" i="1"/>
  <c r="DL617" i="1" s="1"/>
  <c r="DX588" i="1"/>
  <c r="EE588" i="1" s="1"/>
  <c r="EL588" i="1" s="1"/>
  <c r="EN588" i="1" s="1"/>
  <c r="DX581" i="1"/>
  <c r="EE581" i="1" s="1"/>
  <c r="EL581" i="1" s="1"/>
  <c r="EN581" i="1" s="1"/>
  <c r="DP576" i="1"/>
  <c r="DR576" i="1" s="1"/>
  <c r="DT576" i="1" s="1"/>
  <c r="DV576" i="1" s="1"/>
  <c r="DP575" i="1"/>
  <c r="DR575" i="1" s="1"/>
  <c r="DT575" i="1" s="1"/>
  <c r="DV575" i="1" s="1"/>
  <c r="DP536" i="1"/>
  <c r="DR536" i="1" s="1"/>
  <c r="DT536" i="1" s="1"/>
  <c r="DV536" i="1" s="1"/>
  <c r="DN533" i="1"/>
  <c r="AW533" i="1"/>
  <c r="DH533" i="1"/>
  <c r="DL533" i="1" s="1"/>
  <c r="DN529" i="1"/>
  <c r="AW529" i="1"/>
  <c r="DH529" i="1"/>
  <c r="DL529" i="1" s="1"/>
  <c r="DN519" i="1"/>
  <c r="AW519" i="1"/>
  <c r="DP519" i="1"/>
  <c r="DR519" i="1" s="1"/>
  <c r="DT519" i="1" s="1"/>
  <c r="DV519" i="1" s="1"/>
  <c r="DH519" i="1"/>
  <c r="DL519" i="1" s="1"/>
  <c r="DP506" i="1"/>
  <c r="DR506" i="1" s="1"/>
  <c r="DT506" i="1" s="1"/>
  <c r="DV506" i="1" s="1"/>
  <c r="DH506" i="1"/>
  <c r="DL506" i="1" s="1"/>
  <c r="AW506" i="1"/>
  <c r="DN506" i="1"/>
  <c r="DX506" i="1" s="1"/>
  <c r="DP500" i="1"/>
  <c r="DR500" i="1" s="1"/>
  <c r="DT500" i="1" s="1"/>
  <c r="DV500" i="1" s="1"/>
  <c r="DH500" i="1"/>
  <c r="DL500" i="1" s="1"/>
  <c r="AW500" i="1"/>
  <c r="DN500" i="1"/>
  <c r="DN492" i="1"/>
  <c r="AW492" i="1"/>
  <c r="DP492" i="1"/>
  <c r="DR492" i="1" s="1"/>
  <c r="DT492" i="1" s="1"/>
  <c r="DV492" i="1" s="1"/>
  <c r="DH492" i="1"/>
  <c r="DL492" i="1" s="1"/>
  <c r="DN488" i="1"/>
  <c r="AW488" i="1"/>
  <c r="DP488" i="1"/>
  <c r="DR488" i="1" s="1"/>
  <c r="DT488" i="1" s="1"/>
  <c r="DV488" i="1" s="1"/>
  <c r="DH488" i="1"/>
  <c r="DL488" i="1" s="1"/>
  <c r="DN486" i="1"/>
  <c r="AW486" i="1"/>
  <c r="DP486" i="1"/>
  <c r="DR486" i="1" s="1"/>
  <c r="DT486" i="1" s="1"/>
  <c r="DV486" i="1" s="1"/>
  <c r="DH486" i="1"/>
  <c r="DL486" i="1" s="1"/>
  <c r="DN484" i="1"/>
  <c r="AW484" i="1"/>
  <c r="DP484" i="1"/>
  <c r="DR484" i="1" s="1"/>
  <c r="DT484" i="1" s="1"/>
  <c r="DV484" i="1" s="1"/>
  <c r="DH484" i="1"/>
  <c r="DL484" i="1" s="1"/>
  <c r="DX568" i="1"/>
  <c r="DX564" i="1"/>
  <c r="DN558" i="1"/>
  <c r="DH558" i="1"/>
  <c r="DL558" i="1" s="1"/>
  <c r="AW558" i="1"/>
  <c r="DP557" i="1"/>
  <c r="DR557" i="1" s="1"/>
  <c r="DT557" i="1" s="1"/>
  <c r="DV557" i="1" s="1"/>
  <c r="DN538" i="1"/>
  <c r="AW538" i="1"/>
  <c r="DP538" i="1"/>
  <c r="DR538" i="1" s="1"/>
  <c r="DT538" i="1" s="1"/>
  <c r="DV538" i="1" s="1"/>
  <c r="DH538" i="1"/>
  <c r="DL538" i="1" s="1"/>
  <c r="DN532" i="1"/>
  <c r="AW532" i="1"/>
  <c r="DH532" i="1"/>
  <c r="DL532" i="1" s="1"/>
  <c r="DX482" i="1"/>
  <c r="DX527" i="1"/>
  <c r="DN523" i="1"/>
  <c r="DH523" i="1"/>
  <c r="DL523" i="1" s="1"/>
  <c r="DP523" i="1"/>
  <c r="AW523" i="1"/>
  <c r="DN515" i="1"/>
  <c r="DP515" i="1"/>
  <c r="DH515" i="1"/>
  <c r="DL515" i="1" s="1"/>
  <c r="AW515" i="1"/>
  <c r="DP513" i="1"/>
  <c r="DR513" i="1" s="1"/>
  <c r="DT513" i="1" s="1"/>
  <c r="DV513" i="1" s="1"/>
  <c r="DH513" i="1"/>
  <c r="DL513" i="1" s="1"/>
  <c r="DN513" i="1"/>
  <c r="DX513" i="1" s="1"/>
  <c r="AW513" i="1"/>
  <c r="EE513" i="1" s="1"/>
  <c r="EL513" i="1" s="1"/>
  <c r="EN513" i="1" s="1"/>
  <c r="DP511" i="1"/>
  <c r="DR511" i="1" s="1"/>
  <c r="DT511" i="1" s="1"/>
  <c r="DV511" i="1" s="1"/>
  <c r="DH511" i="1"/>
  <c r="DL511" i="1" s="1"/>
  <c r="DN511" i="1"/>
  <c r="DX511" i="1" s="1"/>
  <c r="AW511" i="1"/>
  <c r="EE511" i="1" s="1"/>
  <c r="EL511" i="1" s="1"/>
  <c r="EN511" i="1" s="1"/>
  <c r="DP509" i="1"/>
  <c r="DR509" i="1" s="1"/>
  <c r="DT509" i="1" s="1"/>
  <c r="DV509" i="1" s="1"/>
  <c r="DH509" i="1"/>
  <c r="DL509" i="1" s="1"/>
  <c r="DN509" i="1"/>
  <c r="DX509" i="1" s="1"/>
  <c r="AW509" i="1"/>
  <c r="EE509" i="1" s="1"/>
  <c r="EL509" i="1" s="1"/>
  <c r="EN509" i="1" s="1"/>
  <c r="DP508" i="1"/>
  <c r="DR508" i="1" s="1"/>
  <c r="DT508" i="1" s="1"/>
  <c r="DV508" i="1" s="1"/>
  <c r="DH508" i="1"/>
  <c r="DL508" i="1" s="1"/>
  <c r="DN508" i="1"/>
  <c r="DX508" i="1" s="1"/>
  <c r="AW508" i="1"/>
  <c r="EE508" i="1" s="1"/>
  <c r="EL508" i="1" s="1"/>
  <c r="EN508" i="1" s="1"/>
  <c r="DP494" i="1"/>
  <c r="DR494" i="1" s="1"/>
  <c r="DT494" i="1" s="1"/>
  <c r="DV494" i="1" s="1"/>
  <c r="DH494" i="1"/>
  <c r="DL494" i="1" s="1"/>
  <c r="DN494" i="1"/>
  <c r="DX494" i="1" s="1"/>
  <c r="AW494" i="1"/>
  <c r="EE494" i="1" s="1"/>
  <c r="EL494" i="1" s="1"/>
  <c r="EN494" i="1" s="1"/>
  <c r="DX403" i="1"/>
  <c r="EE403" i="1" s="1"/>
  <c r="EL403" i="1" s="1"/>
  <c r="EN403" i="1" s="1"/>
  <c r="DN331" i="1"/>
  <c r="DP331" i="1"/>
  <c r="AW331" i="1"/>
  <c r="DH331" i="1"/>
  <c r="DL331" i="1" s="1"/>
  <c r="DT321" i="1"/>
  <c r="DV321" i="1" s="1"/>
  <c r="DR321" i="1"/>
  <c r="DH319" i="1"/>
  <c r="DL319" i="1" s="1"/>
  <c r="AW319" i="1"/>
  <c r="AQ308" i="1"/>
  <c r="AQ278" i="1"/>
  <c r="DR266" i="1"/>
  <c r="DT266" i="1"/>
  <c r="DV266" i="1" s="1"/>
  <c r="DN244" i="1"/>
  <c r="AW244" i="1"/>
  <c r="DH244" i="1"/>
  <c r="DL244" i="1" s="1"/>
  <c r="DP209" i="1"/>
  <c r="DH209" i="1"/>
  <c r="DL209" i="1" s="1"/>
  <c r="DN209" i="1"/>
  <c r="AW209" i="1"/>
  <c r="DR205" i="1"/>
  <c r="DT205" i="1"/>
  <c r="DV205" i="1" s="1"/>
  <c r="DT412" i="1"/>
  <c r="DV412" i="1" s="1"/>
  <c r="DR412" i="1"/>
  <c r="DX337" i="1"/>
  <c r="EE337" i="1" s="1"/>
  <c r="EL337" i="1" s="1"/>
  <c r="EN337" i="1" s="1"/>
  <c r="DX335" i="1"/>
  <c r="EE335" i="1" s="1"/>
  <c r="EL335" i="1" s="1"/>
  <c r="EN335" i="1" s="1"/>
  <c r="DP612" i="1"/>
  <c r="DR612" i="1" s="1"/>
  <c r="DT612" i="1" s="1"/>
  <c r="DV612" i="1" s="1"/>
  <c r="DN609" i="1"/>
  <c r="AW609" i="1"/>
  <c r="DH609" i="1"/>
  <c r="DL609" i="1" s="1"/>
  <c r="DP606" i="1"/>
  <c r="DR606" i="1" s="1"/>
  <c r="DT606" i="1" s="1"/>
  <c r="DV606" i="1" s="1"/>
  <c r="EE601" i="1"/>
  <c r="EL601" i="1" s="1"/>
  <c r="EN601" i="1" s="1"/>
  <c r="EE597" i="1"/>
  <c r="EL597" i="1" s="1"/>
  <c r="EN597" i="1" s="1"/>
  <c r="EE593" i="1"/>
  <c r="EL593" i="1" s="1"/>
  <c r="EN593" i="1" s="1"/>
  <c r="DN624" i="1"/>
  <c r="AW624" i="1"/>
  <c r="DH624" i="1"/>
  <c r="DL624" i="1" s="1"/>
  <c r="DX622" i="1"/>
  <c r="DH616" i="1"/>
  <c r="DL616" i="1" s="1"/>
  <c r="AW616" i="1"/>
  <c r="DN616" i="1"/>
  <c r="DX619" i="1"/>
  <c r="DX613" i="1"/>
  <c r="EE613" i="1" s="1"/>
  <c r="EL613" i="1" s="1"/>
  <c r="EN613" i="1" s="1"/>
  <c r="DN602" i="1"/>
  <c r="AW602" i="1"/>
  <c r="DH602" i="1"/>
  <c r="DL602" i="1" s="1"/>
  <c r="DN600" i="1"/>
  <c r="AW600" i="1"/>
  <c r="DH600" i="1"/>
  <c r="DL600" i="1" s="1"/>
  <c r="DN598" i="1"/>
  <c r="AW598" i="1"/>
  <c r="DH598" i="1"/>
  <c r="DL598" i="1" s="1"/>
  <c r="DN596" i="1"/>
  <c r="AW596" i="1"/>
  <c r="DH596" i="1"/>
  <c r="DL596" i="1" s="1"/>
  <c r="DN594" i="1"/>
  <c r="AW594" i="1"/>
  <c r="DH594" i="1"/>
  <c r="DL594" i="1" s="1"/>
  <c r="DP590" i="1"/>
  <c r="DR590" i="1" s="1"/>
  <c r="DT590" i="1" s="1"/>
  <c r="DV590" i="1" s="1"/>
  <c r="DN587" i="1"/>
  <c r="DP587" i="1"/>
  <c r="DR587" i="1" s="1"/>
  <c r="DT587" i="1" s="1"/>
  <c r="DV587" i="1" s="1"/>
  <c r="AW587" i="1"/>
  <c r="DH587" i="1"/>
  <c r="DL587" i="1" s="1"/>
  <c r="DN580" i="1"/>
  <c r="DP580" i="1"/>
  <c r="AW580" i="1"/>
  <c r="DH580" i="1"/>
  <c r="DL580" i="1" s="1"/>
  <c r="DP571" i="1"/>
  <c r="DR571" i="1" s="1"/>
  <c r="DT571" i="1" s="1"/>
  <c r="DV571" i="1" s="1"/>
  <c r="DP567" i="1"/>
  <c r="DR567" i="1" s="1"/>
  <c r="DT567" i="1" s="1"/>
  <c r="DV567" i="1" s="1"/>
  <c r="DP563" i="1"/>
  <c r="DR563" i="1" s="1"/>
  <c r="DT563" i="1" s="1"/>
  <c r="DV563" i="1" s="1"/>
  <c r="DX621" i="1"/>
  <c r="DX618" i="1"/>
  <c r="DH592" i="1"/>
  <c r="DL592" i="1" s="1"/>
  <c r="AW592" i="1"/>
  <c r="DN592" i="1"/>
  <c r="DT586" i="1"/>
  <c r="DV586" i="1" s="1"/>
  <c r="DR586" i="1"/>
  <c r="DX583" i="1"/>
  <c r="EE583" i="1" s="1"/>
  <c r="EL583" i="1" s="1"/>
  <c r="EN583" i="1" s="1"/>
  <c r="EE579" i="1"/>
  <c r="EL579" i="1" s="1"/>
  <c r="EN579" i="1" s="1"/>
  <c r="EE572" i="1"/>
  <c r="EL572" i="1" s="1"/>
  <c r="EN572" i="1" s="1"/>
  <c r="EE568" i="1"/>
  <c r="EL568" i="1" s="1"/>
  <c r="EN568" i="1" s="1"/>
  <c r="EE564" i="1"/>
  <c r="EL564" i="1" s="1"/>
  <c r="EN564" i="1" s="1"/>
  <c r="DX591" i="1"/>
  <c r="EE591" i="1" s="1"/>
  <c r="EL591" i="1" s="1"/>
  <c r="EN591" i="1" s="1"/>
  <c r="EE585" i="1"/>
  <c r="EL585" i="1" s="1"/>
  <c r="EN585" i="1" s="1"/>
  <c r="DX578" i="1"/>
  <c r="EE578" i="1" s="1"/>
  <c r="EL578" i="1" s="1"/>
  <c r="EN578" i="1" s="1"/>
  <c r="DN560" i="1"/>
  <c r="DH560" i="1"/>
  <c r="DL560" i="1" s="1"/>
  <c r="AW560" i="1"/>
  <c r="DP559" i="1"/>
  <c r="DR559" i="1" s="1"/>
  <c r="DT559" i="1" s="1"/>
  <c r="DV559" i="1" s="1"/>
  <c r="EE554" i="1"/>
  <c r="EL554" i="1" s="1"/>
  <c r="EN554" i="1" s="1"/>
  <c r="DN553" i="1"/>
  <c r="AW553" i="1"/>
  <c r="DH553" i="1"/>
  <c r="DL553" i="1" s="1"/>
  <c r="EE552" i="1"/>
  <c r="EL552" i="1" s="1"/>
  <c r="EN552" i="1" s="1"/>
  <c r="DN551" i="1"/>
  <c r="AW551" i="1"/>
  <c r="DH551" i="1"/>
  <c r="DL551" i="1" s="1"/>
  <c r="DN549" i="1"/>
  <c r="AW549" i="1"/>
  <c r="DH549" i="1"/>
  <c r="DL549" i="1" s="1"/>
  <c r="EE548" i="1"/>
  <c r="EL548" i="1" s="1"/>
  <c r="EN548" i="1" s="1"/>
  <c r="DN547" i="1"/>
  <c r="AW547" i="1"/>
  <c r="DH547" i="1"/>
  <c r="DL547" i="1" s="1"/>
  <c r="DN545" i="1"/>
  <c r="AW545" i="1"/>
  <c r="DH545" i="1"/>
  <c r="DL545" i="1" s="1"/>
  <c r="EE544" i="1"/>
  <c r="EL544" i="1" s="1"/>
  <c r="EN544" i="1" s="1"/>
  <c r="DN543" i="1"/>
  <c r="AW543" i="1"/>
  <c r="DH543" i="1"/>
  <c r="DL543" i="1" s="1"/>
  <c r="DN542" i="1"/>
  <c r="AW542" i="1"/>
  <c r="DH542" i="1"/>
  <c r="DL542" i="1" s="1"/>
  <c r="DN540" i="1"/>
  <c r="AW540" i="1"/>
  <c r="DH540" i="1"/>
  <c r="DL540" i="1" s="1"/>
  <c r="DP518" i="1"/>
  <c r="DR518" i="1" s="1"/>
  <c r="DT518" i="1" s="1"/>
  <c r="DV518" i="1" s="1"/>
  <c r="DH518" i="1"/>
  <c r="DL518" i="1" s="1"/>
  <c r="AW518" i="1"/>
  <c r="DN518" i="1"/>
  <c r="DN516" i="1"/>
  <c r="AW516" i="1"/>
  <c r="DP516" i="1"/>
  <c r="DH516" i="1"/>
  <c r="DL516" i="1" s="1"/>
  <c r="DP501" i="1"/>
  <c r="DR501" i="1" s="1"/>
  <c r="DT501" i="1" s="1"/>
  <c r="DV501" i="1" s="1"/>
  <c r="DH501" i="1"/>
  <c r="DL501" i="1" s="1"/>
  <c r="AW501" i="1"/>
  <c r="DN501" i="1"/>
  <c r="DP497" i="1"/>
  <c r="DR497" i="1" s="1"/>
  <c r="DT497" i="1" s="1"/>
  <c r="DV497" i="1" s="1"/>
  <c r="DH497" i="1"/>
  <c r="DL497" i="1" s="1"/>
  <c r="AW497" i="1"/>
  <c r="DN497" i="1"/>
  <c r="DN495" i="1"/>
  <c r="AW495" i="1"/>
  <c r="DP495" i="1"/>
  <c r="DR495" i="1" s="1"/>
  <c r="DT495" i="1" s="1"/>
  <c r="DV495" i="1" s="1"/>
  <c r="DH495" i="1"/>
  <c r="DL495" i="1" s="1"/>
  <c r="DP491" i="1"/>
  <c r="DH491" i="1"/>
  <c r="DL491" i="1" s="1"/>
  <c r="AW491" i="1"/>
  <c r="DN491" i="1"/>
  <c r="DN489" i="1"/>
  <c r="AW489" i="1"/>
  <c r="DP489" i="1"/>
  <c r="DR489" i="1" s="1"/>
  <c r="DT489" i="1" s="1"/>
  <c r="DV489" i="1" s="1"/>
  <c r="DH489" i="1"/>
  <c r="DL489" i="1" s="1"/>
  <c r="DN487" i="1"/>
  <c r="AW487" i="1"/>
  <c r="DP487" i="1"/>
  <c r="DR487" i="1" s="1"/>
  <c r="DT487" i="1" s="1"/>
  <c r="DV487" i="1" s="1"/>
  <c r="DH487" i="1"/>
  <c r="DL487" i="1" s="1"/>
  <c r="DN485" i="1"/>
  <c r="AW485" i="1"/>
  <c r="DP485" i="1"/>
  <c r="DR485" i="1" s="1"/>
  <c r="DT485" i="1" s="1"/>
  <c r="DV485" i="1" s="1"/>
  <c r="DH485" i="1"/>
  <c r="DL485" i="1" s="1"/>
  <c r="DX577" i="1"/>
  <c r="EE577" i="1" s="1"/>
  <c r="EL577" i="1" s="1"/>
  <c r="EN577" i="1" s="1"/>
  <c r="DP577" i="1"/>
  <c r="DR577" i="1" s="1"/>
  <c r="DT577" i="1" s="1"/>
  <c r="DV577" i="1" s="1"/>
  <c r="DX574" i="1"/>
  <c r="EE574" i="1" s="1"/>
  <c r="EL574" i="1" s="1"/>
  <c r="EN574" i="1" s="1"/>
  <c r="DX570" i="1"/>
  <c r="EE570" i="1" s="1"/>
  <c r="EL570" i="1" s="1"/>
  <c r="EN570" i="1" s="1"/>
  <c r="DX566" i="1"/>
  <c r="EE566" i="1" s="1"/>
  <c r="EL566" i="1" s="1"/>
  <c r="EN566" i="1" s="1"/>
  <c r="DN562" i="1"/>
  <c r="DH562" i="1"/>
  <c r="DL562" i="1" s="1"/>
  <c r="AW562" i="1"/>
  <c r="DX561" i="1"/>
  <c r="EE561" i="1" s="1"/>
  <c r="EL561" i="1" s="1"/>
  <c r="EN561" i="1" s="1"/>
  <c r="DP561" i="1"/>
  <c r="DR561" i="1" s="1"/>
  <c r="DT561" i="1" s="1"/>
  <c r="DV561" i="1" s="1"/>
  <c r="DX550" i="1"/>
  <c r="EE550" i="1" s="1"/>
  <c r="EL550" i="1" s="1"/>
  <c r="EN550" i="1" s="1"/>
  <c r="DX546" i="1"/>
  <c r="EE546" i="1" s="1"/>
  <c r="EL546" i="1" s="1"/>
  <c r="EN546" i="1" s="1"/>
  <c r="DX541" i="1"/>
  <c r="EE541" i="1" s="1"/>
  <c r="EL541" i="1" s="1"/>
  <c r="EN541" i="1" s="1"/>
  <c r="DX539" i="1"/>
  <c r="EE539" i="1" s="1"/>
  <c r="EL539" i="1" s="1"/>
  <c r="EN539" i="1" s="1"/>
  <c r="DP534" i="1"/>
  <c r="EE527" i="1"/>
  <c r="EL527" i="1" s="1"/>
  <c r="EN527" i="1" s="1"/>
  <c r="EE526" i="1"/>
  <c r="EL526" i="1" s="1"/>
  <c r="EN526" i="1" s="1"/>
  <c r="EE524" i="1"/>
  <c r="EL524" i="1" s="1"/>
  <c r="EN524" i="1" s="1"/>
  <c r="DX537" i="1"/>
  <c r="EE537" i="1" s="1"/>
  <c r="EL537" i="1" s="1"/>
  <c r="EN537" i="1" s="1"/>
  <c r="DN521" i="1"/>
  <c r="DP521" i="1"/>
  <c r="DR521" i="1" s="1"/>
  <c r="DT521" i="1" s="1"/>
  <c r="DV521" i="1" s="1"/>
  <c r="DH521" i="1"/>
  <c r="DL521" i="1" s="1"/>
  <c r="AW521" i="1"/>
  <c r="DX520" i="1"/>
  <c r="EE520" i="1" s="1"/>
  <c r="EL520" i="1" s="1"/>
  <c r="EN520" i="1" s="1"/>
  <c r="DX463" i="1"/>
  <c r="EE463" i="1" s="1"/>
  <c r="EL463" i="1" s="1"/>
  <c r="EN463" i="1" s="1"/>
  <c r="DX462" i="1"/>
  <c r="EE462" i="1" s="1"/>
  <c r="EL462" i="1" s="1"/>
  <c r="EN462" i="1" s="1"/>
  <c r="DX461" i="1"/>
  <c r="EE461" i="1" s="1"/>
  <c r="EL461" i="1" s="1"/>
  <c r="EN461" i="1" s="1"/>
  <c r="DX460" i="1"/>
  <c r="EE460" i="1" s="1"/>
  <c r="EL460" i="1" s="1"/>
  <c r="EN460" i="1" s="1"/>
  <c r="DX459" i="1"/>
  <c r="EE459" i="1" s="1"/>
  <c r="EL459" i="1" s="1"/>
  <c r="EN459" i="1" s="1"/>
  <c r="DX458" i="1"/>
  <c r="EE458" i="1" s="1"/>
  <c r="EL458" i="1" s="1"/>
  <c r="EN458" i="1" s="1"/>
  <c r="DX457" i="1"/>
  <c r="EE457" i="1" s="1"/>
  <c r="EL457" i="1" s="1"/>
  <c r="EN457" i="1" s="1"/>
  <c r="DX456" i="1"/>
  <c r="EE456" i="1" s="1"/>
  <c r="EL456" i="1" s="1"/>
  <c r="EN456" i="1" s="1"/>
  <c r="DX455" i="1"/>
  <c r="EE455" i="1" s="1"/>
  <c r="EL455" i="1" s="1"/>
  <c r="EN455" i="1" s="1"/>
  <c r="DX454" i="1"/>
  <c r="EE454" i="1" s="1"/>
  <c r="EL454" i="1" s="1"/>
  <c r="EN454" i="1" s="1"/>
  <c r="DX453" i="1"/>
  <c r="EE453" i="1" s="1"/>
  <c r="EL453" i="1" s="1"/>
  <c r="EN453" i="1" s="1"/>
  <c r="DX452" i="1"/>
  <c r="EE452" i="1" s="1"/>
  <c r="EL452" i="1" s="1"/>
  <c r="EN452" i="1" s="1"/>
  <c r="DX483" i="1"/>
  <c r="EE483" i="1" s="1"/>
  <c r="EL483" i="1" s="1"/>
  <c r="EN483" i="1" s="1"/>
  <c r="EE482" i="1"/>
  <c r="EL482" i="1" s="1"/>
  <c r="EN482" i="1" s="1"/>
  <c r="DX475" i="1"/>
  <c r="EE475" i="1" s="1"/>
  <c r="EL475" i="1" s="1"/>
  <c r="EN475" i="1" s="1"/>
  <c r="DX447" i="1"/>
  <c r="EE447" i="1" s="1"/>
  <c r="EL447" i="1" s="1"/>
  <c r="EN447" i="1" s="1"/>
  <c r="DX442" i="1"/>
  <c r="EE442" i="1" s="1"/>
  <c r="EL442" i="1" s="1"/>
  <c r="EN442" i="1" s="1"/>
  <c r="DX408" i="1"/>
  <c r="EE408" i="1" s="1"/>
  <c r="EL408" i="1" s="1"/>
  <c r="EN408" i="1" s="1"/>
  <c r="DT406" i="1"/>
  <c r="DV406" i="1" s="1"/>
  <c r="DR406" i="1"/>
  <c r="DT404" i="1"/>
  <c r="DV404" i="1" s="1"/>
  <c r="DR404" i="1"/>
  <c r="DT401" i="1"/>
  <c r="DV401" i="1" s="1"/>
  <c r="DR401" i="1"/>
  <c r="DT342" i="1"/>
  <c r="DV342" i="1" s="1"/>
  <c r="DR342" i="1"/>
  <c r="DT341" i="1"/>
  <c r="DV341" i="1" s="1"/>
  <c r="DR341" i="1"/>
  <c r="DX340" i="1"/>
  <c r="EE340" i="1" s="1"/>
  <c r="EL340" i="1" s="1"/>
  <c r="EN340" i="1" s="1"/>
  <c r="DX525" i="1"/>
  <c r="EE525" i="1" s="1"/>
  <c r="EL525" i="1" s="1"/>
  <c r="EN525" i="1" s="1"/>
  <c r="EE522" i="1"/>
  <c r="EL522" i="1" s="1"/>
  <c r="EN522" i="1" s="1"/>
  <c r="EE507" i="1"/>
  <c r="EL507" i="1" s="1"/>
  <c r="EN507" i="1" s="1"/>
  <c r="DN505" i="1"/>
  <c r="DX505" i="1" s="1"/>
  <c r="DP505" i="1"/>
  <c r="DR505" i="1" s="1"/>
  <c r="DT505" i="1" s="1"/>
  <c r="DV505" i="1" s="1"/>
  <c r="DH505" i="1"/>
  <c r="DL505" i="1" s="1"/>
  <c r="AW505" i="1"/>
  <c r="DX504" i="1"/>
  <c r="EE504" i="1" s="1"/>
  <c r="EL504" i="1" s="1"/>
  <c r="EN504" i="1" s="1"/>
  <c r="DN503" i="1"/>
  <c r="DP503" i="1"/>
  <c r="DR503" i="1" s="1"/>
  <c r="DT503" i="1" s="1"/>
  <c r="DV503" i="1" s="1"/>
  <c r="DH503" i="1"/>
  <c r="DL503" i="1" s="1"/>
  <c r="AW503" i="1"/>
  <c r="DX502" i="1"/>
  <c r="EE502" i="1" s="1"/>
  <c r="EL502" i="1" s="1"/>
  <c r="EN502" i="1" s="1"/>
  <c r="DN499" i="1"/>
  <c r="DX499" i="1" s="1"/>
  <c r="DP499" i="1"/>
  <c r="DR499" i="1" s="1"/>
  <c r="DT499" i="1" s="1"/>
  <c r="DV499" i="1" s="1"/>
  <c r="DH499" i="1"/>
  <c r="DL499" i="1" s="1"/>
  <c r="AW499" i="1"/>
  <c r="DX498" i="1"/>
  <c r="EE498" i="1" s="1"/>
  <c r="EL498" i="1" s="1"/>
  <c r="EN498" i="1" s="1"/>
  <c r="DX493" i="1"/>
  <c r="EE493" i="1" s="1"/>
  <c r="EL493" i="1" s="1"/>
  <c r="EN493" i="1" s="1"/>
  <c r="DX474" i="1"/>
  <c r="EE474" i="1" s="1"/>
  <c r="EL474" i="1" s="1"/>
  <c r="EN474" i="1" s="1"/>
  <c r="DX440" i="1"/>
  <c r="EE440" i="1" s="1"/>
  <c r="EL440" i="1" s="1"/>
  <c r="EN440" i="1" s="1"/>
  <c r="DT425" i="1"/>
  <c r="DV425" i="1" s="1"/>
  <c r="DR425" i="1"/>
  <c r="DX424" i="1"/>
  <c r="EE424" i="1" s="1"/>
  <c r="EL424" i="1" s="1"/>
  <c r="EN424" i="1" s="1"/>
  <c r="DT418" i="1"/>
  <c r="DV418" i="1" s="1"/>
  <c r="DR418" i="1"/>
  <c r="DX418" i="1" s="1"/>
  <c r="EE418" i="1" s="1"/>
  <c r="EL418" i="1" s="1"/>
  <c r="EN418" i="1" s="1"/>
  <c r="DX415" i="1"/>
  <c r="EE415" i="1" s="1"/>
  <c r="EL415" i="1" s="1"/>
  <c r="EN415" i="1" s="1"/>
  <c r="DX399" i="1"/>
  <c r="EE399" i="1" s="1"/>
  <c r="EL399" i="1" s="1"/>
  <c r="EN399" i="1" s="1"/>
  <c r="DX397" i="1"/>
  <c r="EE397" i="1" s="1"/>
  <c r="EL397" i="1" s="1"/>
  <c r="EN397" i="1" s="1"/>
  <c r="DX334" i="1"/>
  <c r="EE334" i="1" s="1"/>
  <c r="EL334" i="1" s="1"/>
  <c r="EN334" i="1" s="1"/>
  <c r="DP329" i="1"/>
  <c r="DX321" i="1"/>
  <c r="EE321" i="1" s="1"/>
  <c r="EL321" i="1" s="1"/>
  <c r="EN321" i="1" s="1"/>
  <c r="DH313" i="1"/>
  <c r="DL313" i="1" s="1"/>
  <c r="AW313" i="1"/>
  <c r="DN313" i="1"/>
  <c r="DX313" i="1" s="1"/>
  <c r="DN290" i="1"/>
  <c r="DP290" i="1"/>
  <c r="AW290" i="1"/>
  <c r="DH290" i="1"/>
  <c r="DL290" i="1" s="1"/>
  <c r="DP287" i="1"/>
  <c r="DH287" i="1"/>
  <c r="DL287" i="1" s="1"/>
  <c r="DN287" i="1"/>
  <c r="AW287" i="1"/>
  <c r="DN275" i="1"/>
  <c r="AY275" i="1"/>
  <c r="BE275" i="1" s="1"/>
  <c r="DP275" i="1"/>
  <c r="AW275" i="1"/>
  <c r="DH275" i="1"/>
  <c r="DL275" i="1" s="1"/>
  <c r="DN272" i="1"/>
  <c r="DX272" i="1" s="1"/>
  <c r="AY272" i="1"/>
  <c r="BE272" i="1" s="1"/>
  <c r="DH272" i="1"/>
  <c r="DL272" i="1" s="1"/>
  <c r="AW272" i="1"/>
  <c r="DR269" i="1"/>
  <c r="DX269" i="1" s="1"/>
  <c r="EE269" i="1" s="1"/>
  <c r="EL269" i="1" s="1"/>
  <c r="EN269" i="1" s="1"/>
  <c r="DT269" i="1"/>
  <c r="DV269" i="1" s="1"/>
  <c r="DX267" i="1"/>
  <c r="DN262" i="1"/>
  <c r="AY262" i="1"/>
  <c r="BE262" i="1" s="1"/>
  <c r="DH262" i="1"/>
  <c r="DL262" i="1" s="1"/>
  <c r="AW262" i="1"/>
  <c r="DP262" i="1"/>
  <c r="DN254" i="1"/>
  <c r="AW254" i="1"/>
  <c r="DH254" i="1"/>
  <c r="DL254" i="1" s="1"/>
  <c r="DN252" i="1"/>
  <c r="AW252" i="1"/>
  <c r="DH252" i="1"/>
  <c r="DL252" i="1" s="1"/>
  <c r="DN249" i="1"/>
  <c r="AY249" i="1"/>
  <c r="BE249" i="1" s="1"/>
  <c r="DH249" i="1"/>
  <c r="DL249" i="1" s="1"/>
  <c r="AW249" i="1"/>
  <c r="DX233" i="1"/>
  <c r="EE233" i="1" s="1"/>
  <c r="EL233" i="1" s="1"/>
  <c r="EN233" i="1" s="1"/>
  <c r="AQ216" i="1"/>
  <c r="DN213" i="1"/>
  <c r="BE213" i="1"/>
  <c r="DH213" i="1"/>
  <c r="DL213" i="1" s="1"/>
  <c r="AW213" i="1"/>
  <c r="DP213" i="1"/>
  <c r="DP208" i="1"/>
  <c r="DH208" i="1"/>
  <c r="DL208" i="1" s="1"/>
  <c r="BE208" i="1"/>
  <c r="DN208" i="1"/>
  <c r="AW208" i="1"/>
  <c r="EE206" i="1"/>
  <c r="EL206" i="1" s="1"/>
  <c r="EN206" i="1" s="1"/>
  <c r="EE191" i="1"/>
  <c r="EL191" i="1" s="1"/>
  <c r="EN191" i="1" s="1"/>
  <c r="DX449" i="1"/>
  <c r="EE449" i="1" s="1"/>
  <c r="EL449" i="1" s="1"/>
  <c r="EN449" i="1" s="1"/>
  <c r="DX412" i="1"/>
  <c r="EE412" i="1" s="1"/>
  <c r="EL412" i="1" s="1"/>
  <c r="EN412" i="1" s="1"/>
  <c r="DX409" i="1"/>
  <c r="EE409" i="1" s="1"/>
  <c r="EL409" i="1" s="1"/>
  <c r="EN409" i="1" s="1"/>
  <c r="DX405" i="1"/>
  <c r="EE405" i="1" s="1"/>
  <c r="EL405" i="1" s="1"/>
  <c r="EN405" i="1" s="1"/>
  <c r="DX402" i="1"/>
  <c r="EE402" i="1" s="1"/>
  <c r="EL402" i="1" s="1"/>
  <c r="EN402" i="1" s="1"/>
  <c r="DX338" i="1"/>
  <c r="EE338" i="1" s="1"/>
  <c r="EL338" i="1" s="1"/>
  <c r="EN338" i="1" s="1"/>
  <c r="DX336" i="1"/>
  <c r="EE336" i="1" s="1"/>
  <c r="EL336" i="1" s="1"/>
  <c r="EN336" i="1" s="1"/>
  <c r="DT327" i="1"/>
  <c r="DV327" i="1" s="1"/>
  <c r="DR327" i="1"/>
  <c r="DX327" i="1" s="1"/>
  <c r="EE327" i="1" s="1"/>
  <c r="EL327" i="1" s="1"/>
  <c r="EN327" i="1" s="1"/>
  <c r="DT324" i="1"/>
  <c r="DV324" i="1" s="1"/>
  <c r="DR324" i="1"/>
  <c r="DX324" i="1" s="1"/>
  <c r="EE324" i="1" s="1"/>
  <c r="EL324" i="1" s="1"/>
  <c r="EN324" i="1" s="1"/>
  <c r="DX318" i="1"/>
  <c r="EE318" i="1" s="1"/>
  <c r="EL318" i="1" s="1"/>
  <c r="EN318" i="1" s="1"/>
  <c r="EE311" i="1"/>
  <c r="EL311" i="1" s="1"/>
  <c r="EN311" i="1" s="1"/>
  <c r="DT310" i="1"/>
  <c r="DV310" i="1" s="1"/>
  <c r="DR310" i="1"/>
  <c r="DX310" i="1" s="1"/>
  <c r="EE310" i="1" s="1"/>
  <c r="EL310" i="1" s="1"/>
  <c r="EN310" i="1" s="1"/>
  <c r="EE306" i="1"/>
  <c r="EL306" i="1" s="1"/>
  <c r="EN306" i="1" s="1"/>
  <c r="DT305" i="1"/>
  <c r="DV305" i="1" s="1"/>
  <c r="DR305" i="1"/>
  <c r="DT304" i="1"/>
  <c r="DV304" i="1" s="1"/>
  <c r="DR304" i="1"/>
  <c r="EE302" i="1"/>
  <c r="EL302" i="1" s="1"/>
  <c r="EN302" i="1" s="1"/>
  <c r="DX302" i="1"/>
  <c r="DT299" i="1"/>
  <c r="DV299" i="1" s="1"/>
  <c r="DR299" i="1"/>
  <c r="DR295" i="1"/>
  <c r="DX295" i="1" s="1"/>
  <c r="EE295" i="1" s="1"/>
  <c r="EL295" i="1" s="1"/>
  <c r="EN295" i="1" s="1"/>
  <c r="DT295" i="1"/>
  <c r="DV295" i="1" s="1"/>
  <c r="DN294" i="1"/>
  <c r="AW294" i="1"/>
  <c r="DP294" i="1"/>
  <c r="DH294" i="1"/>
  <c r="DL294" i="1" s="1"/>
  <c r="DT292" i="1"/>
  <c r="DV292" i="1" s="1"/>
  <c r="DR292" i="1"/>
  <c r="DX283" i="1"/>
  <c r="EE283" i="1" s="1"/>
  <c r="EL283" i="1" s="1"/>
  <c r="EN283" i="1" s="1"/>
  <c r="DX271" i="1"/>
  <c r="EE271" i="1" s="1"/>
  <c r="EL271" i="1" s="1"/>
  <c r="EN271" i="1" s="1"/>
  <c r="DX270" i="1"/>
  <c r="EE270" i="1" s="1"/>
  <c r="EL270" i="1" s="1"/>
  <c r="EN270" i="1" s="1"/>
  <c r="DN268" i="1"/>
  <c r="AW268" i="1"/>
  <c r="DP268" i="1"/>
  <c r="DH268" i="1"/>
  <c r="DL268" i="1" s="1"/>
  <c r="AY268" i="1"/>
  <c r="BE268" i="1" s="1"/>
  <c r="EE267" i="1"/>
  <c r="EL267" i="1" s="1"/>
  <c r="EN267" i="1" s="1"/>
  <c r="DT264" i="1"/>
  <c r="DV264" i="1" s="1"/>
  <c r="DR264" i="1"/>
  <c r="DX255" i="1"/>
  <c r="EE255" i="1" s="1"/>
  <c r="EL255" i="1" s="1"/>
  <c r="EN255" i="1" s="1"/>
  <c r="DT253" i="1"/>
  <c r="DV253" i="1" s="1"/>
  <c r="DR253" i="1"/>
  <c r="DX253" i="1" s="1"/>
  <c r="EE253" i="1" s="1"/>
  <c r="EL253" i="1" s="1"/>
  <c r="EN253" i="1" s="1"/>
  <c r="DX251" i="1"/>
  <c r="EE251" i="1" s="1"/>
  <c r="EL251" i="1" s="1"/>
  <c r="EN251" i="1" s="1"/>
  <c r="DX248" i="1"/>
  <c r="EE248" i="1" s="1"/>
  <c r="EL248" i="1" s="1"/>
  <c r="EN248" i="1" s="1"/>
  <c r="EE243" i="1"/>
  <c r="EL243" i="1" s="1"/>
  <c r="EN243" i="1" s="1"/>
  <c r="DP241" i="1"/>
  <c r="EE238" i="1"/>
  <c r="EL238" i="1" s="1"/>
  <c r="EN238" i="1" s="1"/>
  <c r="DX231" i="1"/>
  <c r="EE231" i="1" s="1"/>
  <c r="EL231" i="1" s="1"/>
  <c r="EN231" i="1" s="1"/>
  <c r="DP227" i="1"/>
  <c r="DN226" i="1"/>
  <c r="AW226" i="1"/>
  <c r="DH226" i="1"/>
  <c r="DL226" i="1" s="1"/>
  <c r="DN225" i="1"/>
  <c r="AW225" i="1"/>
  <c r="DH225" i="1"/>
  <c r="DL225" i="1" s="1"/>
  <c r="DP225" i="1"/>
  <c r="DN224" i="1"/>
  <c r="AW224" i="1"/>
  <c r="DH224" i="1"/>
  <c r="DL224" i="1" s="1"/>
  <c r="DP224" i="1"/>
  <c r="DT221" i="1"/>
  <c r="DV221" i="1" s="1"/>
  <c r="DR221" i="1"/>
  <c r="DX221" i="1" s="1"/>
  <c r="EE221" i="1" s="1"/>
  <c r="EL221" i="1" s="1"/>
  <c r="EN221" i="1" s="1"/>
  <c r="DT220" i="1"/>
  <c r="DV220" i="1" s="1"/>
  <c r="DR220" i="1"/>
  <c r="DX220" i="1" s="1"/>
  <c r="EE220" i="1" s="1"/>
  <c r="EL220" i="1" s="1"/>
  <c r="EN220" i="1" s="1"/>
  <c r="DN214" i="1"/>
  <c r="AW214" i="1"/>
  <c r="DH214" i="1"/>
  <c r="DL214" i="1" s="1"/>
  <c r="DP214" i="1"/>
  <c r="DT317" i="1"/>
  <c r="DV317" i="1" s="1"/>
  <c r="DR317" i="1"/>
  <c r="DP297" i="1"/>
  <c r="DH297" i="1"/>
  <c r="DL297" i="1" s="1"/>
  <c r="AW297" i="1"/>
  <c r="DN297" i="1"/>
  <c r="AY297" i="1"/>
  <c r="BE297" i="1" s="1"/>
  <c r="DP279" i="1"/>
  <c r="DH279" i="1"/>
  <c r="DL279" i="1" s="1"/>
  <c r="AW279" i="1"/>
  <c r="DN279" i="1"/>
  <c r="AY279" i="1"/>
  <c r="BE279" i="1" s="1"/>
  <c r="DN258" i="1"/>
  <c r="AW258" i="1"/>
  <c r="DH258" i="1"/>
  <c r="DL258" i="1" s="1"/>
  <c r="DT217" i="1"/>
  <c r="DV217" i="1" s="1"/>
  <c r="DR217" i="1"/>
  <c r="DP210" i="1"/>
  <c r="DH210" i="1"/>
  <c r="DL210" i="1" s="1"/>
  <c r="AW210" i="1"/>
  <c r="DN210" i="1"/>
  <c r="DH202" i="1"/>
  <c r="DL202" i="1" s="1"/>
  <c r="BE202" i="1"/>
  <c r="DN202" i="1"/>
  <c r="AW202" i="1"/>
  <c r="EE195" i="1"/>
  <c r="EL195" i="1" s="1"/>
  <c r="EN195" i="1" s="1"/>
  <c r="DN194" i="1"/>
  <c r="AW194" i="1"/>
  <c r="DP194" i="1"/>
  <c r="DH194" i="1"/>
  <c r="DL194" i="1" s="1"/>
  <c r="DX189" i="1"/>
  <c r="EE189" i="1"/>
  <c r="EL189" i="1" s="1"/>
  <c r="EN189" i="1" s="1"/>
  <c r="DT184" i="1"/>
  <c r="DV184" i="1" s="1"/>
  <c r="DR184" i="1"/>
  <c r="DX184" i="1" s="1"/>
  <c r="EE184" i="1" s="1"/>
  <c r="EL184" i="1" s="1"/>
  <c r="EN184" i="1" s="1"/>
  <c r="DP178" i="1"/>
  <c r="DX175" i="1"/>
  <c r="EE175" i="1" s="1"/>
  <c r="EL175" i="1" s="1"/>
  <c r="EN175" i="1" s="1"/>
  <c r="DX174" i="1"/>
  <c r="DN13" i="1"/>
  <c r="AW13" i="1"/>
  <c r="DP13" i="1"/>
  <c r="DH13" i="1"/>
  <c r="DL13" i="1" s="1"/>
  <c r="DN316" i="1"/>
  <c r="DH316" i="1"/>
  <c r="DL316" i="1" s="1"/>
  <c r="AW316" i="1"/>
  <c r="DP316" i="1"/>
  <c r="DN280" i="1"/>
  <c r="DH280" i="1"/>
  <c r="DL280" i="1" s="1"/>
  <c r="AW280" i="1"/>
  <c r="DN265" i="1"/>
  <c r="AW265" i="1"/>
  <c r="DP265" i="1"/>
  <c r="DH265" i="1"/>
  <c r="DL265" i="1" s="1"/>
  <c r="DT263" i="1"/>
  <c r="DV263" i="1" s="1"/>
  <c r="DR263" i="1"/>
  <c r="DH257" i="1"/>
  <c r="DL257" i="1" s="1"/>
  <c r="AW257" i="1"/>
  <c r="DN257" i="1"/>
  <c r="AY257" i="1"/>
  <c r="BE257" i="1" s="1"/>
  <c r="DP197" i="1"/>
  <c r="DH197" i="1"/>
  <c r="DL197" i="1" s="1"/>
  <c r="DN197" i="1"/>
  <c r="AW197" i="1"/>
  <c r="DP196" i="1"/>
  <c r="DH196" i="1"/>
  <c r="DL196" i="1" s="1"/>
  <c r="AW196" i="1"/>
  <c r="DN196" i="1"/>
  <c r="DP193" i="1"/>
  <c r="DH193" i="1"/>
  <c r="DL193" i="1" s="1"/>
  <c r="DN193" i="1"/>
  <c r="AW193" i="1"/>
  <c r="DP185" i="1"/>
  <c r="DH185" i="1"/>
  <c r="DL185" i="1" s="1"/>
  <c r="AW185" i="1"/>
  <c r="DN185" i="1"/>
  <c r="DN181" i="1"/>
  <c r="AW181" i="1"/>
  <c r="DP181" i="1"/>
  <c r="DR181" i="1" s="1"/>
  <c r="DT181" i="1" s="1"/>
  <c r="DV181" i="1" s="1"/>
  <c r="DH181" i="1"/>
  <c r="DL181" i="1" s="1"/>
  <c r="BE181" i="1"/>
  <c r="EE180" i="1"/>
  <c r="EL180" i="1" s="1"/>
  <c r="EN180" i="1" s="1"/>
  <c r="EE176" i="1"/>
  <c r="EL176" i="1" s="1"/>
  <c r="EN176" i="1" s="1"/>
  <c r="DN165" i="1"/>
  <c r="DH165" i="1"/>
  <c r="DL165" i="1" s="1"/>
  <c r="AW165" i="1"/>
  <c r="EE160" i="1"/>
  <c r="EL160" i="1" s="1"/>
  <c r="EN160" i="1" s="1"/>
  <c r="DN154" i="1"/>
  <c r="DH154" i="1"/>
  <c r="DL154" i="1" s="1"/>
  <c r="AW154" i="1"/>
  <c r="DN150" i="1"/>
  <c r="DH150" i="1"/>
  <c r="DL150" i="1" s="1"/>
  <c r="AW150" i="1"/>
  <c r="DH144" i="1"/>
  <c r="DL144" i="1" s="1"/>
  <c r="DN144" i="1"/>
  <c r="AW144" i="1"/>
  <c r="DH129" i="1"/>
  <c r="DL129" i="1" s="1"/>
  <c r="DN129" i="1"/>
  <c r="AW129" i="1"/>
  <c r="DN125" i="1"/>
  <c r="DH125" i="1"/>
  <c r="DL125" i="1" s="1"/>
  <c r="AW125" i="1"/>
  <c r="DN121" i="1"/>
  <c r="DH121" i="1"/>
  <c r="DL121" i="1" s="1"/>
  <c r="AW121" i="1"/>
  <c r="DH115" i="1"/>
  <c r="DL115" i="1" s="1"/>
  <c r="DN115" i="1"/>
  <c r="AW115" i="1"/>
  <c r="DH108" i="1"/>
  <c r="DL108" i="1" s="1"/>
  <c r="DN108" i="1"/>
  <c r="AW108" i="1"/>
  <c r="DN102" i="1"/>
  <c r="DH102" i="1"/>
  <c r="DL102" i="1" s="1"/>
  <c r="AW102" i="1"/>
  <c r="DH99" i="1"/>
  <c r="DL99" i="1" s="1"/>
  <c r="DN99" i="1"/>
  <c r="AW99" i="1"/>
  <c r="DH90" i="1"/>
  <c r="DL90" i="1" s="1"/>
  <c r="DN90" i="1"/>
  <c r="AW90" i="1"/>
  <c r="DR86" i="1"/>
  <c r="DX86" i="1" s="1"/>
  <c r="EE86" i="1" s="1"/>
  <c r="EL86" i="1" s="1"/>
  <c r="EN86" i="1" s="1"/>
  <c r="DT86" i="1"/>
  <c r="DN84" i="1"/>
  <c r="DH84" i="1"/>
  <c r="DL84" i="1" s="1"/>
  <c r="AW84" i="1"/>
  <c r="DH77" i="1"/>
  <c r="DL77" i="1" s="1"/>
  <c r="DN77" i="1"/>
  <c r="AW77" i="1"/>
  <c r="DR74" i="1"/>
  <c r="DT74" i="1"/>
  <c r="DN71" i="1"/>
  <c r="DH71" i="1"/>
  <c r="DL71" i="1" s="1"/>
  <c r="AW71" i="1"/>
  <c r="DN63" i="1"/>
  <c r="DH63" i="1"/>
  <c r="DL63" i="1" s="1"/>
  <c r="AW63" i="1"/>
  <c r="DR60" i="1"/>
  <c r="DX60" i="1" s="1"/>
  <c r="EE60" i="1" s="1"/>
  <c r="EL60" i="1" s="1"/>
  <c r="EN60" i="1" s="1"/>
  <c r="DT60" i="1"/>
  <c r="DN50" i="1"/>
  <c r="DH50" i="1"/>
  <c r="DL50" i="1" s="1"/>
  <c r="AW50" i="1"/>
  <c r="DN47" i="1"/>
  <c r="DH47" i="1"/>
  <c r="DL47" i="1" s="1"/>
  <c r="AW47" i="1"/>
  <c r="DH45" i="1"/>
  <c r="DL45" i="1" s="1"/>
  <c r="DN45" i="1"/>
  <c r="AW45" i="1"/>
  <c r="DN38" i="1"/>
  <c r="DP38" i="1"/>
  <c r="DH38" i="1"/>
  <c r="DL38" i="1" s="1"/>
  <c r="AW38" i="1"/>
  <c r="DN36" i="1"/>
  <c r="DP36" i="1"/>
  <c r="DH36" i="1"/>
  <c r="DL36" i="1" s="1"/>
  <c r="AW36" i="1"/>
  <c r="DP33" i="1"/>
  <c r="DH33" i="1"/>
  <c r="DL33" i="1" s="1"/>
  <c r="DN33" i="1"/>
  <c r="AW33" i="1"/>
  <c r="EE174" i="1"/>
  <c r="EL174" i="1" s="1"/>
  <c r="EN174" i="1" s="1"/>
  <c r="DH161" i="1"/>
  <c r="DL161" i="1" s="1"/>
  <c r="AW161" i="1"/>
  <c r="DN161" i="1"/>
  <c r="DX157" i="1"/>
  <c r="EE157" i="1" s="1"/>
  <c r="EL157" i="1" s="1"/>
  <c r="EN157" i="1" s="1"/>
  <c r="DN156" i="1"/>
  <c r="AW156" i="1"/>
  <c r="DH156" i="1"/>
  <c r="DL156" i="1" s="1"/>
  <c r="DX153" i="1"/>
  <c r="EE153" i="1" s="1"/>
  <c r="EL153" i="1" s="1"/>
  <c r="EN153" i="1" s="1"/>
  <c r="AW151" i="1"/>
  <c r="DN151" i="1"/>
  <c r="DH151" i="1"/>
  <c r="DL151" i="1" s="1"/>
  <c r="DN147" i="1"/>
  <c r="DH147" i="1"/>
  <c r="DL147" i="1" s="1"/>
  <c r="AW147" i="1"/>
  <c r="DN143" i="1"/>
  <c r="AW143" i="1"/>
  <c r="DH143" i="1"/>
  <c r="DL143" i="1" s="1"/>
  <c r="DN122" i="1"/>
  <c r="DH122" i="1"/>
  <c r="DL122" i="1" s="1"/>
  <c r="AW122" i="1"/>
  <c r="AW119" i="1"/>
  <c r="DN119" i="1"/>
  <c r="DH119" i="1"/>
  <c r="DL119" i="1" s="1"/>
  <c r="DH113" i="1"/>
  <c r="DL113" i="1" s="1"/>
  <c r="AW113" i="1"/>
  <c r="DN113" i="1"/>
  <c r="DH112" i="1"/>
  <c r="DL112" i="1" s="1"/>
  <c r="AW112" i="1"/>
  <c r="DN112" i="1"/>
  <c r="DH111" i="1"/>
  <c r="DL111" i="1" s="1"/>
  <c r="AW111" i="1"/>
  <c r="DN111" i="1"/>
  <c r="DN107" i="1"/>
  <c r="AW107" i="1"/>
  <c r="DH107" i="1"/>
  <c r="DL107" i="1" s="1"/>
  <c r="DP98" i="1"/>
  <c r="DT98" i="1" s="1"/>
  <c r="DP97" i="1"/>
  <c r="DH91" i="1"/>
  <c r="DL91" i="1" s="1"/>
  <c r="AW91" i="1"/>
  <c r="DN91" i="1"/>
  <c r="DH88" i="1"/>
  <c r="DL88" i="1" s="1"/>
  <c r="AW88" i="1"/>
  <c r="DN88" i="1"/>
  <c r="DN82" i="1"/>
  <c r="AW82" i="1"/>
  <c r="DH82" i="1"/>
  <c r="DL82" i="1" s="1"/>
  <c r="DH56" i="1"/>
  <c r="DL56" i="1" s="1"/>
  <c r="AW56" i="1"/>
  <c r="DN56" i="1"/>
  <c r="DH54" i="1"/>
  <c r="DL54" i="1" s="1"/>
  <c r="AW54" i="1"/>
  <c r="DN54" i="1"/>
  <c r="DH52" i="1"/>
  <c r="DL52" i="1" s="1"/>
  <c r="AW52" i="1"/>
  <c r="DN52" i="1"/>
  <c r="DH44" i="1"/>
  <c r="DL44" i="1" s="1"/>
  <c r="AW44" i="1"/>
  <c r="DN44" i="1"/>
  <c r="DP30" i="1"/>
  <c r="DH30" i="1"/>
  <c r="DL30" i="1" s="1"/>
  <c r="AW30" i="1"/>
  <c r="DN30" i="1"/>
  <c r="DN22" i="1"/>
  <c r="DP22" i="1"/>
  <c r="DH22" i="1"/>
  <c r="DL22" i="1" s="1"/>
  <c r="AW22" i="1"/>
  <c r="DR18" i="1"/>
  <c r="DX18" i="1" s="1"/>
  <c r="EE18" i="1" s="1"/>
  <c r="EL18" i="1" s="1"/>
  <c r="EN18" i="1" s="1"/>
  <c r="DT18" i="1"/>
  <c r="DR16" i="1"/>
  <c r="DT16" i="1"/>
  <c r="DR14" i="1"/>
  <c r="DT14" i="1"/>
  <c r="DX14" i="1"/>
  <c r="EE14" i="1" s="1"/>
  <c r="EL14" i="1" s="1"/>
  <c r="EN14" i="1" s="1"/>
  <c r="DX173" i="1"/>
  <c r="EE173" i="1" s="1"/>
  <c r="EL173" i="1" s="1"/>
  <c r="EN173" i="1" s="1"/>
  <c r="DH169" i="1"/>
  <c r="DL169" i="1" s="1"/>
  <c r="AW169" i="1"/>
  <c r="DN169" i="1"/>
  <c r="DX162" i="1"/>
  <c r="EE162" i="1" s="1"/>
  <c r="EL162" i="1" s="1"/>
  <c r="EN162" i="1" s="1"/>
  <c r="DN149" i="1"/>
  <c r="DH149" i="1"/>
  <c r="DL149" i="1" s="1"/>
  <c r="AW149" i="1"/>
  <c r="DH146" i="1"/>
  <c r="DL146" i="1" s="1"/>
  <c r="AW146" i="1"/>
  <c r="DN146" i="1"/>
  <c r="DH139" i="1"/>
  <c r="DL139" i="1" s="1"/>
  <c r="AW139" i="1"/>
  <c r="DN139" i="1"/>
  <c r="DH137" i="1"/>
  <c r="DL137" i="1" s="1"/>
  <c r="AW137" i="1"/>
  <c r="DN137" i="1"/>
  <c r="DH134" i="1"/>
  <c r="DL134" i="1" s="1"/>
  <c r="AW134" i="1"/>
  <c r="DN134" i="1"/>
  <c r="DX132" i="1"/>
  <c r="EE132" i="1" s="1"/>
  <c r="DN130" i="1"/>
  <c r="AW130" i="1"/>
  <c r="DH130" i="1"/>
  <c r="DL130" i="1" s="1"/>
  <c r="DN128" i="1"/>
  <c r="AW128" i="1"/>
  <c r="DH128" i="1"/>
  <c r="DL128" i="1" s="1"/>
  <c r="DN124" i="1"/>
  <c r="DH124" i="1"/>
  <c r="DL124" i="1" s="1"/>
  <c r="AW124" i="1"/>
  <c r="DP96" i="1"/>
  <c r="DP95" i="1"/>
  <c r="DN92" i="1"/>
  <c r="AW92" i="1"/>
  <c r="DH92" i="1"/>
  <c r="DL92" i="1" s="1"/>
  <c r="DX74" i="1"/>
  <c r="EE74" i="1" s="1"/>
  <c r="EL74" i="1" s="1"/>
  <c r="EN74" i="1" s="1"/>
  <c r="DH73" i="1"/>
  <c r="DL73" i="1" s="1"/>
  <c r="AW73" i="1"/>
  <c r="DN73" i="1"/>
  <c r="DH68" i="1"/>
  <c r="DL68" i="1" s="1"/>
  <c r="AW68" i="1"/>
  <c r="DN68" i="1"/>
  <c r="DN66" i="1"/>
  <c r="AW66" i="1"/>
  <c r="DH66" i="1"/>
  <c r="DL66" i="1" s="1"/>
  <c r="DH65" i="1"/>
  <c r="DL65" i="1" s="1"/>
  <c r="AW65" i="1"/>
  <c r="DN65" i="1"/>
  <c r="DX46" i="1"/>
  <c r="EE46" i="1" s="1"/>
  <c r="EL46" i="1" s="1"/>
  <c r="EN46" i="1" s="1"/>
  <c r="DN34" i="1"/>
  <c r="AW34" i="1"/>
  <c r="DP34" i="1"/>
  <c r="DH34" i="1"/>
  <c r="DL34" i="1" s="1"/>
  <c r="DP29" i="1"/>
  <c r="DH29" i="1"/>
  <c r="DL29" i="1" s="1"/>
  <c r="AW29" i="1"/>
  <c r="DN29" i="1"/>
  <c r="DP26" i="1"/>
  <c r="DH26" i="1"/>
  <c r="DL26" i="1" s="1"/>
  <c r="DN26" i="1"/>
  <c r="AW26" i="1"/>
  <c r="DP24" i="1"/>
  <c r="DH24" i="1"/>
  <c r="DL24" i="1" s="1"/>
  <c r="DN24" i="1"/>
  <c r="AW24" i="1"/>
  <c r="DP21" i="1"/>
  <c r="DH21" i="1"/>
  <c r="DL21" i="1" s="1"/>
  <c r="DN21" i="1"/>
  <c r="AW21" i="1"/>
  <c r="DP17" i="1"/>
  <c r="DH17" i="1"/>
  <c r="DL17" i="1" s="1"/>
  <c r="DN17" i="1"/>
  <c r="AW17" i="1"/>
  <c r="DP15" i="1"/>
  <c r="DH15" i="1"/>
  <c r="DL15" i="1" s="1"/>
  <c r="DN15" i="1"/>
  <c r="AW15" i="1"/>
  <c r="DR11" i="1"/>
  <c r="DT11" i="1"/>
  <c r="DX11" i="1" s="1"/>
  <c r="EE11" i="1" s="1"/>
  <c r="EL11" i="1" s="1"/>
  <c r="EN11" i="1" s="1"/>
  <c r="EE506" i="1" l="1"/>
  <c r="EL506" i="1" s="1"/>
  <c r="EN506" i="1" s="1"/>
  <c r="DX521" i="1"/>
  <c r="DX586" i="1"/>
  <c r="EE586" i="1" s="1"/>
  <c r="EL586" i="1" s="1"/>
  <c r="EN586" i="1" s="1"/>
  <c r="DX575" i="1"/>
  <c r="EE575" i="1" s="1"/>
  <c r="EL575" i="1" s="1"/>
  <c r="EN575" i="1" s="1"/>
  <c r="DX576" i="1"/>
  <c r="EE576" i="1" s="1"/>
  <c r="EL576" i="1" s="1"/>
  <c r="EN576" i="1" s="1"/>
  <c r="EE510" i="1"/>
  <c r="EL510" i="1" s="1"/>
  <c r="EN510" i="1" s="1"/>
  <c r="EE512" i="1"/>
  <c r="EL512" i="1" s="1"/>
  <c r="EN512" i="1" s="1"/>
  <c r="EE514" i="1"/>
  <c r="EL514" i="1" s="1"/>
  <c r="EN514" i="1" s="1"/>
  <c r="EE496" i="1"/>
  <c r="EL496" i="1" s="1"/>
  <c r="EN496" i="1" s="1"/>
  <c r="DX584" i="1"/>
  <c r="EE584" i="1" s="1"/>
  <c r="EL584" i="1" s="1"/>
  <c r="EN584" i="1" s="1"/>
  <c r="DX263" i="1"/>
  <c r="EE263" i="1" s="1"/>
  <c r="EL263" i="1" s="1"/>
  <c r="EN263" i="1" s="1"/>
  <c r="DX317" i="1"/>
  <c r="EE317" i="1" s="1"/>
  <c r="EL317" i="1" s="1"/>
  <c r="EN317" i="1" s="1"/>
  <c r="DX292" i="1"/>
  <c r="EE292" i="1" s="1"/>
  <c r="EL292" i="1" s="1"/>
  <c r="EN292" i="1" s="1"/>
  <c r="DX299" i="1"/>
  <c r="EE299" i="1" s="1"/>
  <c r="EL299" i="1" s="1"/>
  <c r="EN299" i="1" s="1"/>
  <c r="DX304" i="1"/>
  <c r="EE304" i="1" s="1"/>
  <c r="EL304" i="1" s="1"/>
  <c r="EN304" i="1" s="1"/>
  <c r="DX305" i="1"/>
  <c r="EE305" i="1" s="1"/>
  <c r="EL305" i="1" s="1"/>
  <c r="EN305" i="1" s="1"/>
  <c r="DX266" i="1"/>
  <c r="EE266" i="1" s="1"/>
  <c r="EL266" i="1" s="1"/>
  <c r="EN266" i="1" s="1"/>
  <c r="DX217" i="1"/>
  <c r="EE217" i="1" s="1"/>
  <c r="EL217" i="1" s="1"/>
  <c r="EN217" i="1" s="1"/>
  <c r="DX205" i="1"/>
  <c r="EE205" i="1" s="1"/>
  <c r="EL205" i="1" s="1"/>
  <c r="EN205" i="1" s="1"/>
  <c r="DX218" i="1"/>
  <c r="EE218" i="1" s="1"/>
  <c r="EL218" i="1" s="1"/>
  <c r="EN218" i="1" s="1"/>
  <c r="DX16" i="1"/>
  <c r="EE16" i="1" s="1"/>
  <c r="EL16" i="1" s="1"/>
  <c r="EN16" i="1" s="1"/>
  <c r="DP65" i="1"/>
  <c r="DP68" i="1"/>
  <c r="DR96" i="1"/>
  <c r="DT96" i="1"/>
  <c r="DP130" i="1"/>
  <c r="DR130" i="1" s="1"/>
  <c r="DT130" i="1" s="1"/>
  <c r="DP139" i="1"/>
  <c r="DR139" i="1" s="1"/>
  <c r="DT139" i="1" s="1"/>
  <c r="DP149" i="1"/>
  <c r="DR149" i="1" s="1"/>
  <c r="DT149" i="1" s="1"/>
  <c r="DT15" i="1"/>
  <c r="DR15" i="1"/>
  <c r="DX15" i="1" s="1"/>
  <c r="EE15" i="1" s="1"/>
  <c r="EL15" i="1" s="1"/>
  <c r="EN15" i="1" s="1"/>
  <c r="DT17" i="1"/>
  <c r="DR17" i="1"/>
  <c r="DX17" i="1" s="1"/>
  <c r="EE17" i="1" s="1"/>
  <c r="EL17" i="1" s="1"/>
  <c r="EN17" i="1" s="1"/>
  <c r="DT21" i="1"/>
  <c r="DR21" i="1"/>
  <c r="DX21" i="1" s="1"/>
  <c r="EE21" i="1" s="1"/>
  <c r="EL21" i="1" s="1"/>
  <c r="EN21" i="1" s="1"/>
  <c r="DT24" i="1"/>
  <c r="DR24" i="1"/>
  <c r="DX24" i="1" s="1"/>
  <c r="EE24" i="1" s="1"/>
  <c r="EL24" i="1" s="1"/>
  <c r="EN24" i="1" s="1"/>
  <c r="DT26" i="1"/>
  <c r="DR26" i="1"/>
  <c r="DX26" i="1" s="1"/>
  <c r="EE26" i="1" s="1"/>
  <c r="EL26" i="1" s="1"/>
  <c r="EN26" i="1" s="1"/>
  <c r="DT29" i="1"/>
  <c r="DR29" i="1"/>
  <c r="DX29" i="1" s="1"/>
  <c r="EE29" i="1" s="1"/>
  <c r="EL29" i="1" s="1"/>
  <c r="EN29" i="1" s="1"/>
  <c r="DR34" i="1"/>
  <c r="DT34" i="1"/>
  <c r="DX34" i="1" s="1"/>
  <c r="EE34" i="1" s="1"/>
  <c r="EL34" i="1" s="1"/>
  <c r="EN34" i="1" s="1"/>
  <c r="DP66" i="1"/>
  <c r="DP73" i="1"/>
  <c r="DP92" i="1"/>
  <c r="DT95" i="1"/>
  <c r="DR95" i="1"/>
  <c r="DX96" i="1"/>
  <c r="EE96" i="1" s="1"/>
  <c r="DP128" i="1"/>
  <c r="DR128" i="1" s="1"/>
  <c r="DT128" i="1" s="1"/>
  <c r="DP137" i="1"/>
  <c r="DR137" i="1" s="1"/>
  <c r="DT137" i="1" s="1"/>
  <c r="DX137" i="1"/>
  <c r="EE137" i="1" s="1"/>
  <c r="EL137" i="1" s="1"/>
  <c r="EN137" i="1" s="1"/>
  <c r="DP146" i="1"/>
  <c r="DR146" i="1" s="1"/>
  <c r="DT146" i="1" s="1"/>
  <c r="DR22" i="1"/>
  <c r="DT22" i="1"/>
  <c r="DV22" i="1" s="1"/>
  <c r="DT30" i="1"/>
  <c r="DR30" i="1"/>
  <c r="DP52" i="1"/>
  <c r="DP56" i="1"/>
  <c r="DP91" i="1"/>
  <c r="DT97" i="1"/>
  <c r="DR97" i="1"/>
  <c r="DX97" i="1" s="1"/>
  <c r="EE97" i="1" s="1"/>
  <c r="DX98" i="1"/>
  <c r="EE98" i="1" s="1"/>
  <c r="DP111" i="1"/>
  <c r="DR111" i="1" s="1"/>
  <c r="DT111" i="1" s="1"/>
  <c r="DX111" i="1"/>
  <c r="DP113" i="1"/>
  <c r="DR113" i="1" s="1"/>
  <c r="DT113" i="1" s="1"/>
  <c r="DP119" i="1"/>
  <c r="DR119" i="1" s="1"/>
  <c r="DT119" i="1" s="1"/>
  <c r="DP122" i="1"/>
  <c r="DR122" i="1" s="1"/>
  <c r="DT122" i="1" s="1"/>
  <c r="DP147" i="1"/>
  <c r="DR147" i="1" s="1"/>
  <c r="DT147" i="1" s="1"/>
  <c r="DP151" i="1"/>
  <c r="DR151" i="1" s="1"/>
  <c r="DT151" i="1" s="1"/>
  <c r="DX151" i="1"/>
  <c r="DT33" i="1"/>
  <c r="DR33" i="1"/>
  <c r="DX33" i="1" s="1"/>
  <c r="EE33" i="1" s="1"/>
  <c r="EL33" i="1" s="1"/>
  <c r="EN33" i="1" s="1"/>
  <c r="DP45" i="1"/>
  <c r="DR45" i="1" s="1"/>
  <c r="DT45" i="1" s="1"/>
  <c r="DP47" i="1"/>
  <c r="DP63" i="1"/>
  <c r="DP99" i="1"/>
  <c r="DP102" i="1"/>
  <c r="DP108" i="1"/>
  <c r="DR108" i="1" s="1"/>
  <c r="DT108" i="1" s="1"/>
  <c r="DP125" i="1"/>
  <c r="DR125" i="1" s="1"/>
  <c r="DT125" i="1" s="1"/>
  <c r="DP129" i="1"/>
  <c r="DR129" i="1" s="1"/>
  <c r="DT129" i="1" s="1"/>
  <c r="DP154" i="1"/>
  <c r="DX181" i="1"/>
  <c r="DT185" i="1"/>
  <c r="DV185" i="1" s="1"/>
  <c r="DR185" i="1"/>
  <c r="DT193" i="1"/>
  <c r="DV193" i="1" s="1"/>
  <c r="DR193" i="1"/>
  <c r="DT196" i="1"/>
  <c r="DV196" i="1" s="1"/>
  <c r="DR196" i="1"/>
  <c r="DT197" i="1"/>
  <c r="DV197" i="1" s="1"/>
  <c r="DR197" i="1"/>
  <c r="DP257" i="1"/>
  <c r="DP280" i="1"/>
  <c r="DT178" i="1"/>
  <c r="DV178" i="1" s="1"/>
  <c r="DR178" i="1"/>
  <c r="DR194" i="1"/>
  <c r="DT194" i="1"/>
  <c r="DV194" i="1" s="1"/>
  <c r="DP258" i="1"/>
  <c r="DT297" i="1"/>
  <c r="DV297" i="1" s="1"/>
  <c r="DR297" i="1"/>
  <c r="DR214" i="1"/>
  <c r="DT214" i="1"/>
  <c r="DV214" i="1" s="1"/>
  <c r="DT241" i="1"/>
  <c r="DV241" i="1" s="1"/>
  <c r="DR241" i="1"/>
  <c r="DR294" i="1"/>
  <c r="DT294" i="1"/>
  <c r="DV294" i="1" s="1"/>
  <c r="DR213" i="1"/>
  <c r="DT213" i="1"/>
  <c r="DV213" i="1" s="1"/>
  <c r="DP252" i="1"/>
  <c r="DP254" i="1"/>
  <c r="DR262" i="1"/>
  <c r="DT262" i="1"/>
  <c r="DV262" i="1" s="1"/>
  <c r="EE272" i="1"/>
  <c r="EL272" i="1" s="1"/>
  <c r="EN272" i="1" s="1"/>
  <c r="DR275" i="1"/>
  <c r="DT275" i="1"/>
  <c r="DV275" i="1" s="1"/>
  <c r="DT287" i="1"/>
  <c r="DV287" i="1" s="1"/>
  <c r="DR287" i="1"/>
  <c r="DX287" i="1" s="1"/>
  <c r="EE287" i="1" s="1"/>
  <c r="EL287" i="1" s="1"/>
  <c r="EN287" i="1" s="1"/>
  <c r="EE313" i="1"/>
  <c r="EL313" i="1" s="1"/>
  <c r="EN313" i="1" s="1"/>
  <c r="DX425" i="1"/>
  <c r="EE425" i="1" s="1"/>
  <c r="EL425" i="1" s="1"/>
  <c r="EN425" i="1" s="1"/>
  <c r="EE499" i="1"/>
  <c r="EL499" i="1" s="1"/>
  <c r="EN499" i="1" s="1"/>
  <c r="DX503" i="1"/>
  <c r="EE505" i="1"/>
  <c r="EL505" i="1" s="1"/>
  <c r="EN505" i="1" s="1"/>
  <c r="DX341" i="1"/>
  <c r="EE341" i="1" s="1"/>
  <c r="EL341" i="1" s="1"/>
  <c r="EN341" i="1" s="1"/>
  <c r="DX342" i="1"/>
  <c r="EE342" i="1" s="1"/>
  <c r="EL342" i="1" s="1"/>
  <c r="EN342" i="1" s="1"/>
  <c r="DX401" i="1"/>
  <c r="EE401" i="1" s="1"/>
  <c r="EL401" i="1" s="1"/>
  <c r="EN401" i="1" s="1"/>
  <c r="DX404" i="1"/>
  <c r="EE404" i="1" s="1"/>
  <c r="EL404" i="1" s="1"/>
  <c r="EN404" i="1" s="1"/>
  <c r="DX406" i="1"/>
  <c r="EE406" i="1" s="1"/>
  <c r="EL406" i="1" s="1"/>
  <c r="EN406" i="1" s="1"/>
  <c r="EE521" i="1"/>
  <c r="EL521" i="1" s="1"/>
  <c r="EN521" i="1" s="1"/>
  <c r="DP562" i="1"/>
  <c r="DR562" i="1" s="1"/>
  <c r="DT562" i="1" s="1"/>
  <c r="DV562" i="1" s="1"/>
  <c r="DX497" i="1"/>
  <c r="DX501" i="1"/>
  <c r="DX518" i="1"/>
  <c r="DP543" i="1"/>
  <c r="DR543" i="1" s="1"/>
  <c r="DT543" i="1" s="1"/>
  <c r="DV543" i="1" s="1"/>
  <c r="DP545" i="1"/>
  <c r="DR545" i="1" s="1"/>
  <c r="DT545" i="1" s="1"/>
  <c r="DV545" i="1" s="1"/>
  <c r="DP547" i="1"/>
  <c r="DR547" i="1" s="1"/>
  <c r="DT547" i="1" s="1"/>
  <c r="DV547" i="1" s="1"/>
  <c r="DP549" i="1"/>
  <c r="DR549" i="1" s="1"/>
  <c r="DT549" i="1" s="1"/>
  <c r="DV549" i="1" s="1"/>
  <c r="DP551" i="1"/>
  <c r="DR551" i="1" s="1"/>
  <c r="DT551" i="1" s="1"/>
  <c r="DV551" i="1" s="1"/>
  <c r="DP553" i="1"/>
  <c r="DR553" i="1" s="1"/>
  <c r="DT553" i="1" s="1"/>
  <c r="DV553" i="1" s="1"/>
  <c r="DP560" i="1"/>
  <c r="DR560" i="1" s="1"/>
  <c r="DT560" i="1" s="1"/>
  <c r="DV560" i="1" s="1"/>
  <c r="DR580" i="1"/>
  <c r="DT580" i="1"/>
  <c r="DV580" i="1" s="1"/>
  <c r="DP594" i="1"/>
  <c r="DR594" i="1" s="1"/>
  <c r="DT594" i="1" s="1"/>
  <c r="DV594" i="1" s="1"/>
  <c r="DX598" i="1"/>
  <c r="DP598" i="1"/>
  <c r="DR598" i="1" s="1"/>
  <c r="DT598" i="1" s="1"/>
  <c r="DV598" i="1" s="1"/>
  <c r="DP602" i="1"/>
  <c r="DR602" i="1" s="1"/>
  <c r="DT602" i="1" s="1"/>
  <c r="DV602" i="1" s="1"/>
  <c r="DX606" i="1"/>
  <c r="EE606" i="1" s="1"/>
  <c r="EL606" i="1" s="1"/>
  <c r="EN606" i="1" s="1"/>
  <c r="DX612" i="1"/>
  <c r="EE612" i="1" s="1"/>
  <c r="EL612" i="1" s="1"/>
  <c r="EN612" i="1" s="1"/>
  <c r="DT209" i="1"/>
  <c r="DR209" i="1"/>
  <c r="DX209" i="1" s="1"/>
  <c r="EE209" i="1" s="1"/>
  <c r="EL209" i="1" s="1"/>
  <c r="EN209" i="1" s="1"/>
  <c r="EE319" i="1"/>
  <c r="EL319" i="1" s="1"/>
  <c r="EN319" i="1" s="1"/>
  <c r="DR331" i="1"/>
  <c r="DT331" i="1"/>
  <c r="DV331" i="1" s="1"/>
  <c r="DR523" i="1"/>
  <c r="DT523" i="1"/>
  <c r="DV523" i="1" s="1"/>
  <c r="DP558" i="1"/>
  <c r="DR558" i="1" s="1"/>
  <c r="DT558" i="1" s="1"/>
  <c r="DV558" i="1" s="1"/>
  <c r="DX484" i="1"/>
  <c r="DX486" i="1"/>
  <c r="DX488" i="1"/>
  <c r="DX492" i="1"/>
  <c r="DX519" i="1"/>
  <c r="DX533" i="1"/>
  <c r="DP533" i="1"/>
  <c r="DR533" i="1" s="1"/>
  <c r="DT533" i="1" s="1"/>
  <c r="DV533" i="1" s="1"/>
  <c r="DX536" i="1"/>
  <c r="EE536" i="1" s="1"/>
  <c r="EL536" i="1" s="1"/>
  <c r="EN536" i="1" s="1"/>
  <c r="DP603" i="1"/>
  <c r="DR603" i="1" s="1"/>
  <c r="DT603" i="1" s="1"/>
  <c r="DV603" i="1" s="1"/>
  <c r="DX614" i="1"/>
  <c r="EE614" i="1" s="1"/>
  <c r="EL614" i="1" s="1"/>
  <c r="EN614" i="1" s="1"/>
  <c r="DP41" i="1"/>
  <c r="DP51" i="1"/>
  <c r="DX55" i="1"/>
  <c r="DP57" i="1"/>
  <c r="DP106" i="1"/>
  <c r="DR106" i="1" s="1"/>
  <c r="DT106" i="1" s="1"/>
  <c r="DP114" i="1"/>
  <c r="DR114" i="1" s="1"/>
  <c r="DT114" i="1" s="1"/>
  <c r="DP120" i="1"/>
  <c r="DR120" i="1" s="1"/>
  <c r="DT120" i="1" s="1"/>
  <c r="DP142" i="1"/>
  <c r="DR142" i="1" s="1"/>
  <c r="DT142" i="1" s="1"/>
  <c r="DV142" i="1" s="1"/>
  <c r="DP166" i="1"/>
  <c r="DT10" i="1"/>
  <c r="DR10" i="1"/>
  <c r="DT12" i="1"/>
  <c r="DR12" i="1"/>
  <c r="DR32" i="1"/>
  <c r="DT32" i="1"/>
  <c r="DT39" i="1"/>
  <c r="DR39" i="1"/>
  <c r="DP49" i="1"/>
  <c r="DP61" i="1"/>
  <c r="DP67" i="1"/>
  <c r="DP78" i="1"/>
  <c r="DP80" i="1"/>
  <c r="DP89" i="1"/>
  <c r="DP100" i="1"/>
  <c r="DP116" i="1"/>
  <c r="DP133" i="1"/>
  <c r="DR133" i="1" s="1"/>
  <c r="DT133" i="1" s="1"/>
  <c r="DX133" i="1"/>
  <c r="DP138" i="1"/>
  <c r="DR138" i="1" s="1"/>
  <c r="DT138" i="1" s="1"/>
  <c r="DX138" i="1" s="1"/>
  <c r="EE138" i="1" s="1"/>
  <c r="EL138" i="1" s="1"/>
  <c r="EN138" i="1" s="1"/>
  <c r="DP152" i="1"/>
  <c r="DR152" i="1" s="1"/>
  <c r="DT152" i="1" s="1"/>
  <c r="DT158" i="1"/>
  <c r="DV158" i="1" s="1"/>
  <c r="DR158" i="1"/>
  <c r="DP172" i="1"/>
  <c r="DR35" i="1"/>
  <c r="DT35" i="1"/>
  <c r="DR37" i="1"/>
  <c r="DT37" i="1"/>
  <c r="DP48" i="1"/>
  <c r="DP72" i="1"/>
  <c r="DT87" i="1"/>
  <c r="DR87" i="1"/>
  <c r="DX87" i="1" s="1"/>
  <c r="EE87" i="1" s="1"/>
  <c r="EL87" i="1" s="1"/>
  <c r="EN87" i="1" s="1"/>
  <c r="DP93" i="1"/>
  <c r="DP101" i="1"/>
  <c r="DP103" i="1"/>
  <c r="DR103" i="1" s="1"/>
  <c r="DT103" i="1" s="1"/>
  <c r="DX103" i="1" s="1"/>
  <c r="EE103" i="1" s="1"/>
  <c r="EL103" i="1" s="1"/>
  <c r="EN103" i="1" s="1"/>
  <c r="DP118" i="1"/>
  <c r="DR118" i="1" s="1"/>
  <c r="DT118" i="1" s="1"/>
  <c r="DX118" i="1"/>
  <c r="DP123" i="1"/>
  <c r="DR123" i="1" s="1"/>
  <c r="DT123" i="1" s="1"/>
  <c r="ET204" i="1"/>
  <c r="DL155" i="1"/>
  <c r="EX204" i="1" s="1"/>
  <c r="DP159" i="1"/>
  <c r="DP164" i="1"/>
  <c r="DT188" i="1"/>
  <c r="DV188" i="1" s="1"/>
  <c r="DR188" i="1"/>
  <c r="DX188" i="1" s="1"/>
  <c r="EE188" i="1" s="1"/>
  <c r="EL188" i="1" s="1"/>
  <c r="EN188" i="1" s="1"/>
  <c r="DT199" i="1"/>
  <c r="DV199" i="1" s="1"/>
  <c r="DR199" i="1"/>
  <c r="DX199" i="1" s="1"/>
  <c r="EE199" i="1" s="1"/>
  <c r="EL199" i="1" s="1"/>
  <c r="EN199" i="1" s="1"/>
  <c r="DT200" i="1"/>
  <c r="DV200" i="1" s="1"/>
  <c r="DR200" i="1"/>
  <c r="DX200" i="1" s="1"/>
  <c r="EE200" i="1" s="1"/>
  <c r="EL200" i="1" s="1"/>
  <c r="EN200" i="1" s="1"/>
  <c r="DP201" i="1"/>
  <c r="DR201" i="1" s="1"/>
  <c r="DT201" i="1" s="1"/>
  <c r="DV201" i="1" s="1"/>
  <c r="DT203" i="1"/>
  <c r="DV203" i="1" s="1"/>
  <c r="DR203" i="1"/>
  <c r="DR25" i="1"/>
  <c r="DT25" i="1"/>
  <c r="DP177" i="1"/>
  <c r="DR183" i="1"/>
  <c r="DT183" i="1"/>
  <c r="DV183" i="1" s="1"/>
  <c r="DT187" i="1"/>
  <c r="DV187" i="1" s="1"/>
  <c r="DR187" i="1"/>
  <c r="DT222" i="1"/>
  <c r="DV222" i="1" s="1"/>
  <c r="DR222" i="1"/>
  <c r="DX222" i="1" s="1"/>
  <c r="EE222" i="1" s="1"/>
  <c r="EL222" i="1" s="1"/>
  <c r="EN222" i="1" s="1"/>
  <c r="DP256" i="1"/>
  <c r="DP259" i="1"/>
  <c r="DT211" i="1"/>
  <c r="DV211" i="1" s="1"/>
  <c r="DR211" i="1"/>
  <c r="DP250" i="1"/>
  <c r="DR309" i="1"/>
  <c r="DT309" i="1"/>
  <c r="DV309" i="1" s="1"/>
  <c r="DR223" i="1"/>
  <c r="DT223" i="1"/>
  <c r="DV223" i="1" s="1"/>
  <c r="DT246" i="1"/>
  <c r="DV246" i="1" s="1"/>
  <c r="DR246" i="1"/>
  <c r="EE273" i="1"/>
  <c r="EL273" i="1" s="1"/>
  <c r="EN273" i="1" s="1"/>
  <c r="DR289" i="1"/>
  <c r="DT289" i="1"/>
  <c r="DV289" i="1" s="1"/>
  <c r="DR296" i="1"/>
  <c r="DT296" i="1"/>
  <c r="DV296" i="1" s="1"/>
  <c r="DX296" i="1"/>
  <c r="DR332" i="1"/>
  <c r="DT332" i="1"/>
  <c r="DV332" i="1" s="1"/>
  <c r="DX528" i="1"/>
  <c r="DP531" i="1"/>
  <c r="DR531" i="1" s="1"/>
  <c r="DT531" i="1" s="1"/>
  <c r="DV531" i="1" s="1"/>
  <c r="DP605" i="1"/>
  <c r="DR605" i="1" s="1"/>
  <c r="DT605" i="1" s="1"/>
  <c r="DV605" i="1" s="1"/>
  <c r="DX610" i="1"/>
  <c r="EE610" i="1" s="1"/>
  <c r="EL610" i="1" s="1"/>
  <c r="EN610" i="1" s="1"/>
  <c r="DP124" i="1"/>
  <c r="DR124" i="1" s="1"/>
  <c r="DT124" i="1" s="1"/>
  <c r="DP134" i="1"/>
  <c r="DR134" i="1" s="1"/>
  <c r="DT134" i="1" s="1"/>
  <c r="DX134" i="1"/>
  <c r="EE134" i="1" s="1"/>
  <c r="EL134" i="1" s="1"/>
  <c r="EN134" i="1" s="1"/>
  <c r="DP169" i="1"/>
  <c r="DX22" i="1"/>
  <c r="EE22" i="1" s="1"/>
  <c r="EL22" i="1" s="1"/>
  <c r="EN22" i="1" s="1"/>
  <c r="DX30" i="1"/>
  <c r="EE30" i="1" s="1"/>
  <c r="EL30" i="1" s="1"/>
  <c r="EN30" i="1" s="1"/>
  <c r="DP44" i="1"/>
  <c r="DP54" i="1"/>
  <c r="DP82" i="1"/>
  <c r="DP88" i="1"/>
  <c r="DP107" i="1"/>
  <c r="DR107" i="1" s="1"/>
  <c r="DT107" i="1" s="1"/>
  <c r="EE111" i="1"/>
  <c r="EL111" i="1" s="1"/>
  <c r="EN111" i="1" s="1"/>
  <c r="DP112" i="1"/>
  <c r="DR112" i="1" s="1"/>
  <c r="DT112" i="1" s="1"/>
  <c r="DX112" i="1" s="1"/>
  <c r="EE112" i="1" s="1"/>
  <c r="EL112" i="1" s="1"/>
  <c r="EN112" i="1" s="1"/>
  <c r="DP143" i="1"/>
  <c r="DR143" i="1" s="1"/>
  <c r="DT143" i="1" s="1"/>
  <c r="DX143" i="1" s="1"/>
  <c r="EE143" i="1" s="1"/>
  <c r="EL143" i="1" s="1"/>
  <c r="EN143" i="1" s="1"/>
  <c r="EE151" i="1"/>
  <c r="EL151" i="1" s="1"/>
  <c r="EN151" i="1" s="1"/>
  <c r="DP156" i="1"/>
  <c r="DR156" i="1" s="1"/>
  <c r="DT156" i="1" s="1"/>
  <c r="DV156" i="1" s="1"/>
  <c r="DP161" i="1"/>
  <c r="DR36" i="1"/>
  <c r="DT36" i="1"/>
  <c r="DR38" i="1"/>
  <c r="DT38" i="1"/>
  <c r="DP50" i="1"/>
  <c r="DP71" i="1"/>
  <c r="DP77" i="1"/>
  <c r="DP84" i="1"/>
  <c r="DP90" i="1"/>
  <c r="DP115" i="1"/>
  <c r="DR115" i="1" s="1"/>
  <c r="DT115" i="1" s="1"/>
  <c r="DP121" i="1"/>
  <c r="DR121" i="1" s="1"/>
  <c r="DT121" i="1" s="1"/>
  <c r="DX121" i="1"/>
  <c r="EE121" i="1" s="1"/>
  <c r="EL121" i="1" s="1"/>
  <c r="EN121" i="1" s="1"/>
  <c r="DP144" i="1"/>
  <c r="DR144" i="1" s="1"/>
  <c r="DT144" i="1" s="1"/>
  <c r="DP150" i="1"/>
  <c r="DR150" i="1" s="1"/>
  <c r="DT150" i="1" s="1"/>
  <c r="DX150" i="1"/>
  <c r="EE150" i="1" s="1"/>
  <c r="EL150" i="1" s="1"/>
  <c r="EN150" i="1" s="1"/>
  <c r="DP165" i="1"/>
  <c r="EE181" i="1"/>
  <c r="EL181" i="1" s="1"/>
  <c r="EN181" i="1" s="1"/>
  <c r="DX185" i="1"/>
  <c r="EE185" i="1" s="1"/>
  <c r="EL185" i="1" s="1"/>
  <c r="EN185" i="1" s="1"/>
  <c r="DX196" i="1"/>
  <c r="EE196" i="1" s="1"/>
  <c r="EL196" i="1" s="1"/>
  <c r="EN196" i="1" s="1"/>
  <c r="DR265" i="1"/>
  <c r="DT265" i="1"/>
  <c r="DV265" i="1" s="1"/>
  <c r="DR316" i="1"/>
  <c r="DX316" i="1" s="1"/>
  <c r="EE316" i="1" s="1"/>
  <c r="EL316" i="1" s="1"/>
  <c r="EN316" i="1" s="1"/>
  <c r="DT316" i="1"/>
  <c r="DV316" i="1" s="1"/>
  <c r="DR13" i="1"/>
  <c r="DT13" i="1"/>
  <c r="DX13" i="1" s="1"/>
  <c r="EE13" i="1" s="1"/>
  <c r="EL13" i="1" s="1"/>
  <c r="EN13" i="1" s="1"/>
  <c r="DP202" i="1"/>
  <c r="DT210" i="1"/>
  <c r="DV210" i="1" s="1"/>
  <c r="DR210" i="1"/>
  <c r="DT279" i="1"/>
  <c r="DV279" i="1" s="1"/>
  <c r="DR279" i="1"/>
  <c r="DX279" i="1" s="1"/>
  <c r="EE279" i="1" s="1"/>
  <c r="EL279" i="1" s="1"/>
  <c r="EN279" i="1" s="1"/>
  <c r="DX297" i="1"/>
  <c r="EE297" i="1" s="1"/>
  <c r="EL297" i="1" s="1"/>
  <c r="EN297" i="1" s="1"/>
  <c r="DX214" i="1"/>
  <c r="EE214" i="1" s="1"/>
  <c r="EL214" i="1" s="1"/>
  <c r="EN214" i="1" s="1"/>
  <c r="DR224" i="1"/>
  <c r="DX224" i="1" s="1"/>
  <c r="EE224" i="1" s="1"/>
  <c r="EL224" i="1" s="1"/>
  <c r="EN224" i="1" s="1"/>
  <c r="DT224" i="1"/>
  <c r="DV224" i="1" s="1"/>
  <c r="DR225" i="1"/>
  <c r="DX225" i="1" s="1"/>
  <c r="EE225" i="1" s="1"/>
  <c r="EL225" i="1" s="1"/>
  <c r="EN225" i="1" s="1"/>
  <c r="DT225" i="1"/>
  <c r="DV225" i="1" s="1"/>
  <c r="DP226" i="1"/>
  <c r="DT227" i="1"/>
  <c r="DV227" i="1" s="1"/>
  <c r="DR227" i="1"/>
  <c r="DX227" i="1" s="1"/>
  <c r="EE227" i="1" s="1"/>
  <c r="EL227" i="1" s="1"/>
  <c r="EN227" i="1" s="1"/>
  <c r="DX264" i="1"/>
  <c r="EE264" i="1" s="1"/>
  <c r="EL264" i="1" s="1"/>
  <c r="EN264" i="1" s="1"/>
  <c r="DR268" i="1"/>
  <c r="DT268" i="1"/>
  <c r="DV268" i="1" s="1"/>
  <c r="DT208" i="1"/>
  <c r="DV208" i="1" s="1"/>
  <c r="DR208" i="1"/>
  <c r="DN216" i="1"/>
  <c r="AW216" i="1"/>
  <c r="DH216" i="1"/>
  <c r="DL216" i="1" s="1"/>
  <c r="BE216" i="1"/>
  <c r="DP216" i="1"/>
  <c r="DP249" i="1"/>
  <c r="DR290" i="1"/>
  <c r="DT290" i="1"/>
  <c r="DV290" i="1" s="1"/>
  <c r="DT329" i="1"/>
  <c r="DV329" i="1" s="1"/>
  <c r="DR329" i="1"/>
  <c r="DX329" i="1" s="1"/>
  <c r="EE329" i="1" s="1"/>
  <c r="EL329" i="1" s="1"/>
  <c r="EN329" i="1" s="1"/>
  <c r="EE503" i="1"/>
  <c r="EL503" i="1" s="1"/>
  <c r="EN503" i="1" s="1"/>
  <c r="DR534" i="1"/>
  <c r="DX534" i="1" s="1"/>
  <c r="EE534" i="1" s="1"/>
  <c r="EL534" i="1" s="1"/>
  <c r="EN534" i="1" s="1"/>
  <c r="DT534" i="1"/>
  <c r="DX485" i="1"/>
  <c r="EE485" i="1" s="1"/>
  <c r="EL485" i="1" s="1"/>
  <c r="EN485" i="1" s="1"/>
  <c r="DX487" i="1"/>
  <c r="EE487" i="1" s="1"/>
  <c r="EL487" i="1" s="1"/>
  <c r="EN487" i="1" s="1"/>
  <c r="DX489" i="1"/>
  <c r="EE489" i="1" s="1"/>
  <c r="EL489" i="1" s="1"/>
  <c r="EN489" i="1" s="1"/>
  <c r="DT491" i="1"/>
  <c r="DR491" i="1"/>
  <c r="DX491" i="1" s="1"/>
  <c r="EE491" i="1" s="1"/>
  <c r="EL491" i="1" s="1"/>
  <c r="EN491" i="1" s="1"/>
  <c r="DX495" i="1"/>
  <c r="EE495" i="1" s="1"/>
  <c r="EL495" i="1" s="1"/>
  <c r="EN495" i="1" s="1"/>
  <c r="EE497" i="1"/>
  <c r="EL497" i="1" s="1"/>
  <c r="EN497" i="1" s="1"/>
  <c r="EE501" i="1"/>
  <c r="EL501" i="1" s="1"/>
  <c r="EN501" i="1" s="1"/>
  <c r="DR516" i="1"/>
  <c r="DT516" i="1"/>
  <c r="DV516" i="1" s="1"/>
  <c r="EE518" i="1"/>
  <c r="EL518" i="1" s="1"/>
  <c r="EN518" i="1" s="1"/>
  <c r="DP540" i="1"/>
  <c r="DR540" i="1" s="1"/>
  <c r="DT540" i="1" s="1"/>
  <c r="DV540" i="1" s="1"/>
  <c r="DP542" i="1"/>
  <c r="DR542" i="1" s="1"/>
  <c r="DT542" i="1" s="1"/>
  <c r="DV542" i="1" s="1"/>
  <c r="DX559" i="1"/>
  <c r="EE559" i="1" s="1"/>
  <c r="EL559" i="1" s="1"/>
  <c r="EN559" i="1" s="1"/>
  <c r="DX592" i="1"/>
  <c r="EE592" i="1" s="1"/>
  <c r="EL592" i="1" s="1"/>
  <c r="EN592" i="1" s="1"/>
  <c r="DP592" i="1"/>
  <c r="DR592" i="1" s="1"/>
  <c r="DT592" i="1" s="1"/>
  <c r="DV592" i="1" s="1"/>
  <c r="DX563" i="1"/>
  <c r="EE563" i="1" s="1"/>
  <c r="EL563" i="1" s="1"/>
  <c r="EN563" i="1" s="1"/>
  <c r="DX567" i="1"/>
  <c r="EE567" i="1" s="1"/>
  <c r="EL567" i="1" s="1"/>
  <c r="EN567" i="1" s="1"/>
  <c r="DX571" i="1"/>
  <c r="EE571" i="1" s="1"/>
  <c r="EL571" i="1" s="1"/>
  <c r="EN571" i="1" s="1"/>
  <c r="DX580" i="1"/>
  <c r="EE580" i="1" s="1"/>
  <c r="EL580" i="1" s="1"/>
  <c r="EN580" i="1" s="1"/>
  <c r="DX587" i="1"/>
  <c r="EE587" i="1" s="1"/>
  <c r="EL587" i="1" s="1"/>
  <c r="EN587" i="1" s="1"/>
  <c r="DX590" i="1"/>
  <c r="EE590" i="1" s="1"/>
  <c r="EL590" i="1" s="1"/>
  <c r="EN590" i="1" s="1"/>
  <c r="DP596" i="1"/>
  <c r="DR596" i="1" s="1"/>
  <c r="DT596" i="1" s="1"/>
  <c r="DV596" i="1" s="1"/>
  <c r="EE598" i="1"/>
  <c r="EL598" i="1" s="1"/>
  <c r="EN598" i="1" s="1"/>
  <c r="DX600" i="1"/>
  <c r="EE600" i="1" s="1"/>
  <c r="EL600" i="1" s="1"/>
  <c r="EN600" i="1" s="1"/>
  <c r="DP600" i="1"/>
  <c r="DR600" i="1" s="1"/>
  <c r="DT600" i="1" s="1"/>
  <c r="DV600" i="1" s="1"/>
  <c r="DP616" i="1"/>
  <c r="DR616" i="1" s="1"/>
  <c r="DT616" i="1" s="1"/>
  <c r="DV616" i="1" s="1"/>
  <c r="DP624" i="1"/>
  <c r="DR624" i="1" s="1"/>
  <c r="DT624" i="1" s="1"/>
  <c r="DV624" i="1" s="1"/>
  <c r="DP609" i="1"/>
  <c r="DR609" i="1" s="1"/>
  <c r="DT609" i="1" s="1"/>
  <c r="DV609" i="1" s="1"/>
  <c r="DP244" i="1"/>
  <c r="DN278" i="1"/>
  <c r="AW278" i="1"/>
  <c r="DH278" i="1"/>
  <c r="DL278" i="1" s="1"/>
  <c r="AY278" i="1"/>
  <c r="BE278" i="1" s="1"/>
  <c r="DP278" i="1"/>
  <c r="DN308" i="1"/>
  <c r="AW308" i="1"/>
  <c r="DH308" i="1"/>
  <c r="DL308" i="1" s="1"/>
  <c r="AY308" i="1"/>
  <c r="BE308" i="1" s="1"/>
  <c r="DP308" i="1"/>
  <c r="EE331" i="1"/>
  <c r="EL331" i="1" s="1"/>
  <c r="EN331" i="1" s="1"/>
  <c r="DX331" i="1"/>
  <c r="DR515" i="1"/>
  <c r="DX515" i="1" s="1"/>
  <c r="EE515" i="1" s="1"/>
  <c r="EL515" i="1" s="1"/>
  <c r="EN515" i="1" s="1"/>
  <c r="DT515" i="1"/>
  <c r="DV515" i="1" s="1"/>
  <c r="DX532" i="1"/>
  <c r="EE532" i="1" s="1"/>
  <c r="EL532" i="1" s="1"/>
  <c r="EN532" i="1" s="1"/>
  <c r="DP532" i="1"/>
  <c r="DR532" i="1" s="1"/>
  <c r="DT532" i="1" s="1"/>
  <c r="DV532" i="1" s="1"/>
  <c r="DX538" i="1"/>
  <c r="EE538" i="1" s="1"/>
  <c r="EL538" i="1" s="1"/>
  <c r="EN538" i="1" s="1"/>
  <c r="DX557" i="1"/>
  <c r="EE557" i="1" s="1"/>
  <c r="EL557" i="1" s="1"/>
  <c r="EN557" i="1" s="1"/>
  <c r="EE484" i="1"/>
  <c r="EL484" i="1" s="1"/>
  <c r="EN484" i="1" s="1"/>
  <c r="EE486" i="1"/>
  <c r="EL486" i="1" s="1"/>
  <c r="EN486" i="1" s="1"/>
  <c r="EE488" i="1"/>
  <c r="EL488" i="1" s="1"/>
  <c r="EN488" i="1" s="1"/>
  <c r="EE492" i="1"/>
  <c r="EL492" i="1" s="1"/>
  <c r="EN492" i="1" s="1"/>
  <c r="DX500" i="1"/>
  <c r="EE500" i="1" s="1"/>
  <c r="EL500" i="1" s="1"/>
  <c r="EN500" i="1" s="1"/>
  <c r="EE519" i="1"/>
  <c r="EL519" i="1" s="1"/>
  <c r="EN519" i="1" s="1"/>
  <c r="DX529" i="1"/>
  <c r="EE529" i="1" s="1"/>
  <c r="EL529" i="1" s="1"/>
  <c r="EN529" i="1" s="1"/>
  <c r="DP529" i="1"/>
  <c r="DR529" i="1" s="1"/>
  <c r="DT529" i="1" s="1"/>
  <c r="DV529" i="1" s="1"/>
  <c r="EE533" i="1"/>
  <c r="EL533" i="1" s="1"/>
  <c r="EN533" i="1" s="1"/>
  <c r="DP617" i="1"/>
  <c r="DR617" i="1" s="1"/>
  <c r="DT617" i="1" s="1"/>
  <c r="DV617" i="1" s="1"/>
  <c r="DX556" i="1"/>
  <c r="EE556" i="1" s="1"/>
  <c r="EL556" i="1" s="1"/>
  <c r="EN556" i="1" s="1"/>
  <c r="DX569" i="1"/>
  <c r="EE569" i="1" s="1"/>
  <c r="EL569" i="1" s="1"/>
  <c r="EN569" i="1" s="1"/>
  <c r="DX573" i="1"/>
  <c r="EE573" i="1" s="1"/>
  <c r="EL573" i="1" s="1"/>
  <c r="EN573" i="1" s="1"/>
  <c r="DX604" i="1"/>
  <c r="EE604" i="1" s="1"/>
  <c r="EL604" i="1" s="1"/>
  <c r="EN604" i="1" s="1"/>
  <c r="DX608" i="1"/>
  <c r="EE608" i="1" s="1"/>
  <c r="EL608" i="1" s="1"/>
  <c r="EN608" i="1" s="1"/>
  <c r="DR31" i="1"/>
  <c r="DT31" i="1"/>
  <c r="DP43" i="1"/>
  <c r="DP53" i="1"/>
  <c r="EE55" i="1"/>
  <c r="EL55" i="1" s="1"/>
  <c r="EN55" i="1" s="1"/>
  <c r="DP76" i="1"/>
  <c r="DP109" i="1"/>
  <c r="DR109" i="1" s="1"/>
  <c r="DT109" i="1" s="1"/>
  <c r="DX117" i="1"/>
  <c r="EE117" i="1" s="1"/>
  <c r="EL117" i="1" s="1"/>
  <c r="EN117" i="1" s="1"/>
  <c r="DP117" i="1"/>
  <c r="DR117" i="1" s="1"/>
  <c r="DT117" i="1" s="1"/>
  <c r="DP168" i="1"/>
  <c r="DR9" i="1"/>
  <c r="DT9" i="1"/>
  <c r="DX39" i="1"/>
  <c r="EE39" i="1" s="1"/>
  <c r="EL39" i="1" s="1"/>
  <c r="EN39" i="1" s="1"/>
  <c r="DP42" i="1"/>
  <c r="DP58" i="1"/>
  <c r="DP64" i="1"/>
  <c r="DP70" i="1"/>
  <c r="DP79" i="1"/>
  <c r="DP81" i="1"/>
  <c r="DP94" i="1"/>
  <c r="DP105" i="1"/>
  <c r="DR105" i="1" s="1"/>
  <c r="DT105" i="1" s="1"/>
  <c r="DP127" i="1"/>
  <c r="DR127" i="1" s="1"/>
  <c r="DT127" i="1" s="1"/>
  <c r="EE133" i="1"/>
  <c r="EL133" i="1" s="1"/>
  <c r="EN133" i="1" s="1"/>
  <c r="DP135" i="1"/>
  <c r="DR135" i="1" s="1"/>
  <c r="DT135" i="1" s="1"/>
  <c r="DX135" i="1"/>
  <c r="EE135" i="1" s="1"/>
  <c r="EL135" i="1" s="1"/>
  <c r="EN135" i="1" s="1"/>
  <c r="DP136" i="1"/>
  <c r="DR136" i="1" s="1"/>
  <c r="DT136" i="1" s="1"/>
  <c r="DX136" i="1"/>
  <c r="EE136" i="1" s="1"/>
  <c r="EL136" i="1" s="1"/>
  <c r="EN136" i="1" s="1"/>
  <c r="DP140" i="1"/>
  <c r="DR140" i="1" s="1"/>
  <c r="DT140" i="1" s="1"/>
  <c r="DP145" i="1"/>
  <c r="DR145" i="1" s="1"/>
  <c r="DT145" i="1" s="1"/>
  <c r="DX158" i="1"/>
  <c r="EE158" i="1" s="1"/>
  <c r="EL158" i="1" s="1"/>
  <c r="EN158" i="1" s="1"/>
  <c r="DP167" i="1"/>
  <c r="DT28" i="1"/>
  <c r="DR28" i="1"/>
  <c r="DX28" i="1" s="1"/>
  <c r="EE28" i="1" s="1"/>
  <c r="EL28" i="1" s="1"/>
  <c r="EN28" i="1" s="1"/>
  <c r="DX35" i="1"/>
  <c r="EE35" i="1" s="1"/>
  <c r="EL35" i="1" s="1"/>
  <c r="EN35" i="1" s="1"/>
  <c r="DX37" i="1"/>
  <c r="EE37" i="1" s="1"/>
  <c r="EL37" i="1" s="1"/>
  <c r="EN37" i="1" s="1"/>
  <c r="DT40" i="1"/>
  <c r="DR40" i="1"/>
  <c r="DX40" i="1" s="1"/>
  <c r="EE40" i="1" s="1"/>
  <c r="EL40" i="1" s="1"/>
  <c r="EN40" i="1" s="1"/>
  <c r="DP62" i="1"/>
  <c r="DP69" i="1"/>
  <c r="DP75" i="1"/>
  <c r="DP83" i="1"/>
  <c r="DP85" i="1"/>
  <c r="DP110" i="1"/>
  <c r="DR110" i="1" s="1"/>
  <c r="DT110" i="1" s="1"/>
  <c r="EE118" i="1"/>
  <c r="EL118" i="1" s="1"/>
  <c r="EN118" i="1" s="1"/>
  <c r="DP148" i="1"/>
  <c r="DR148" i="1" s="1"/>
  <c r="DT148" i="1" s="1"/>
  <c r="EZ204" i="1"/>
  <c r="DP155" i="1"/>
  <c r="DT228" i="1"/>
  <c r="DV228" i="1" s="1"/>
  <c r="DR228" i="1"/>
  <c r="DX228" i="1" s="1"/>
  <c r="EE228" i="1" s="1"/>
  <c r="EL228" i="1" s="1"/>
  <c r="EN228" i="1" s="1"/>
  <c r="DT242" i="1"/>
  <c r="DV242" i="1" s="1"/>
  <c r="DR242" i="1"/>
  <c r="DX242" i="1" s="1"/>
  <c r="EE242" i="1" s="1"/>
  <c r="EL242" i="1" s="1"/>
  <c r="EN242" i="1" s="1"/>
  <c r="DR293" i="1"/>
  <c r="DX293" i="1" s="1"/>
  <c r="EE293" i="1" s="1"/>
  <c r="EL293" i="1" s="1"/>
  <c r="EN293" i="1" s="1"/>
  <c r="DT293" i="1"/>
  <c r="DV293" i="1" s="1"/>
  <c r="DT298" i="1"/>
  <c r="DV298" i="1" s="1"/>
  <c r="DR298" i="1"/>
  <c r="DP179" i="1"/>
  <c r="DX183" i="1"/>
  <c r="EE183" i="1" s="1"/>
  <c r="EL183" i="1" s="1"/>
  <c r="EN183" i="1" s="1"/>
  <c r="DX187" i="1"/>
  <c r="EE187" i="1" s="1"/>
  <c r="EL187" i="1" s="1"/>
  <c r="EN187" i="1" s="1"/>
  <c r="DT230" i="1"/>
  <c r="DV230" i="1" s="1"/>
  <c r="DR230" i="1"/>
  <c r="DX230" i="1" s="1"/>
  <c r="EE230" i="1" s="1"/>
  <c r="EL230" i="1" s="1"/>
  <c r="EN230" i="1" s="1"/>
  <c r="DR277" i="1"/>
  <c r="DT277" i="1"/>
  <c r="DV277" i="1" s="1"/>
  <c r="DR300" i="1"/>
  <c r="DX300" i="1" s="1"/>
  <c r="EE300" i="1" s="1"/>
  <c r="EL300" i="1" s="1"/>
  <c r="EN300" i="1" s="1"/>
  <c r="DT300" i="1"/>
  <c r="DV300" i="1" s="1"/>
  <c r="DT315" i="1"/>
  <c r="DV315" i="1" s="1"/>
  <c r="DR315" i="1"/>
  <c r="DX211" i="1"/>
  <c r="EE211" i="1" s="1"/>
  <c r="EL211" i="1" s="1"/>
  <c r="EN211" i="1" s="1"/>
  <c r="DT229" i="1"/>
  <c r="DV229" i="1" s="1"/>
  <c r="DR229" i="1"/>
  <c r="DX229" i="1" s="1"/>
  <c r="EE229" i="1" s="1"/>
  <c r="EL229" i="1" s="1"/>
  <c r="EN229" i="1" s="1"/>
  <c r="DR274" i="1"/>
  <c r="DT274" i="1"/>
  <c r="DV274" i="1" s="1"/>
  <c r="DR303" i="1"/>
  <c r="DT303" i="1"/>
  <c r="DV303" i="1" s="1"/>
  <c r="DT330" i="1"/>
  <c r="DV330" i="1" s="1"/>
  <c r="DR330" i="1"/>
  <c r="DX330" i="1" s="1"/>
  <c r="EE330" i="1" s="1"/>
  <c r="EL330" i="1" s="1"/>
  <c r="EN330" i="1" s="1"/>
  <c r="DR215" i="1"/>
  <c r="DT215" i="1"/>
  <c r="DV215" i="1" s="1"/>
  <c r="EE223" i="1"/>
  <c r="EL223" i="1" s="1"/>
  <c r="EN223" i="1" s="1"/>
  <c r="DX223" i="1"/>
  <c r="EE237" i="1"/>
  <c r="EL237" i="1" s="1"/>
  <c r="EN237" i="1" s="1"/>
  <c r="DP245" i="1"/>
  <c r="DX246" i="1"/>
  <c r="EE246" i="1" s="1"/>
  <c r="EL246" i="1" s="1"/>
  <c r="EN246" i="1" s="1"/>
  <c r="DR286" i="1"/>
  <c r="DT286" i="1"/>
  <c r="DV286" i="1" s="1"/>
  <c r="DX286" i="1"/>
  <c r="EE286" i="1" s="1"/>
  <c r="EL286" i="1" s="1"/>
  <c r="EN286" i="1" s="1"/>
  <c r="DX289" i="1"/>
  <c r="EE289" i="1" s="1"/>
  <c r="EL289" i="1" s="1"/>
  <c r="EN289" i="1" s="1"/>
  <c r="EE296" i="1"/>
  <c r="EL296" i="1" s="1"/>
  <c r="EN296" i="1" s="1"/>
  <c r="DR312" i="1"/>
  <c r="DT312" i="1"/>
  <c r="DV312" i="1" s="1"/>
  <c r="DP328" i="1"/>
  <c r="EE528" i="1"/>
  <c r="EL528" i="1" s="1"/>
  <c r="EN528" i="1" s="1"/>
  <c r="DP530" i="1"/>
  <c r="DR530" i="1" s="1"/>
  <c r="DT530" i="1" s="1"/>
  <c r="DV530" i="1" s="1"/>
  <c r="DX490" i="1"/>
  <c r="EE490" i="1" s="1"/>
  <c r="EL490" i="1" s="1"/>
  <c r="EN490" i="1" s="1"/>
  <c r="DX517" i="1"/>
  <c r="EE517" i="1" s="1"/>
  <c r="EL517" i="1" s="1"/>
  <c r="EN517" i="1" s="1"/>
  <c r="EE555" i="1"/>
  <c r="EL555" i="1" s="1"/>
  <c r="EN555" i="1" s="1"/>
  <c r="DR582" i="1"/>
  <c r="DX582" i="1" s="1"/>
  <c r="EE582" i="1" s="1"/>
  <c r="EL582" i="1" s="1"/>
  <c r="EN582" i="1" s="1"/>
  <c r="DT582" i="1"/>
  <c r="DV582" i="1" s="1"/>
  <c r="DP589" i="1"/>
  <c r="DR589" i="1" s="1"/>
  <c r="DT589" i="1" s="1"/>
  <c r="DV589" i="1" s="1"/>
  <c r="DX560" i="1" l="1"/>
  <c r="EE560" i="1" s="1"/>
  <c r="EL560" i="1" s="1"/>
  <c r="EN560" i="1" s="1"/>
  <c r="DX545" i="1"/>
  <c r="EE545" i="1" s="1"/>
  <c r="EL545" i="1" s="1"/>
  <c r="EN545" i="1" s="1"/>
  <c r="DX543" i="1"/>
  <c r="EE543" i="1" s="1"/>
  <c r="EL543" i="1" s="1"/>
  <c r="EN543" i="1" s="1"/>
  <c r="DX312" i="1"/>
  <c r="EE312" i="1" s="1"/>
  <c r="EL312" i="1" s="1"/>
  <c r="EN312" i="1" s="1"/>
  <c r="DX274" i="1"/>
  <c r="EE274" i="1" s="1"/>
  <c r="EL274" i="1" s="1"/>
  <c r="EN274" i="1" s="1"/>
  <c r="DX315" i="1"/>
  <c r="EE315" i="1" s="1"/>
  <c r="EL315" i="1" s="1"/>
  <c r="EN315" i="1" s="1"/>
  <c r="DX277" i="1"/>
  <c r="EE277" i="1" s="1"/>
  <c r="EL277" i="1" s="1"/>
  <c r="EN277" i="1" s="1"/>
  <c r="DX298" i="1"/>
  <c r="EE298" i="1" s="1"/>
  <c r="EL298" i="1" s="1"/>
  <c r="EN298" i="1" s="1"/>
  <c r="DX290" i="1"/>
  <c r="EE290" i="1" s="1"/>
  <c r="EL290" i="1" s="1"/>
  <c r="EN290" i="1" s="1"/>
  <c r="DX265" i="1"/>
  <c r="EE265" i="1" s="1"/>
  <c r="EL265" i="1" s="1"/>
  <c r="EN265" i="1" s="1"/>
  <c r="DX208" i="1"/>
  <c r="EE208" i="1" s="1"/>
  <c r="EL208" i="1" s="1"/>
  <c r="EN208" i="1" s="1"/>
  <c r="DX210" i="1"/>
  <c r="EE210" i="1" s="1"/>
  <c r="EL210" i="1" s="1"/>
  <c r="EN210" i="1" s="1"/>
  <c r="DX203" i="1"/>
  <c r="EE203" i="1" s="1"/>
  <c r="EL203" i="1" s="1"/>
  <c r="EN203" i="1" s="1"/>
  <c r="DX178" i="1"/>
  <c r="EE178" i="1" s="1"/>
  <c r="EL178" i="1" s="1"/>
  <c r="EN178" i="1" s="1"/>
  <c r="DX197" i="1"/>
  <c r="EE197" i="1" s="1"/>
  <c r="EL197" i="1" s="1"/>
  <c r="EN197" i="1" s="1"/>
  <c r="DX193" i="1"/>
  <c r="EE193" i="1" s="1"/>
  <c r="EL193" i="1" s="1"/>
  <c r="EN193" i="1" s="1"/>
  <c r="DX105" i="1"/>
  <c r="EE105" i="1" s="1"/>
  <c r="EL105" i="1" s="1"/>
  <c r="EN105" i="1" s="1"/>
  <c r="DX106" i="1"/>
  <c r="EE106" i="1" s="1"/>
  <c r="EL106" i="1" s="1"/>
  <c r="EN106" i="1" s="1"/>
  <c r="DX9" i="1"/>
  <c r="EE9" i="1" s="1"/>
  <c r="EL9" i="1" s="1"/>
  <c r="EN9" i="1" s="1"/>
  <c r="DX31" i="1"/>
  <c r="EE31" i="1" s="1"/>
  <c r="EL31" i="1" s="1"/>
  <c r="EN31" i="1" s="1"/>
  <c r="DX38" i="1"/>
  <c r="EE38" i="1" s="1"/>
  <c r="EL38" i="1" s="1"/>
  <c r="EN38" i="1" s="1"/>
  <c r="DX36" i="1"/>
  <c r="EE36" i="1" s="1"/>
  <c r="EL36" i="1" s="1"/>
  <c r="EN36" i="1" s="1"/>
  <c r="DX25" i="1"/>
  <c r="EE25" i="1" s="1"/>
  <c r="EL25" i="1" s="1"/>
  <c r="EN25" i="1" s="1"/>
  <c r="DX32" i="1"/>
  <c r="EE32" i="1" s="1"/>
  <c r="EL32" i="1" s="1"/>
  <c r="EN32" i="1" s="1"/>
  <c r="DX12" i="1"/>
  <c r="EE12" i="1" s="1"/>
  <c r="EL12" i="1" s="1"/>
  <c r="EN12" i="1" s="1"/>
  <c r="DX10" i="1"/>
  <c r="EE10" i="1" s="1"/>
  <c r="EL10" i="1" s="1"/>
  <c r="EN10" i="1" s="1"/>
  <c r="DR328" i="1"/>
  <c r="DT328" i="1"/>
  <c r="DV328" i="1" s="1"/>
  <c r="DR245" i="1"/>
  <c r="DT245" i="1"/>
  <c r="DV245" i="1" s="1"/>
  <c r="DR179" i="1"/>
  <c r="DT179" i="1"/>
  <c r="DV179" i="1" s="1"/>
  <c r="FB204" i="1"/>
  <c r="DR155" i="1"/>
  <c r="DR83" i="1"/>
  <c r="DT83" i="1"/>
  <c r="DT75" i="1"/>
  <c r="DR75" i="1"/>
  <c r="DR62" i="1"/>
  <c r="DT62" i="1"/>
  <c r="DR167" i="1"/>
  <c r="DT167" i="1"/>
  <c r="DV167" i="1" s="1"/>
  <c r="DT94" i="1"/>
  <c r="DR94" i="1"/>
  <c r="DT79" i="1"/>
  <c r="DR79" i="1"/>
  <c r="DR70" i="1"/>
  <c r="DT70" i="1"/>
  <c r="DT53" i="1"/>
  <c r="DR53" i="1"/>
  <c r="DR278" i="1"/>
  <c r="DT278" i="1"/>
  <c r="DV278" i="1" s="1"/>
  <c r="DT202" i="1"/>
  <c r="DV202" i="1" s="1"/>
  <c r="DR202" i="1"/>
  <c r="DT90" i="1"/>
  <c r="DR90" i="1"/>
  <c r="DR71" i="1"/>
  <c r="DT71" i="1"/>
  <c r="DT161" i="1"/>
  <c r="DV161" i="1" s="1"/>
  <c r="DR161" i="1"/>
  <c r="DT88" i="1"/>
  <c r="DR88" i="1"/>
  <c r="DT44" i="1"/>
  <c r="DR44" i="1"/>
  <c r="DX605" i="1"/>
  <c r="EE605" i="1" s="1"/>
  <c r="EL605" i="1" s="1"/>
  <c r="EN605" i="1" s="1"/>
  <c r="DX332" i="1"/>
  <c r="EE332" i="1" s="1"/>
  <c r="EL332" i="1" s="1"/>
  <c r="EN332" i="1" s="1"/>
  <c r="DX309" i="1"/>
  <c r="EE309" i="1" s="1"/>
  <c r="EL309" i="1" s="1"/>
  <c r="EN309" i="1" s="1"/>
  <c r="DX123" i="1"/>
  <c r="EE123" i="1" s="1"/>
  <c r="EL123" i="1" s="1"/>
  <c r="EN123" i="1" s="1"/>
  <c r="DR101" i="1"/>
  <c r="DT101" i="1"/>
  <c r="DT93" i="1"/>
  <c r="DR93" i="1"/>
  <c r="DT172" i="1"/>
  <c r="DV172" i="1" s="1"/>
  <c r="DR172" i="1"/>
  <c r="DR89" i="1"/>
  <c r="DT89" i="1"/>
  <c r="DT80" i="1"/>
  <c r="DR80" i="1"/>
  <c r="DX80" i="1" s="1"/>
  <c r="EE80" i="1" s="1"/>
  <c r="EL80" i="1" s="1"/>
  <c r="EN80" i="1" s="1"/>
  <c r="DR61" i="1"/>
  <c r="DT61" i="1"/>
  <c r="DR166" i="1"/>
  <c r="DT166" i="1"/>
  <c r="DV166" i="1" s="1"/>
  <c r="DX142" i="1"/>
  <c r="EE142" i="1" s="1"/>
  <c r="EL142" i="1" s="1"/>
  <c r="EN142" i="1" s="1"/>
  <c r="DX120" i="1"/>
  <c r="EE120" i="1" s="1"/>
  <c r="EL120" i="1" s="1"/>
  <c r="EN120" i="1" s="1"/>
  <c r="DX114" i="1"/>
  <c r="EE114" i="1" s="1"/>
  <c r="EL114" i="1" s="1"/>
  <c r="EN114" i="1" s="1"/>
  <c r="DT57" i="1"/>
  <c r="DR57" i="1"/>
  <c r="DT51" i="1"/>
  <c r="DR51" i="1"/>
  <c r="DX602" i="1"/>
  <c r="EE602" i="1" s="1"/>
  <c r="EL602" i="1" s="1"/>
  <c r="EN602" i="1" s="1"/>
  <c r="DX594" i="1"/>
  <c r="EE594" i="1" s="1"/>
  <c r="EL594" i="1" s="1"/>
  <c r="EN594" i="1" s="1"/>
  <c r="DX553" i="1"/>
  <c r="EE553" i="1" s="1"/>
  <c r="EL553" i="1" s="1"/>
  <c r="EN553" i="1" s="1"/>
  <c r="DX551" i="1"/>
  <c r="EE551" i="1" s="1"/>
  <c r="EL551" i="1" s="1"/>
  <c r="EN551" i="1" s="1"/>
  <c r="DX549" i="1"/>
  <c r="EE549" i="1" s="1"/>
  <c r="EL549" i="1" s="1"/>
  <c r="EN549" i="1" s="1"/>
  <c r="DX547" i="1"/>
  <c r="EE547" i="1" s="1"/>
  <c r="EL547" i="1" s="1"/>
  <c r="EN547" i="1" s="1"/>
  <c r="DR254" i="1"/>
  <c r="DT254" i="1"/>
  <c r="DV254" i="1" s="1"/>
  <c r="DR252" i="1"/>
  <c r="DT252" i="1"/>
  <c r="DV252" i="1" s="1"/>
  <c r="DR154" i="1"/>
  <c r="DT154" i="1"/>
  <c r="DV154" i="1" s="1"/>
  <c r="DX129" i="1"/>
  <c r="EE129" i="1" s="1"/>
  <c r="EL129" i="1" s="1"/>
  <c r="EN129" i="1" s="1"/>
  <c r="DX125" i="1"/>
  <c r="EE125" i="1" s="1"/>
  <c r="EL125" i="1" s="1"/>
  <c r="EN125" i="1" s="1"/>
  <c r="DX108" i="1"/>
  <c r="EE108" i="1" s="1"/>
  <c r="EL108" i="1" s="1"/>
  <c r="EN108" i="1" s="1"/>
  <c r="DR102" i="1"/>
  <c r="DT102" i="1"/>
  <c r="DT99" i="1"/>
  <c r="DR99" i="1"/>
  <c r="DX99" i="1" s="1"/>
  <c r="EE99" i="1" s="1"/>
  <c r="EL99" i="1" s="1"/>
  <c r="EN99" i="1" s="1"/>
  <c r="DR47" i="1"/>
  <c r="DT47" i="1"/>
  <c r="DT52" i="1"/>
  <c r="DR52" i="1"/>
  <c r="DT73" i="1"/>
  <c r="DR73" i="1"/>
  <c r="DR66" i="1"/>
  <c r="DT66" i="1"/>
  <c r="DT68" i="1"/>
  <c r="DR68" i="1"/>
  <c r="DT65" i="1"/>
  <c r="DR65" i="1"/>
  <c r="DX589" i="1"/>
  <c r="EE589" i="1" s="1"/>
  <c r="EL589" i="1" s="1"/>
  <c r="EN589" i="1" s="1"/>
  <c r="DX530" i="1"/>
  <c r="EE530" i="1" s="1"/>
  <c r="EL530" i="1" s="1"/>
  <c r="EN530" i="1" s="1"/>
  <c r="DX328" i="1"/>
  <c r="EE328" i="1" s="1"/>
  <c r="EL328" i="1" s="1"/>
  <c r="EN328" i="1" s="1"/>
  <c r="DX245" i="1"/>
  <c r="EE245" i="1" s="1"/>
  <c r="EL245" i="1" s="1"/>
  <c r="EN245" i="1" s="1"/>
  <c r="DX215" i="1"/>
  <c r="EE215" i="1" s="1"/>
  <c r="EL215" i="1" s="1"/>
  <c r="EN215" i="1" s="1"/>
  <c r="DX303" i="1"/>
  <c r="EE303" i="1" s="1"/>
  <c r="EL303" i="1" s="1"/>
  <c r="EN303" i="1" s="1"/>
  <c r="DX179" i="1"/>
  <c r="EE179" i="1" s="1"/>
  <c r="EL179" i="1" s="1"/>
  <c r="EN179" i="1" s="1"/>
  <c r="DX148" i="1"/>
  <c r="EE148" i="1" s="1"/>
  <c r="EL148" i="1" s="1"/>
  <c r="EN148" i="1" s="1"/>
  <c r="DX110" i="1"/>
  <c r="EE110" i="1" s="1"/>
  <c r="EL110" i="1" s="1"/>
  <c r="EN110" i="1" s="1"/>
  <c r="DT85" i="1"/>
  <c r="DR85" i="1"/>
  <c r="DX85" i="1" s="1"/>
  <c r="EE85" i="1" s="1"/>
  <c r="EL85" i="1" s="1"/>
  <c r="EN85" i="1" s="1"/>
  <c r="DX83" i="1"/>
  <c r="EE83" i="1" s="1"/>
  <c r="EL83" i="1" s="1"/>
  <c r="EN83" i="1" s="1"/>
  <c r="DX75" i="1"/>
  <c r="EE75" i="1" s="1"/>
  <c r="EL75" i="1" s="1"/>
  <c r="EN75" i="1" s="1"/>
  <c r="DT69" i="1"/>
  <c r="DR69" i="1"/>
  <c r="DX69" i="1" s="1"/>
  <c r="EE69" i="1" s="1"/>
  <c r="EL69" i="1" s="1"/>
  <c r="EN69" i="1" s="1"/>
  <c r="DX62" i="1"/>
  <c r="EE62" i="1" s="1"/>
  <c r="EL62" i="1" s="1"/>
  <c r="EN62" i="1" s="1"/>
  <c r="DX167" i="1"/>
  <c r="EE167" i="1" s="1"/>
  <c r="EL167" i="1" s="1"/>
  <c r="EN167" i="1" s="1"/>
  <c r="DX145" i="1"/>
  <c r="EE145" i="1" s="1"/>
  <c r="EL145" i="1" s="1"/>
  <c r="EN145" i="1" s="1"/>
  <c r="DX140" i="1"/>
  <c r="EE140" i="1" s="1"/>
  <c r="EL140" i="1" s="1"/>
  <c r="EN140" i="1" s="1"/>
  <c r="DX127" i="1"/>
  <c r="EE127" i="1" s="1"/>
  <c r="EL127" i="1" s="1"/>
  <c r="EN127" i="1" s="1"/>
  <c r="DX94" i="1"/>
  <c r="EE94" i="1" s="1"/>
  <c r="EL94" i="1" s="1"/>
  <c r="EN94" i="1" s="1"/>
  <c r="DT81" i="1"/>
  <c r="DR81" i="1"/>
  <c r="DX81" i="1" s="1"/>
  <c r="EE81" i="1" s="1"/>
  <c r="EL81" i="1" s="1"/>
  <c r="EN81" i="1" s="1"/>
  <c r="DX79" i="1"/>
  <c r="EE79" i="1" s="1"/>
  <c r="EL79" i="1" s="1"/>
  <c r="EN79" i="1" s="1"/>
  <c r="DX70" i="1"/>
  <c r="EE70" i="1" s="1"/>
  <c r="EL70" i="1" s="1"/>
  <c r="EN70" i="1" s="1"/>
  <c r="DR64" i="1"/>
  <c r="DT64" i="1"/>
  <c r="DR58" i="1"/>
  <c r="DT58" i="1"/>
  <c r="DT42" i="1"/>
  <c r="DR42" i="1"/>
  <c r="DR168" i="1"/>
  <c r="DT168" i="1"/>
  <c r="DV168" i="1" s="1"/>
  <c r="DX109" i="1"/>
  <c r="EE109" i="1" s="1"/>
  <c r="EL109" i="1" s="1"/>
  <c r="EN109" i="1" s="1"/>
  <c r="DR76" i="1"/>
  <c r="DX76" i="1" s="1"/>
  <c r="EE76" i="1" s="1"/>
  <c r="EL76" i="1" s="1"/>
  <c r="EN76" i="1" s="1"/>
  <c r="DT76" i="1"/>
  <c r="DX53" i="1"/>
  <c r="EE53" i="1" s="1"/>
  <c r="EL53" i="1" s="1"/>
  <c r="EN53" i="1" s="1"/>
  <c r="DT43" i="1"/>
  <c r="DR43" i="1"/>
  <c r="DX617" i="1"/>
  <c r="EE617" i="1" s="1"/>
  <c r="EL617" i="1" s="1"/>
  <c r="EN617" i="1" s="1"/>
  <c r="DR308" i="1"/>
  <c r="DT308" i="1"/>
  <c r="DV308" i="1" s="1"/>
  <c r="DX308" i="1"/>
  <c r="EE308" i="1" s="1"/>
  <c r="EL308" i="1" s="1"/>
  <c r="EN308" i="1" s="1"/>
  <c r="DR244" i="1"/>
  <c r="DX244" i="1" s="1"/>
  <c r="EE244" i="1" s="1"/>
  <c r="EL244" i="1" s="1"/>
  <c r="EN244" i="1" s="1"/>
  <c r="DT244" i="1"/>
  <c r="DV244" i="1" s="1"/>
  <c r="DX609" i="1"/>
  <c r="EE609" i="1" s="1"/>
  <c r="EL609" i="1" s="1"/>
  <c r="EN609" i="1" s="1"/>
  <c r="DX624" i="1"/>
  <c r="EE624" i="1" s="1"/>
  <c r="EL624" i="1" s="1"/>
  <c r="EN624" i="1" s="1"/>
  <c r="DX616" i="1"/>
  <c r="EE616" i="1" s="1"/>
  <c r="EL616" i="1" s="1"/>
  <c r="EN616" i="1" s="1"/>
  <c r="DX596" i="1"/>
  <c r="EE596" i="1" s="1"/>
  <c r="EL596" i="1" s="1"/>
  <c r="EN596" i="1" s="1"/>
  <c r="DX542" i="1"/>
  <c r="EE542" i="1" s="1"/>
  <c r="EL542" i="1" s="1"/>
  <c r="EN542" i="1" s="1"/>
  <c r="DX540" i="1"/>
  <c r="EE540" i="1" s="1"/>
  <c r="EL540" i="1" s="1"/>
  <c r="EN540" i="1" s="1"/>
  <c r="DX516" i="1"/>
  <c r="EE516" i="1" s="1"/>
  <c r="EL516" i="1" s="1"/>
  <c r="EN516" i="1" s="1"/>
  <c r="DR249" i="1"/>
  <c r="DT249" i="1"/>
  <c r="DV249" i="1" s="1"/>
  <c r="DR216" i="1"/>
  <c r="DT216" i="1"/>
  <c r="DV216" i="1" s="1"/>
  <c r="DX268" i="1"/>
  <c r="EE268" i="1" s="1"/>
  <c r="EL268" i="1" s="1"/>
  <c r="EN268" i="1" s="1"/>
  <c r="DR226" i="1"/>
  <c r="DT226" i="1"/>
  <c r="DV226" i="1" s="1"/>
  <c r="DX202" i="1"/>
  <c r="EE202" i="1" s="1"/>
  <c r="EL202" i="1" s="1"/>
  <c r="EN202" i="1" s="1"/>
  <c r="DR165" i="1"/>
  <c r="DX165" i="1" s="1"/>
  <c r="EE165" i="1" s="1"/>
  <c r="EL165" i="1" s="1"/>
  <c r="EN165" i="1" s="1"/>
  <c r="DT165" i="1"/>
  <c r="DV165" i="1" s="1"/>
  <c r="DX144" i="1"/>
  <c r="EE144" i="1" s="1"/>
  <c r="EL144" i="1" s="1"/>
  <c r="EN144" i="1" s="1"/>
  <c r="DX115" i="1"/>
  <c r="EE115" i="1" s="1"/>
  <c r="EL115" i="1" s="1"/>
  <c r="EN115" i="1" s="1"/>
  <c r="DX90" i="1"/>
  <c r="EE90" i="1" s="1"/>
  <c r="EL90" i="1" s="1"/>
  <c r="EN90" i="1" s="1"/>
  <c r="DR84" i="1"/>
  <c r="DT84" i="1"/>
  <c r="DT77" i="1"/>
  <c r="DR77" i="1"/>
  <c r="DX77" i="1" s="1"/>
  <c r="EE77" i="1" s="1"/>
  <c r="EL77" i="1" s="1"/>
  <c r="EN77" i="1" s="1"/>
  <c r="DX71" i="1"/>
  <c r="EE71" i="1" s="1"/>
  <c r="EL71" i="1" s="1"/>
  <c r="EN71" i="1" s="1"/>
  <c r="DR50" i="1"/>
  <c r="DT50" i="1"/>
  <c r="DX161" i="1"/>
  <c r="EE161" i="1" s="1"/>
  <c r="EL161" i="1" s="1"/>
  <c r="EN161" i="1" s="1"/>
  <c r="DX156" i="1"/>
  <c r="EE156" i="1" s="1"/>
  <c r="EL156" i="1" s="1"/>
  <c r="EN156" i="1" s="1"/>
  <c r="DX107" i="1"/>
  <c r="EE107" i="1" s="1"/>
  <c r="EL107" i="1" s="1"/>
  <c r="EN107" i="1" s="1"/>
  <c r="DX88" i="1"/>
  <c r="EE88" i="1" s="1"/>
  <c r="EL88" i="1" s="1"/>
  <c r="EN88" i="1" s="1"/>
  <c r="DR82" i="1"/>
  <c r="DX82" i="1" s="1"/>
  <c r="EE82" i="1" s="1"/>
  <c r="EL82" i="1" s="1"/>
  <c r="EN82" i="1" s="1"/>
  <c r="DT82" i="1"/>
  <c r="DT54" i="1"/>
  <c r="DR54" i="1"/>
  <c r="DX44" i="1"/>
  <c r="EE44" i="1" s="1"/>
  <c r="EL44" i="1" s="1"/>
  <c r="EN44" i="1" s="1"/>
  <c r="DT169" i="1"/>
  <c r="DV169" i="1" s="1"/>
  <c r="DR169" i="1"/>
  <c r="DX169" i="1" s="1"/>
  <c r="EE169" i="1" s="1"/>
  <c r="EL169" i="1" s="1"/>
  <c r="EN169" i="1" s="1"/>
  <c r="DX124" i="1"/>
  <c r="EE124" i="1" s="1"/>
  <c r="EL124" i="1" s="1"/>
  <c r="EN124" i="1" s="1"/>
  <c r="DX531" i="1"/>
  <c r="EE531" i="1" s="1"/>
  <c r="EL531" i="1" s="1"/>
  <c r="EN531" i="1" s="1"/>
  <c r="DR250" i="1"/>
  <c r="DX250" i="1" s="1"/>
  <c r="EE250" i="1" s="1"/>
  <c r="EL250" i="1" s="1"/>
  <c r="EN250" i="1" s="1"/>
  <c r="DT250" i="1"/>
  <c r="DV250" i="1" s="1"/>
  <c r="DT259" i="1"/>
  <c r="DV259" i="1" s="1"/>
  <c r="DR259" i="1"/>
  <c r="DX259" i="1" s="1"/>
  <c r="EE259" i="1" s="1"/>
  <c r="EL259" i="1" s="1"/>
  <c r="EN259" i="1" s="1"/>
  <c r="DR256" i="1"/>
  <c r="DT256" i="1"/>
  <c r="DV256" i="1" s="1"/>
  <c r="DR177" i="1"/>
  <c r="DT177" i="1"/>
  <c r="DV177" i="1" s="1"/>
  <c r="DX201" i="1"/>
  <c r="EE201" i="1" s="1"/>
  <c r="EL201" i="1" s="1"/>
  <c r="EN201" i="1" s="1"/>
  <c r="DT164" i="1"/>
  <c r="DV164" i="1" s="1"/>
  <c r="DR164" i="1"/>
  <c r="DT159" i="1"/>
  <c r="DV159" i="1" s="1"/>
  <c r="DR159" i="1"/>
  <c r="DX101" i="1"/>
  <c r="EE101" i="1" s="1"/>
  <c r="EL101" i="1" s="1"/>
  <c r="EN101" i="1" s="1"/>
  <c r="DX93" i="1"/>
  <c r="EE93" i="1" s="1"/>
  <c r="EL93" i="1" s="1"/>
  <c r="EN93" i="1" s="1"/>
  <c r="DT72" i="1"/>
  <c r="DR72" i="1"/>
  <c r="DX72" i="1" s="1"/>
  <c r="EE72" i="1" s="1"/>
  <c r="EL72" i="1" s="1"/>
  <c r="EN72" i="1" s="1"/>
  <c r="DR48" i="1"/>
  <c r="DT48" i="1"/>
  <c r="DX172" i="1"/>
  <c r="EE172" i="1" s="1"/>
  <c r="EL172" i="1" s="1"/>
  <c r="EN172" i="1" s="1"/>
  <c r="DX152" i="1"/>
  <c r="EE152" i="1" s="1"/>
  <c r="EL152" i="1" s="1"/>
  <c r="EN152" i="1" s="1"/>
  <c r="DT116" i="1"/>
  <c r="DR116" i="1"/>
  <c r="DX116" i="1" s="1"/>
  <c r="EE116" i="1" s="1"/>
  <c r="EL116" i="1" s="1"/>
  <c r="EN116" i="1" s="1"/>
  <c r="DR100" i="1"/>
  <c r="DX100" i="1" s="1"/>
  <c r="EE100" i="1" s="1"/>
  <c r="EL100" i="1" s="1"/>
  <c r="EN100" i="1" s="1"/>
  <c r="DT100" i="1"/>
  <c r="DX89" i="1"/>
  <c r="EE89" i="1" s="1"/>
  <c r="EL89" i="1" s="1"/>
  <c r="EN89" i="1" s="1"/>
  <c r="DT78" i="1"/>
  <c r="DR78" i="1"/>
  <c r="DR67" i="1"/>
  <c r="DX67" i="1" s="1"/>
  <c r="EE67" i="1" s="1"/>
  <c r="EL67" i="1" s="1"/>
  <c r="EN67" i="1" s="1"/>
  <c r="DT67" i="1"/>
  <c r="DX61" i="1"/>
  <c r="EE61" i="1" s="1"/>
  <c r="EL61" i="1" s="1"/>
  <c r="EN61" i="1" s="1"/>
  <c r="DT49" i="1"/>
  <c r="DR49" i="1"/>
  <c r="DX49" i="1" s="1"/>
  <c r="EE49" i="1" s="1"/>
  <c r="EL49" i="1" s="1"/>
  <c r="EN49" i="1" s="1"/>
  <c r="DX57" i="1"/>
  <c r="EE57" i="1" s="1"/>
  <c r="EL57" i="1" s="1"/>
  <c r="EN57" i="1" s="1"/>
  <c r="DX51" i="1"/>
  <c r="EE51" i="1" s="1"/>
  <c r="EL51" i="1" s="1"/>
  <c r="EN51" i="1" s="1"/>
  <c r="DT41" i="1"/>
  <c r="DR41" i="1"/>
  <c r="DX41" i="1" s="1"/>
  <c r="EE41" i="1" s="1"/>
  <c r="EL41" i="1" s="1"/>
  <c r="EN41" i="1" s="1"/>
  <c r="DX603" i="1"/>
  <c r="EE603" i="1" s="1"/>
  <c r="EL603" i="1" s="1"/>
  <c r="EN603" i="1" s="1"/>
  <c r="DX558" i="1"/>
  <c r="EE558" i="1" s="1"/>
  <c r="EL558" i="1" s="1"/>
  <c r="EN558" i="1" s="1"/>
  <c r="DX523" i="1"/>
  <c r="EE523" i="1" s="1"/>
  <c r="EL523" i="1" s="1"/>
  <c r="EN523" i="1" s="1"/>
  <c r="DX562" i="1"/>
  <c r="EE562" i="1" s="1"/>
  <c r="EL562" i="1" s="1"/>
  <c r="EN562" i="1" s="1"/>
  <c r="DX275" i="1"/>
  <c r="EE275" i="1" s="1"/>
  <c r="EL275" i="1" s="1"/>
  <c r="EN275" i="1" s="1"/>
  <c r="DX262" i="1"/>
  <c r="EE262" i="1" s="1"/>
  <c r="EL262" i="1" s="1"/>
  <c r="EN262" i="1" s="1"/>
  <c r="DX254" i="1"/>
  <c r="EE254" i="1" s="1"/>
  <c r="EL254" i="1" s="1"/>
  <c r="EN254" i="1" s="1"/>
  <c r="DX252" i="1"/>
  <c r="EE252" i="1" s="1"/>
  <c r="EL252" i="1" s="1"/>
  <c r="EN252" i="1" s="1"/>
  <c r="DX213" i="1"/>
  <c r="EE213" i="1" s="1"/>
  <c r="EL213" i="1" s="1"/>
  <c r="EN213" i="1" s="1"/>
  <c r="DX294" i="1"/>
  <c r="EE294" i="1" s="1"/>
  <c r="EL294" i="1" s="1"/>
  <c r="EN294" i="1" s="1"/>
  <c r="DX241" i="1"/>
  <c r="EE241" i="1" s="1"/>
  <c r="EL241" i="1" s="1"/>
  <c r="EN241" i="1" s="1"/>
  <c r="DR258" i="1"/>
  <c r="DT258" i="1"/>
  <c r="DV258" i="1" s="1"/>
  <c r="DX194" i="1"/>
  <c r="EE194" i="1" s="1"/>
  <c r="EL194" i="1" s="1"/>
  <c r="EN194" i="1" s="1"/>
  <c r="DR280" i="1"/>
  <c r="DX280" i="1" s="1"/>
  <c r="EE280" i="1" s="1"/>
  <c r="EL280" i="1" s="1"/>
  <c r="EN280" i="1" s="1"/>
  <c r="DT280" i="1"/>
  <c r="DV280" i="1" s="1"/>
  <c r="DT257" i="1"/>
  <c r="DV257" i="1" s="1"/>
  <c r="DR257" i="1"/>
  <c r="DX102" i="1"/>
  <c r="EE102" i="1" s="1"/>
  <c r="EL102" i="1" s="1"/>
  <c r="EN102" i="1" s="1"/>
  <c r="DR63" i="1"/>
  <c r="DX63" i="1" s="1"/>
  <c r="EE63" i="1" s="1"/>
  <c r="EL63" i="1" s="1"/>
  <c r="EN63" i="1" s="1"/>
  <c r="DT63" i="1"/>
  <c r="DX47" i="1"/>
  <c r="EE47" i="1" s="1"/>
  <c r="EL47" i="1" s="1"/>
  <c r="EN47" i="1" s="1"/>
  <c r="DX45" i="1"/>
  <c r="EE45" i="1" s="1"/>
  <c r="EL45" i="1" s="1"/>
  <c r="EN45" i="1" s="1"/>
  <c r="DX147" i="1"/>
  <c r="EE147" i="1" s="1"/>
  <c r="EL147" i="1" s="1"/>
  <c r="EN147" i="1" s="1"/>
  <c r="DX122" i="1"/>
  <c r="EE122" i="1" s="1"/>
  <c r="EL122" i="1" s="1"/>
  <c r="EN122" i="1" s="1"/>
  <c r="DX119" i="1"/>
  <c r="EE119" i="1" s="1"/>
  <c r="EL119" i="1" s="1"/>
  <c r="EN119" i="1" s="1"/>
  <c r="DX113" i="1"/>
  <c r="EE113" i="1" s="1"/>
  <c r="EL113" i="1" s="1"/>
  <c r="EN113" i="1" s="1"/>
  <c r="DT91" i="1"/>
  <c r="DR91" i="1"/>
  <c r="DT56" i="1"/>
  <c r="DR56" i="1"/>
  <c r="DX52" i="1"/>
  <c r="EE52" i="1" s="1"/>
  <c r="EL52" i="1" s="1"/>
  <c r="EN52" i="1" s="1"/>
  <c r="DX146" i="1"/>
  <c r="EE146" i="1" s="1"/>
  <c r="EL146" i="1" s="1"/>
  <c r="EN146" i="1" s="1"/>
  <c r="DX128" i="1"/>
  <c r="EE128" i="1" s="1"/>
  <c r="EL128" i="1" s="1"/>
  <c r="EN128" i="1" s="1"/>
  <c r="DX95" i="1"/>
  <c r="EE95" i="1" s="1"/>
  <c r="DR92" i="1"/>
  <c r="DX92" i="1" s="1"/>
  <c r="EE92" i="1" s="1"/>
  <c r="EL92" i="1" s="1"/>
  <c r="EN92" i="1" s="1"/>
  <c r="DT92" i="1"/>
  <c r="DX73" i="1"/>
  <c r="EE73" i="1" s="1"/>
  <c r="EL73" i="1" s="1"/>
  <c r="EN73" i="1" s="1"/>
  <c r="DX66" i="1"/>
  <c r="EE66" i="1" s="1"/>
  <c r="EL66" i="1" s="1"/>
  <c r="EN66" i="1" s="1"/>
  <c r="DX149" i="1"/>
  <c r="EE149" i="1" s="1"/>
  <c r="EL149" i="1" s="1"/>
  <c r="EN149" i="1" s="1"/>
  <c r="DX139" i="1"/>
  <c r="EE139" i="1" s="1"/>
  <c r="EL139" i="1" s="1"/>
  <c r="EN139" i="1" s="1"/>
  <c r="DX130" i="1"/>
  <c r="EE130" i="1" s="1"/>
  <c r="EL130" i="1" s="1"/>
  <c r="EN130" i="1" s="1"/>
  <c r="DX68" i="1"/>
  <c r="EE68" i="1" s="1"/>
  <c r="EL68" i="1" s="1"/>
  <c r="EN68" i="1" s="1"/>
  <c r="DX65" i="1"/>
  <c r="EE65" i="1" s="1"/>
  <c r="EL65" i="1" s="1"/>
  <c r="EN65" i="1" s="1"/>
  <c r="DX257" i="1" l="1"/>
  <c r="EE257" i="1" s="1"/>
  <c r="EL257" i="1" s="1"/>
  <c r="EN257" i="1" s="1"/>
  <c r="DX258" i="1"/>
  <c r="EE258" i="1" s="1"/>
  <c r="EL258" i="1" s="1"/>
  <c r="EN258" i="1" s="1"/>
  <c r="DX159" i="1"/>
  <c r="EE159" i="1" s="1"/>
  <c r="EL159" i="1" s="1"/>
  <c r="EN159" i="1" s="1"/>
  <c r="DX164" i="1"/>
  <c r="EE164" i="1" s="1"/>
  <c r="EL164" i="1" s="1"/>
  <c r="EN164" i="1" s="1"/>
  <c r="DX50" i="1"/>
  <c r="EE50" i="1" s="1"/>
  <c r="EL50" i="1" s="1"/>
  <c r="EN50" i="1" s="1"/>
  <c r="DX43" i="1"/>
  <c r="EE43" i="1" s="1"/>
  <c r="EL43" i="1" s="1"/>
  <c r="EN43" i="1" s="1"/>
  <c r="DX42" i="1"/>
  <c r="EE42" i="1" s="1"/>
  <c r="EL42" i="1" s="1"/>
  <c r="EN42" i="1" s="1"/>
  <c r="DX154" i="1"/>
  <c r="EE154" i="1" s="1"/>
  <c r="EL154" i="1" s="1"/>
  <c r="EN154" i="1" s="1"/>
  <c r="DX56" i="1"/>
  <c r="EE56" i="1" s="1"/>
  <c r="EL56" i="1" s="1"/>
  <c r="EN56" i="1" s="1"/>
  <c r="DX91" i="1"/>
  <c r="EE91" i="1" s="1"/>
  <c r="EL91" i="1" s="1"/>
  <c r="EN91" i="1" s="1"/>
  <c r="DX78" i="1"/>
  <c r="EE78" i="1" s="1"/>
  <c r="EL78" i="1" s="1"/>
  <c r="EN78" i="1" s="1"/>
  <c r="DX48" i="1"/>
  <c r="EE48" i="1" s="1"/>
  <c r="EL48" i="1" s="1"/>
  <c r="EN48" i="1" s="1"/>
  <c r="DX177" i="1"/>
  <c r="EE177" i="1" s="1"/>
  <c r="EL177" i="1" s="1"/>
  <c r="EN177" i="1" s="1"/>
  <c r="DX256" i="1"/>
  <c r="EE256" i="1" s="1"/>
  <c r="EL256" i="1" s="1"/>
  <c r="EN256" i="1" s="1"/>
  <c r="DX54" i="1"/>
  <c r="EE54" i="1" s="1"/>
  <c r="EL54" i="1" s="1"/>
  <c r="EN54" i="1" s="1"/>
  <c r="DX84" i="1"/>
  <c r="EE84" i="1" s="1"/>
  <c r="EL84" i="1" s="1"/>
  <c r="EN84" i="1" s="1"/>
  <c r="DX226" i="1"/>
  <c r="EE226" i="1" s="1"/>
  <c r="EL226" i="1" s="1"/>
  <c r="EN226" i="1" s="1"/>
  <c r="DX216" i="1"/>
  <c r="EE216" i="1" s="1"/>
  <c r="EL216" i="1" s="1"/>
  <c r="EN216" i="1" s="1"/>
  <c r="DX249" i="1"/>
  <c r="EE249" i="1" s="1"/>
  <c r="EL249" i="1" s="1"/>
  <c r="EN249" i="1" s="1"/>
  <c r="DX168" i="1"/>
  <c r="EE168" i="1" s="1"/>
  <c r="EL168" i="1" s="1"/>
  <c r="EN168" i="1" s="1"/>
  <c r="DX58" i="1"/>
  <c r="EE58" i="1" s="1"/>
  <c r="EL58" i="1" s="1"/>
  <c r="EN58" i="1" s="1"/>
  <c r="DX64" i="1"/>
  <c r="EE64" i="1" s="1"/>
  <c r="EL64" i="1" s="1"/>
  <c r="EN64" i="1" s="1"/>
  <c r="DX166" i="1"/>
  <c r="EE166" i="1" s="1"/>
  <c r="EL166" i="1" s="1"/>
  <c r="EN166" i="1" s="1"/>
  <c r="DX278" i="1"/>
  <c r="EE278" i="1" s="1"/>
  <c r="EL278" i="1" s="1"/>
  <c r="EN278" i="1" s="1"/>
  <c r="FD204" i="1"/>
  <c r="DT155" i="1"/>
  <c r="FF204" i="1" l="1"/>
  <c r="DV155" i="1"/>
  <c r="FH204" i="1" s="1"/>
  <c r="DX155" i="1" l="1"/>
  <c r="FJ204" i="1" l="1"/>
  <c r="EE155" i="1"/>
  <c r="FP204" i="1" l="1"/>
  <c r="EL155" i="1"/>
  <c r="FW204" i="1" l="1"/>
  <c r="EN155" i="1"/>
  <c r="FY204" i="1" s="1"/>
</calcChain>
</file>

<file path=xl/comments1.xml><?xml version="1.0" encoding="utf-8"?>
<comments xmlns="http://schemas.openxmlformats.org/spreadsheetml/2006/main">
  <authors>
    <author>ReSekre</author>
  </authors>
  <commentList>
    <comment ref="EC5" authorId="0" shapeId="0">
      <text>
        <r>
          <rPr>
            <sz val="9"/>
            <color indexed="81"/>
            <rFont val="Tahoma"/>
            <family val="2"/>
          </rPr>
          <t xml:space="preserve">ISINYA: 
- INFUS 
- INJEKSI 
- KATETER
- EKG
- OKSIGEN 
- SUCTION PUMP 
- INFUS PUMP 
- SYIRING PUMP </t>
        </r>
      </text>
    </comment>
  </commentList>
</comments>
</file>

<file path=xl/sharedStrings.xml><?xml version="1.0" encoding="utf-8"?>
<sst xmlns="http://schemas.openxmlformats.org/spreadsheetml/2006/main" count="998" uniqueCount="147">
  <si>
    <t xml:space="preserve">REKAP RAWAT INAP DAN OPERASI </t>
  </si>
  <si>
    <t xml:space="preserve">PASIEN BPJS </t>
  </si>
  <si>
    <t xml:space="preserve">Thorax </t>
  </si>
  <si>
    <t>USG</t>
  </si>
  <si>
    <t xml:space="preserve">NO. </t>
  </si>
  <si>
    <t xml:space="preserve">NAMA PASIEN </t>
  </si>
  <si>
    <t xml:space="preserve">NO. RM </t>
  </si>
  <si>
    <t>NAMA DPJP 1</t>
  </si>
  <si>
    <t>NAMA DPJP 2</t>
  </si>
  <si>
    <t>NAMA DPJP 3</t>
  </si>
  <si>
    <t>NAMA DPJP 4</t>
  </si>
  <si>
    <t>NAMA DPJP 5</t>
  </si>
  <si>
    <t>NAMA DPJP 6</t>
  </si>
  <si>
    <t>NAMA DOKTER UMUM 1</t>
  </si>
  <si>
    <t>NAMA DOKTER UMUM 2</t>
  </si>
  <si>
    <t>NAMA DOKTER UMUM 3</t>
  </si>
  <si>
    <t>DIAGNOSA PRA-OPERASI</t>
  </si>
  <si>
    <t xml:space="preserve">TINDAKAN </t>
  </si>
  <si>
    <t xml:space="preserve">STATUS PASIEN </t>
  </si>
  <si>
    <t>TGL. MASUK</t>
  </si>
  <si>
    <t>TGL. PULANG</t>
  </si>
  <si>
    <t>NO. KAMAR</t>
  </si>
  <si>
    <t>PLAFOND</t>
  </si>
  <si>
    <t>PLAFOND+DIBAYAR PASIEN</t>
  </si>
  <si>
    <t>PENCAIRAN PLAFOND</t>
  </si>
  <si>
    <t>BIAYA LANGSUNG</t>
  </si>
  <si>
    <t>JASA DPJP 1</t>
  </si>
  <si>
    <t>JASA DPJP 2</t>
  </si>
  <si>
    <t>JASA DPJP 3</t>
  </si>
  <si>
    <t>JASA DPJP 4</t>
  </si>
  <si>
    <t>JASA DPJP 5</t>
  </si>
  <si>
    <t>JASA DPJP 6</t>
  </si>
  <si>
    <t>JASA DOKTER UMUM 1</t>
  </si>
  <si>
    <t>JASA DOKTER UMUM 2</t>
  </si>
  <si>
    <t>JASA DOKTER UMUM 3</t>
  </si>
  <si>
    <t xml:space="preserve">JASA DOKTER ANESTESI </t>
  </si>
  <si>
    <t>TIM OK</t>
  </si>
  <si>
    <t>PELAYANAN</t>
  </si>
  <si>
    <t>TNO RAJAL / RANAP</t>
  </si>
  <si>
    <t>LAB PA 2</t>
  </si>
  <si>
    <t>TOTAL JASA &amp; PELAYANAN</t>
  </si>
  <si>
    <t>BIAYA TDK LANGSUNG</t>
  </si>
  <si>
    <t>TOTAL BIAYA TDK LANGSUNG</t>
  </si>
  <si>
    <t>SISA PLAFOND</t>
  </si>
  <si>
    <t xml:space="preserve">DIBAYAR PASIEN </t>
  </si>
  <si>
    <t>TOTAL</t>
  </si>
  <si>
    <t>OBAT NON BEDAH</t>
  </si>
  <si>
    <t>OBAT BEDAH</t>
  </si>
  <si>
    <t>ALAT</t>
  </si>
  <si>
    <t>PENUNJANG</t>
  </si>
  <si>
    <t>TOTAL RINCIAN BIAYA</t>
  </si>
  <si>
    <t>TINDAKAN</t>
  </si>
  <si>
    <t xml:space="preserve">SEWA ALAT </t>
  </si>
  <si>
    <t xml:space="preserve">VISITE </t>
  </si>
  <si>
    <t>PERIKSA</t>
  </si>
  <si>
    <t xml:space="preserve">TOTAL JASA </t>
  </si>
  <si>
    <t>TOTAL JASA</t>
  </si>
  <si>
    <t>NAMA ANESTESI</t>
  </si>
  <si>
    <t>PENATA ANESTESI</t>
  </si>
  <si>
    <t>ASISTEN OPERATOR</t>
  </si>
  <si>
    <t>ASISTEN INSTRUMEN</t>
  </si>
  <si>
    <t>ON LOOP</t>
  </si>
  <si>
    <t>OBSERVASI</t>
  </si>
  <si>
    <t>TOTAL TIM OK</t>
  </si>
  <si>
    <t>GIZI</t>
  </si>
  <si>
    <t>JASA PELAYANAN</t>
  </si>
  <si>
    <t>JASA BIDAN</t>
  </si>
  <si>
    <t>BIAYA ADM</t>
  </si>
  <si>
    <t>KAMAR</t>
  </si>
  <si>
    <t xml:space="preserve">RUANG OPERASI </t>
  </si>
  <si>
    <t xml:space="preserve">RUANG RECOVERY </t>
  </si>
  <si>
    <t xml:space="preserve">LAIN-LAIN </t>
  </si>
  <si>
    <t>DJ STENT</t>
  </si>
  <si>
    <t>WIRE</t>
  </si>
  <si>
    <t>CUTTING LOOP</t>
  </si>
  <si>
    <t>SACCSHE</t>
  </si>
  <si>
    <t>PIGTAIL SET</t>
  </si>
  <si>
    <t>SILASTIC</t>
  </si>
  <si>
    <t xml:space="preserve">FLEXIBEL URS DISPOSIBLE </t>
  </si>
  <si>
    <t>URETER CATHETER</t>
  </si>
  <si>
    <t>LAIN-LAIN</t>
  </si>
  <si>
    <t xml:space="preserve">USG </t>
  </si>
  <si>
    <t>LABORATORIUM</t>
  </si>
  <si>
    <t>RADIOLOGI</t>
  </si>
  <si>
    <t>NAMA PEMERIKSAAN</t>
  </si>
  <si>
    <t>PA</t>
  </si>
  <si>
    <t>TRANSFUSI</t>
  </si>
  <si>
    <t>JENIS TINDAKAN</t>
  </si>
  <si>
    <t xml:space="preserve">JASA OPERATOR </t>
  </si>
  <si>
    <t>KALI</t>
  </si>
  <si>
    <t>TARIF</t>
  </si>
  <si>
    <t xml:space="preserve">JUMLAH </t>
  </si>
  <si>
    <t>JASA DOKTER</t>
  </si>
  <si>
    <t xml:space="preserve">JASA </t>
  </si>
  <si>
    <t xml:space="preserve">NAMA </t>
  </si>
  <si>
    <t xml:space="preserve">HARI </t>
  </si>
  <si>
    <t>HARGA KAMAR</t>
  </si>
  <si>
    <t xml:space="preserve">dr. Dasrizal, Sp. Bedah </t>
  </si>
  <si>
    <t xml:space="preserve">Operasi </t>
  </si>
  <si>
    <t xml:space="preserve">Andri </t>
  </si>
  <si>
    <t xml:space="preserve">Ana </t>
  </si>
  <si>
    <t>Operasi</t>
  </si>
  <si>
    <t xml:space="preserve">Perawatan </t>
  </si>
  <si>
    <t xml:space="preserve">Rifzani </t>
  </si>
  <si>
    <t>Operasi Besar</t>
  </si>
  <si>
    <t xml:space="preserve">dr. Adya, Sp. THT </t>
  </si>
  <si>
    <t xml:space="preserve">dr. Priyo, Sp. THT </t>
  </si>
  <si>
    <t>dr. Nasika, Sp. M</t>
  </si>
  <si>
    <t xml:space="preserve">dr. Eman, Sp. KK </t>
  </si>
  <si>
    <t>dr. Lian Kamila, Sp. DVE</t>
  </si>
  <si>
    <t xml:space="preserve">dr. Nanang, Sp. OG </t>
  </si>
  <si>
    <t xml:space="preserve">Post SC </t>
  </si>
  <si>
    <t xml:space="preserve">Post Op </t>
  </si>
  <si>
    <t xml:space="preserve">Resusitasi </t>
  </si>
  <si>
    <t xml:space="preserve">Post Curetase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</si>
  <si>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</si>
  <si>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Post RE SC </t>
  </si>
  <si>
    <t xml:space="preserve"> </t>
  </si>
  <si>
    <t xml:space="preserve">Post Partum Spontan </t>
  </si>
  <si>
    <t>Post SC</t>
  </si>
  <si>
    <t>Post Op</t>
  </si>
  <si>
    <t xml:space="preserve">Pots Partum Spontan </t>
  </si>
  <si>
    <t xml:space="preserve">Toni </t>
  </si>
  <si>
    <t xml:space="preserve">Dadi </t>
  </si>
  <si>
    <t>Post RE SC</t>
  </si>
  <si>
    <t>Post Partum Spontan+IUD</t>
  </si>
  <si>
    <t xml:space="preserve">dr. Cecep, Sp. OG </t>
  </si>
  <si>
    <t xml:space="preserve">Posr Partum Spontan </t>
  </si>
  <si>
    <t xml:space="preserve">  </t>
  </si>
  <si>
    <t>Post Insisi</t>
  </si>
  <si>
    <t>dr. Mahbub, Sp. A</t>
  </si>
  <si>
    <t>dr. Fouad,. Sp. A</t>
  </si>
  <si>
    <t xml:space="preserve">   </t>
  </si>
  <si>
    <t>Echo</t>
  </si>
  <si>
    <t xml:space="preserve">dr. Bambang, Sp. Bedah </t>
  </si>
  <si>
    <t xml:space="preserve">Operasi Besar </t>
  </si>
  <si>
    <t xml:space="preserve">Operasi Khusus </t>
  </si>
  <si>
    <t xml:space="preserve">Operasi besar </t>
  </si>
  <si>
    <t xml:space="preserve">Operas Besar </t>
  </si>
  <si>
    <t>Opersi Besar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</si>
  <si>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</si>
  <si>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Operasi besar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</si>
  <si>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</si>
  <si>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 </t>
  </si>
  <si>
    <t xml:space="preserve">Opersi Khusus </t>
  </si>
  <si>
    <t>Ioperasi Besar</t>
  </si>
  <si>
    <t>REKAP IGD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</si>
</sst>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0.0%"/>
    <numFmt numFmtId="165" formatCode="_(* #,##0_);_(* \(#,##0\);_(* &quot;-&quot;??_);_(@_)"/>
    <numFmt numFmtId="166" formatCode="_(&quot;Rp&quot;* #,##0_);_(&quot;Rp&quot;* \(#,##0\);_(&quot;Rp&quot;* &quot;-&quot;_);_(@_)"/>
    <numFmt numFmtId="167" formatCode="dd/mm/yyyy;@"/>
    <numFmt numFmtId="168" formatCode="_(* #,##0_);_(* \(#,##0\);_(* &quot;-&quot;_);_(@_)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8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/>
    <xf numFmtId="42" fontId="5" fillId="4" borderId="0" xfId="0" applyNumberFormat="1" applyFont="1" applyFill="1"/>
    <xf numFmtId="1" fontId="5" fillId="4" borderId="0" xfId="0" applyNumberFormat="1" applyFont="1" applyFill="1"/>
    <xf numFmtId="41" fontId="5" fillId="4" borderId="0" xfId="0" applyNumberFormat="1" applyFont="1" applyFill="1"/>
    <xf numFmtId="9" fontId="5" fillId="4" borderId="0" xfId="0" applyNumberFormat="1" applyFont="1" applyFill="1"/>
    <xf numFmtId="164" fontId="5" fillId="4" borderId="0" xfId="0" applyNumberFormat="1" applyFont="1" applyFill="1"/>
    <xf numFmtId="0" fontId="5" fillId="5" borderId="5" xfId="0" applyFont="1" applyFill="1" applyBorder="1" applyAlignment="1">
      <alignment horizontal="center" vertical="center" wrapText="1"/>
    </xf>
    <xf numFmtId="165" fontId="5" fillId="5" borderId="6" xfId="6" applyNumberFormat="1" applyFont="1" applyFill="1" applyBorder="1" applyAlignment="1">
      <alignment horizontal="center" vertical="center"/>
    </xf>
    <xf numFmtId="0" fontId="7" fillId="4" borderId="0" xfId="0" applyFont="1" applyFill="1"/>
    <xf numFmtId="42" fontId="6" fillId="5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166" fontId="6" fillId="5" borderId="10" xfId="0" applyNumberFormat="1" applyFont="1" applyFill="1" applyBorder="1" applyAlignment="1">
      <alignment horizontal="center" vertical="center"/>
    </xf>
    <xf numFmtId="165" fontId="5" fillId="5" borderId="10" xfId="6" applyNumberFormat="1" applyFont="1" applyFill="1" applyBorder="1" applyAlignment="1">
      <alignment horizontal="center" vertical="center" wrapText="1"/>
    </xf>
    <xf numFmtId="165" fontId="5" fillId="5" borderId="17" xfId="6" applyNumberFormat="1" applyFont="1" applyFill="1" applyBorder="1" applyAlignment="1">
      <alignment horizontal="center" vertical="center" wrapText="1"/>
    </xf>
    <xf numFmtId="165" fontId="5" fillId="5" borderId="16" xfId="6" applyNumberFormat="1" applyFont="1" applyFill="1" applyBorder="1" applyAlignment="1">
      <alignment horizontal="center" vertical="center" wrapText="1"/>
    </xf>
    <xf numFmtId="42" fontId="6" fillId="5" borderId="10" xfId="0" applyNumberFormat="1" applyFont="1" applyFill="1" applyBorder="1" applyAlignment="1">
      <alignment horizontal="center" vertical="center" wrapText="1"/>
    </xf>
    <xf numFmtId="165" fontId="5" fillId="5" borderId="10" xfId="6" applyNumberFormat="1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/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42" fontId="6" fillId="4" borderId="15" xfId="0" applyNumberFormat="1" applyFont="1" applyFill="1" applyBorder="1" applyAlignment="1">
      <alignment horizontal="center" vertical="center"/>
    </xf>
    <xf numFmtId="42" fontId="6" fillId="4" borderId="10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166" fontId="6" fillId="4" borderId="10" xfId="0" applyNumberFormat="1" applyFont="1" applyFill="1" applyBorder="1" applyAlignment="1">
      <alignment horizontal="center" vertical="center"/>
    </xf>
    <xf numFmtId="42" fontId="6" fillId="4" borderId="10" xfId="0" applyNumberFormat="1" applyFont="1" applyFill="1" applyBorder="1" applyAlignment="1">
      <alignment horizontal="center" vertical="center" wrapText="1"/>
    </xf>
    <xf numFmtId="165" fontId="5" fillId="4" borderId="10" xfId="6" applyNumberFormat="1" applyFont="1" applyFill="1" applyBorder="1" applyAlignment="1">
      <alignment horizontal="center" vertical="center" wrapText="1"/>
    </xf>
    <xf numFmtId="165" fontId="5" fillId="4" borderId="17" xfId="6" applyNumberFormat="1" applyFont="1" applyFill="1" applyBorder="1" applyAlignment="1">
      <alignment horizontal="center" vertical="center" wrapText="1"/>
    </xf>
    <xf numFmtId="165" fontId="5" fillId="4" borderId="16" xfId="6" applyNumberFormat="1" applyFont="1" applyFill="1" applyBorder="1" applyAlignment="1">
      <alignment horizontal="center" vertical="center" wrapText="1"/>
    </xf>
    <xf numFmtId="42" fontId="6" fillId="4" borderId="5" xfId="0" applyNumberFormat="1" applyFont="1" applyFill="1" applyBorder="1" applyAlignment="1">
      <alignment horizontal="center" vertical="center"/>
    </xf>
    <xf numFmtId="165" fontId="5" fillId="4" borderId="15" xfId="6" applyNumberFormat="1" applyFont="1" applyFill="1" applyBorder="1" applyAlignment="1">
      <alignment horizontal="center" vertical="center" wrapText="1"/>
    </xf>
    <xf numFmtId="165" fontId="5" fillId="4" borderId="5" xfId="6" applyNumberFormat="1" applyFont="1" applyFill="1" applyBorder="1" applyAlignment="1">
      <alignment horizontal="center" vertical="center" wrapText="1"/>
    </xf>
    <xf numFmtId="165" fontId="5" fillId="4" borderId="10" xfId="6" applyNumberFormat="1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/>
    </xf>
    <xf numFmtId="0" fontId="7" fillId="0" borderId="6" xfId="0" applyFont="1" applyFill="1" applyBorder="1"/>
    <xf numFmtId="0" fontId="7" fillId="0" borderId="6" xfId="0" quotePrefix="1" applyFont="1" applyFill="1" applyBorder="1"/>
    <xf numFmtId="15" fontId="7" fillId="0" borderId="6" xfId="0" applyNumberFormat="1" applyFont="1" applyFill="1" applyBorder="1"/>
    <xf numFmtId="167" fontId="7" fillId="0" borderId="6" xfId="0" applyNumberFormat="1" applyFont="1" applyFill="1" applyBorder="1"/>
    <xf numFmtId="38" fontId="7" fillId="0" borderId="6" xfId="0" applyNumberFormat="1" applyFont="1" applyFill="1" applyBorder="1"/>
    <xf numFmtId="41" fontId="7" fillId="0" borderId="6" xfId="0" applyNumberFormat="1" applyFont="1" applyFill="1" applyBorder="1"/>
    <xf numFmtId="0" fontId="7" fillId="0" borderId="0" xfId="0" applyFont="1" applyFill="1"/>
    <xf numFmtId="0" fontId="8" fillId="0" borderId="6" xfId="0" applyFont="1" applyFill="1" applyBorder="1"/>
    <xf numFmtId="38" fontId="8" fillId="0" borderId="6" xfId="0" applyNumberFormat="1" applyFont="1" applyFill="1" applyBorder="1"/>
    <xf numFmtId="0" fontId="8" fillId="0" borderId="0" xfId="0" applyFont="1" applyFill="1" applyBorder="1"/>
    <xf numFmtId="0" fontId="8" fillId="0" borderId="5" xfId="0" applyFont="1" applyFill="1" applyBorder="1"/>
    <xf numFmtId="0" fontId="8" fillId="0" borderId="5" xfId="0" quotePrefix="1" applyFont="1" applyFill="1" applyBorder="1"/>
    <xf numFmtId="0" fontId="8" fillId="0" borderId="5" xfId="0" applyFont="1" applyFill="1" applyBorder="1" applyAlignment="1">
      <alignment horizontal="center"/>
    </xf>
    <xf numFmtId="167" fontId="8" fillId="0" borderId="5" xfId="0" applyNumberFormat="1" applyFont="1" applyFill="1" applyBorder="1"/>
    <xf numFmtId="38" fontId="8" fillId="0" borderId="5" xfId="0" applyNumberFormat="1" applyFont="1" applyFill="1" applyBorder="1"/>
    <xf numFmtId="38" fontId="7" fillId="0" borderId="10" xfId="0" applyNumberFormat="1" applyFont="1" applyFill="1" applyBorder="1"/>
    <xf numFmtId="0" fontId="8" fillId="0" borderId="0" xfId="0" applyFont="1" applyFill="1"/>
    <xf numFmtId="0" fontId="8" fillId="0" borderId="6" xfId="0" quotePrefix="1" applyFont="1" applyFill="1" applyBorder="1"/>
    <xf numFmtId="41" fontId="7" fillId="0" borderId="5" xfId="0" applyNumberFormat="1" applyFont="1" applyFill="1" applyBorder="1"/>
    <xf numFmtId="38" fontId="7" fillId="0" borderId="5" xfId="0" applyNumberFormat="1" applyFont="1" applyFill="1" applyBorder="1"/>
    <xf numFmtId="38" fontId="7" fillId="0" borderId="0" xfId="0" applyNumberFormat="1" applyFont="1" applyFill="1"/>
    <xf numFmtId="0" fontId="7" fillId="0" borderId="0" xfId="0" quotePrefix="1" applyFont="1" applyFill="1"/>
    <xf numFmtId="41" fontId="7" fillId="4" borderId="6" xfId="0" applyNumberFormat="1" applyFont="1" applyFill="1" applyBorder="1"/>
    <xf numFmtId="38" fontId="7" fillId="6" borderId="6" xfId="0" applyNumberFormat="1" applyFont="1" applyFill="1" applyBorder="1"/>
    <xf numFmtId="0" fontId="0" fillId="0" borderId="6" xfId="0" applyFont="1" applyBorder="1"/>
    <xf numFmtId="0" fontId="7" fillId="5" borderId="6" xfId="0" applyFont="1" applyFill="1" applyBorder="1" applyAlignment="1">
      <alignment horizontal="center"/>
    </xf>
    <xf numFmtId="0" fontId="7" fillId="5" borderId="6" xfId="0" applyFont="1" applyFill="1" applyBorder="1"/>
    <xf numFmtId="0" fontId="7" fillId="5" borderId="6" xfId="0" quotePrefix="1" applyFont="1" applyFill="1" applyBorder="1"/>
    <xf numFmtId="167" fontId="7" fillId="5" borderId="6" xfId="0" applyNumberFormat="1" applyFont="1" applyFill="1" applyBorder="1"/>
    <xf numFmtId="38" fontId="7" fillId="5" borderId="6" xfId="0" applyNumberFormat="1" applyFont="1" applyFill="1" applyBorder="1"/>
    <xf numFmtId="41" fontId="7" fillId="5" borderId="6" xfId="0" applyNumberFormat="1" applyFont="1" applyFill="1" applyBorder="1"/>
    <xf numFmtId="0" fontId="7" fillId="5" borderId="0" xfId="0" applyFont="1" applyFill="1"/>
    <xf numFmtId="0" fontId="9" fillId="0" borderId="6" xfId="0" applyFont="1" applyFill="1" applyBorder="1"/>
    <xf numFmtId="0" fontId="9" fillId="0" borderId="6" xfId="0" quotePrefix="1" applyFont="1" applyFill="1" applyBorder="1"/>
    <xf numFmtId="0" fontId="9" fillId="0" borderId="6" xfId="0" applyFont="1" applyFill="1" applyBorder="1" applyAlignment="1">
      <alignment horizontal="center"/>
    </xf>
    <xf numFmtId="167" fontId="9" fillId="0" borderId="6" xfId="0" applyNumberFormat="1" applyFont="1" applyFill="1" applyBorder="1"/>
    <xf numFmtId="38" fontId="9" fillId="0" borderId="6" xfId="0" applyNumberFormat="1" applyFont="1" applyFill="1" applyBorder="1"/>
    <xf numFmtId="41" fontId="9" fillId="0" borderId="6" xfId="0" applyNumberFormat="1" applyFont="1" applyFill="1" applyBorder="1"/>
    <xf numFmtId="0" fontId="9" fillId="0" borderId="0" xfId="0" applyFont="1" applyFill="1"/>
    <xf numFmtId="0" fontId="5" fillId="0" borderId="6" xfId="0" applyFont="1" applyFill="1" applyBorder="1"/>
    <xf numFmtId="38" fontId="5" fillId="0" borderId="6" xfId="0" applyNumberFormat="1" applyFont="1" applyFill="1" applyBorder="1"/>
    <xf numFmtId="2" fontId="7" fillId="0" borderId="6" xfId="6" applyNumberFormat="1" applyFont="1" applyFill="1" applyBorder="1"/>
    <xf numFmtId="42" fontId="7" fillId="0" borderId="0" xfId="0" applyNumberFormat="1" applyFont="1" applyFill="1"/>
    <xf numFmtId="168" fontId="7" fillId="0" borderId="6" xfId="1" applyFont="1" applyFill="1" applyBorder="1"/>
    <xf numFmtId="0" fontId="7" fillId="4" borderId="6" xfId="0" applyFont="1" applyFill="1" applyBorder="1"/>
    <xf numFmtId="0" fontId="7" fillId="4" borderId="6" xfId="0" quotePrefix="1" applyFont="1" applyFill="1" applyBorder="1"/>
    <xf numFmtId="0" fontId="7" fillId="4" borderId="6" xfId="0" applyFont="1" applyFill="1" applyBorder="1" applyAlignment="1">
      <alignment horizontal="center"/>
    </xf>
    <xf numFmtId="167" fontId="7" fillId="4" borderId="6" xfId="0" applyNumberFormat="1" applyFont="1" applyFill="1" applyBorder="1"/>
    <xf numFmtId="38" fontId="7" fillId="4" borderId="6" xfId="0" applyNumberFormat="1" applyFont="1" applyFill="1" applyBorder="1"/>
    <xf numFmtId="0" fontId="7" fillId="0" borderId="6" xfId="0" applyNumberFormat="1" applyFont="1" applyFill="1" applyBorder="1"/>
    <xf numFmtId="1" fontId="7" fillId="0" borderId="6" xfId="0" applyNumberFormat="1" applyFont="1" applyFill="1" applyBorder="1"/>
    <xf numFmtId="0" fontId="0" fillId="0" borderId="6" xfId="0" applyFont="1" applyFill="1" applyBorder="1"/>
    <xf numFmtId="41" fontId="7" fillId="0" borderId="11" xfId="0" applyNumberFormat="1" applyFont="1" applyFill="1" applyBorder="1"/>
    <xf numFmtId="42" fontId="7" fillId="0" borderId="6" xfId="2" applyFont="1" applyFill="1" applyBorder="1"/>
    <xf numFmtId="0" fontId="0" fillId="0" borderId="6" xfId="0" applyFill="1" applyBorder="1" applyAlignment="1">
      <alignment horizontal="center"/>
    </xf>
    <xf numFmtId="0" fontId="7" fillId="0" borderId="5" xfId="0" applyFont="1" applyFill="1" applyBorder="1"/>
    <xf numFmtId="0" fontId="7" fillId="0" borderId="5" xfId="0" quotePrefix="1" applyFont="1" applyFill="1" applyBorder="1"/>
    <xf numFmtId="0" fontId="7" fillId="0" borderId="10" xfId="0" applyFont="1" applyFill="1" applyBorder="1"/>
    <xf numFmtId="0" fontId="7" fillId="0" borderId="10" xfId="0" quotePrefix="1" applyFont="1" applyFill="1" applyBorder="1"/>
    <xf numFmtId="0" fontId="7" fillId="0" borderId="10" xfId="0" applyFont="1" applyFill="1" applyBorder="1" applyAlignment="1">
      <alignment horizontal="center"/>
    </xf>
    <xf numFmtId="167" fontId="7" fillId="0" borderId="10" xfId="0" applyNumberFormat="1" applyFont="1" applyFill="1" applyBorder="1"/>
    <xf numFmtId="0" fontId="7" fillId="0" borderId="6" xfId="0" applyFont="1" applyFill="1" applyBorder="1" applyAlignment="1">
      <alignment horizontal="left"/>
    </xf>
    <xf numFmtId="15" fontId="9" fillId="0" borderId="6" xfId="0" applyNumberFormat="1" applyFont="1" applyFill="1" applyBorder="1"/>
    <xf numFmtId="0" fontId="9" fillId="0" borderId="6" xfId="0" applyFont="1" applyFill="1" applyBorder="1" applyAlignment="1">
      <alignment horizontal="left"/>
    </xf>
    <xf numFmtId="38" fontId="9" fillId="0" borderId="0" xfId="0" applyNumberFormat="1" applyFont="1" applyFill="1" applyBorder="1"/>
    <xf numFmtId="38" fontId="7" fillId="0" borderId="0" xfId="0" applyNumberFormat="1" applyFont="1" applyFill="1" applyBorder="1"/>
    <xf numFmtId="15" fontId="7" fillId="5" borderId="6" xfId="0" applyNumberFormat="1" applyFont="1" applyFill="1" applyBorder="1"/>
    <xf numFmtId="0" fontId="7" fillId="4" borderId="6" xfId="0" applyFont="1" applyFill="1" applyBorder="1" applyAlignment="1">
      <alignment horizontal="left"/>
    </xf>
    <xf numFmtId="38" fontId="7" fillId="4" borderId="0" xfId="0" applyNumberFormat="1" applyFont="1" applyFill="1" applyBorder="1"/>
    <xf numFmtId="167" fontId="7" fillId="0" borderId="6" xfId="0" quotePrefix="1" applyNumberFormat="1" applyFont="1" applyFill="1" applyBorder="1"/>
    <xf numFmtId="0" fontId="8" fillId="5" borderId="0" xfId="0" applyFont="1" applyFill="1"/>
    <xf numFmtId="0" fontId="8" fillId="5" borderId="6" xfId="0" applyFont="1" applyFill="1" applyBorder="1"/>
    <xf numFmtId="41" fontId="7" fillId="5" borderId="5" xfId="0" applyNumberFormat="1" applyFont="1" applyFill="1" applyBorder="1"/>
    <xf numFmtId="41" fontId="7" fillId="5" borderId="11" xfId="0" applyNumberFormat="1" applyFont="1" applyFill="1" applyBorder="1"/>
    <xf numFmtId="0" fontId="7" fillId="5" borderId="6" xfId="0" applyNumberFormat="1" applyFont="1" applyFill="1" applyBorder="1"/>
    <xf numFmtId="0" fontId="8" fillId="4" borderId="0" xfId="0" applyFont="1" applyFill="1"/>
    <xf numFmtId="0" fontId="8" fillId="4" borderId="6" xfId="0" applyFont="1" applyFill="1" applyBorder="1"/>
    <xf numFmtId="41" fontId="7" fillId="4" borderId="5" xfId="0" applyNumberFormat="1" applyFont="1" applyFill="1" applyBorder="1"/>
    <xf numFmtId="41" fontId="7" fillId="4" borderId="11" xfId="0" applyNumberFormat="1" applyFont="1" applyFill="1" applyBorder="1"/>
    <xf numFmtId="0" fontId="7" fillId="4" borderId="6" xfId="0" applyNumberFormat="1" applyFont="1" applyFill="1" applyBorder="1"/>
    <xf numFmtId="41" fontId="9" fillId="4" borderId="6" xfId="0" applyNumberFormat="1" applyFont="1" applyFill="1" applyBorder="1"/>
    <xf numFmtId="41" fontId="9" fillId="0" borderId="5" xfId="0" applyNumberFormat="1" applyFont="1" applyFill="1" applyBorder="1"/>
    <xf numFmtId="41" fontId="9" fillId="0" borderId="11" xfId="0" applyNumberFormat="1" applyFont="1" applyFill="1" applyBorder="1"/>
    <xf numFmtId="0" fontId="9" fillId="0" borderId="6" xfId="0" applyNumberFormat="1" applyFont="1" applyFill="1" applyBorder="1"/>
    <xf numFmtId="41" fontId="2" fillId="2" borderId="6" xfId="3" applyNumberFormat="1" applyBorder="1"/>
    <xf numFmtId="38" fontId="3" fillId="3" borderId="1" xfId="4" applyNumberFormat="1"/>
    <xf numFmtId="0" fontId="7" fillId="0" borderId="19" xfId="0" applyFont="1" applyFill="1" applyBorder="1" applyAlignment="1">
      <alignment horizontal="center"/>
    </xf>
    <xf numFmtId="0" fontId="7" fillId="0" borderId="6" xfId="5" applyFont="1" applyFill="1" applyBorder="1"/>
    <xf numFmtId="0" fontId="9" fillId="0" borderId="19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0" fontId="7" fillId="0" borderId="15" xfId="0" applyFont="1" applyFill="1" applyBorder="1"/>
    <xf numFmtId="0" fontId="7" fillId="0" borderId="15" xfId="0" quotePrefix="1" applyFont="1" applyFill="1" applyBorder="1"/>
    <xf numFmtId="0" fontId="7" fillId="0" borderId="15" xfId="0" applyFont="1" applyFill="1" applyBorder="1" applyAlignment="1">
      <alignment horizontal="center"/>
    </xf>
    <xf numFmtId="167" fontId="7" fillId="0" borderId="15" xfId="0" applyNumberFormat="1" applyFont="1" applyFill="1" applyBorder="1"/>
    <xf numFmtId="38" fontId="7" fillId="0" borderId="15" xfId="0" applyNumberFormat="1" applyFont="1" applyFill="1" applyBorder="1"/>
    <xf numFmtId="0" fontId="8" fillId="0" borderId="6" xfId="0" applyFont="1" applyFill="1" applyBorder="1" applyAlignment="1">
      <alignment horizontal="center"/>
    </xf>
    <xf numFmtId="167" fontId="8" fillId="0" borderId="6" xfId="0" applyNumberFormat="1" applyFont="1" applyFill="1" applyBorder="1"/>
    <xf numFmtId="0" fontId="5" fillId="0" borderId="10" xfId="0" applyFont="1" applyFill="1" applyBorder="1"/>
    <xf numFmtId="0" fontId="8" fillId="0" borderId="11" xfId="0" applyFont="1" applyFill="1" applyBorder="1"/>
    <xf numFmtId="0" fontId="9" fillId="0" borderId="5" xfId="0" applyFont="1" applyFill="1" applyBorder="1"/>
    <xf numFmtId="0" fontId="7" fillId="0" borderId="5" xfId="0" applyFont="1" applyFill="1" applyBorder="1" applyAlignment="1">
      <alignment horizontal="center"/>
    </xf>
    <xf numFmtId="167" fontId="7" fillId="0" borderId="5" xfId="0" applyNumberFormat="1" applyFont="1" applyFill="1" applyBorder="1"/>
    <xf numFmtId="0" fontId="7" fillId="0" borderId="0" xfId="0" applyFont="1" applyFill="1" applyBorder="1"/>
    <xf numFmtId="15" fontId="8" fillId="0" borderId="5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9" fillId="0" borderId="5" xfId="0" quotePrefix="1" applyFont="1" applyFill="1" applyBorder="1"/>
    <xf numFmtId="0" fontId="9" fillId="0" borderId="5" xfId="0" applyFont="1" applyFill="1" applyBorder="1" applyAlignment="1">
      <alignment horizontal="center"/>
    </xf>
    <xf numFmtId="167" fontId="9" fillId="0" borderId="5" xfId="0" applyNumberFormat="1" applyFont="1" applyFill="1" applyBorder="1"/>
    <xf numFmtId="38" fontId="9" fillId="0" borderId="5" xfId="0" applyNumberFormat="1" applyFont="1" applyFill="1" applyBorder="1"/>
    <xf numFmtId="38" fontId="9" fillId="0" borderId="10" xfId="0" applyNumberFormat="1" applyFont="1" applyFill="1" applyBorder="1"/>
    <xf numFmtId="0" fontId="9" fillId="0" borderId="0" xfId="0" applyFont="1" applyFill="1" applyBorder="1"/>
    <xf numFmtId="0" fontId="8" fillId="5" borderId="5" xfId="0" applyFont="1" applyFill="1" applyBorder="1"/>
    <xf numFmtId="38" fontId="8" fillId="5" borderId="5" xfId="0" applyNumberFormat="1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quotePrefix="1" applyFont="1" applyFill="1" applyBorder="1"/>
    <xf numFmtId="167" fontId="7" fillId="0" borderId="0" xfId="0" applyNumberFormat="1" applyFont="1" applyFill="1" applyBorder="1"/>
    <xf numFmtId="41" fontId="7" fillId="0" borderId="0" xfId="0" applyNumberFormat="1" applyFont="1" applyFill="1" applyBorder="1"/>
    <xf numFmtId="0" fontId="5" fillId="0" borderId="0" xfId="0" applyFont="1" applyFill="1"/>
    <xf numFmtId="166" fontId="7" fillId="0" borderId="6" xfId="0" applyNumberFormat="1" applyFont="1" applyFill="1" applyBorder="1"/>
    <xf numFmtId="0" fontId="7" fillId="4" borderId="10" xfId="0" applyFont="1" applyFill="1" applyBorder="1"/>
    <xf numFmtId="0" fontId="7" fillId="4" borderId="10" xfId="0" quotePrefix="1" applyFont="1" applyFill="1" applyBorder="1"/>
    <xf numFmtId="0" fontId="7" fillId="4" borderId="10" xfId="0" applyFont="1" applyFill="1" applyBorder="1" applyAlignment="1">
      <alignment horizontal="center"/>
    </xf>
    <xf numFmtId="167" fontId="7" fillId="4" borderId="10" xfId="0" applyNumberFormat="1" applyFont="1" applyFill="1" applyBorder="1"/>
    <xf numFmtId="38" fontId="7" fillId="4" borderId="10" xfId="0" applyNumberFormat="1" applyFont="1" applyFill="1" applyBorder="1"/>
    <xf numFmtId="41" fontId="7" fillId="4" borderId="10" xfId="0" applyNumberFormat="1" applyFont="1" applyFill="1" applyBorder="1"/>
    <xf numFmtId="168" fontId="7" fillId="4" borderId="6" xfId="1" applyFont="1" applyFill="1" applyBorder="1"/>
    <xf numFmtId="15" fontId="7" fillId="4" borderId="6" xfId="0" applyNumberFormat="1" applyFont="1" applyFill="1" applyBorder="1"/>
    <xf numFmtId="14" fontId="7" fillId="4" borderId="6" xfId="0" applyNumberFormat="1" applyFont="1" applyFill="1" applyBorder="1"/>
    <xf numFmtId="0" fontId="7" fillId="4" borderId="13" xfId="0" applyFont="1" applyFill="1" applyBorder="1"/>
    <xf numFmtId="0" fontId="7" fillId="4" borderId="0" xfId="0" applyFont="1" applyFill="1" applyAlignment="1">
      <alignment horizontal="center"/>
    </xf>
    <xf numFmtId="42" fontId="7" fillId="4" borderId="0" xfId="0" applyNumberFormat="1" applyFont="1" applyFill="1"/>
    <xf numFmtId="42" fontId="6" fillId="5" borderId="16" xfId="0" applyNumberFormat="1" applyFont="1" applyFill="1" applyBorder="1" applyAlignment="1">
      <alignment horizontal="center" vertical="center" wrapText="1"/>
    </xf>
    <xf numFmtId="42" fontId="6" fillId="5" borderId="17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165" fontId="5" fillId="5" borderId="6" xfId="6" applyNumberFormat="1" applyFont="1" applyFill="1" applyBorder="1" applyAlignment="1">
      <alignment horizontal="center" vertical="center" wrapText="1"/>
    </xf>
    <xf numFmtId="165" fontId="5" fillId="5" borderId="10" xfId="6" applyNumberFormat="1" applyFont="1" applyFill="1" applyBorder="1" applyAlignment="1">
      <alignment horizontal="center" vertical="center" wrapText="1"/>
    </xf>
    <xf numFmtId="165" fontId="5" fillId="5" borderId="5" xfId="6" applyNumberFormat="1" applyFont="1" applyFill="1" applyBorder="1" applyAlignment="1">
      <alignment horizontal="center" vertical="center" wrapText="1"/>
    </xf>
    <xf numFmtId="42" fontId="6" fillId="5" borderId="6" xfId="0" applyNumberFormat="1" applyFont="1" applyFill="1" applyBorder="1" applyAlignment="1">
      <alignment horizontal="center" vertical="center"/>
    </xf>
    <xf numFmtId="42" fontId="6" fillId="5" borderId="10" xfId="0" applyNumberFormat="1" applyFont="1" applyFill="1" applyBorder="1" applyAlignment="1">
      <alignment horizontal="center" vertical="center"/>
    </xf>
    <xf numFmtId="42" fontId="6" fillId="5" borderId="5" xfId="0" applyNumberFormat="1" applyFont="1" applyFill="1" applyBorder="1" applyAlignment="1">
      <alignment horizontal="center" vertical="center"/>
    </xf>
    <xf numFmtId="42" fontId="6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42" fontId="6" fillId="5" borderId="10" xfId="0" applyNumberFormat="1" applyFont="1" applyFill="1" applyBorder="1" applyAlignment="1">
      <alignment horizontal="center" vertical="center" wrapText="1"/>
    </xf>
    <xf numFmtId="165" fontId="5" fillId="5" borderId="15" xfId="6" applyNumberFormat="1" applyFont="1" applyFill="1" applyBorder="1" applyAlignment="1">
      <alignment horizontal="center" vertical="center" wrapText="1"/>
    </xf>
    <xf numFmtId="165" fontId="5" fillId="5" borderId="11" xfId="6" applyNumberFormat="1" applyFont="1" applyFill="1" applyBorder="1" applyAlignment="1">
      <alignment horizontal="center" vertical="center" wrapText="1"/>
    </xf>
    <xf numFmtId="165" fontId="5" fillId="5" borderId="12" xfId="6" applyNumberFormat="1" applyFont="1" applyFill="1" applyBorder="1" applyAlignment="1">
      <alignment horizontal="center" vertical="center" wrapText="1"/>
    </xf>
    <xf numFmtId="165" fontId="5" fillId="5" borderId="13" xfId="6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5" fontId="5" fillId="5" borderId="7" xfId="6" applyNumberFormat="1" applyFont="1" applyFill="1" applyBorder="1" applyAlignment="1">
      <alignment horizontal="center" vertical="center"/>
    </xf>
    <xf numFmtId="165" fontId="5" fillId="5" borderId="8" xfId="6" applyNumberFormat="1" applyFont="1" applyFill="1" applyBorder="1" applyAlignment="1">
      <alignment horizontal="center" vertical="center"/>
    </xf>
    <xf numFmtId="165" fontId="5" fillId="5" borderId="9" xfId="6" applyNumberFormat="1" applyFont="1" applyFill="1" applyBorder="1" applyAlignment="1">
      <alignment horizontal="center" vertical="center"/>
    </xf>
    <xf numFmtId="165" fontId="5" fillId="5" borderId="6" xfId="6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42" fontId="6" fillId="5" borderId="6" xfId="0" applyNumberFormat="1" applyFont="1" applyFill="1" applyBorder="1" applyAlignment="1">
      <alignment horizontal="center"/>
    </xf>
    <xf numFmtId="42" fontId="6" fillId="5" borderId="15" xfId="0" applyNumberFormat="1" applyFont="1" applyFill="1" applyBorder="1" applyAlignment="1">
      <alignment horizontal="center" vertical="center"/>
    </xf>
    <xf numFmtId="42" fontId="6" fillId="5" borderId="11" xfId="0" applyNumberFormat="1" applyFont="1" applyFill="1" applyBorder="1" applyAlignment="1">
      <alignment horizontal="center" vertical="center"/>
    </xf>
    <xf numFmtId="42" fontId="6" fillId="5" borderId="12" xfId="0" applyNumberFormat="1" applyFont="1" applyFill="1" applyBorder="1" applyAlignment="1">
      <alignment horizontal="center" vertical="center"/>
    </xf>
    <xf numFmtId="42" fontId="6" fillId="5" borderId="13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7">
    <cellStyle name="Bad" xfId="3" builtinId="27"/>
    <cellStyle name="Calculation" xfId="4" builtinId="22"/>
    <cellStyle name="Comma [0]" xfId="1" builtinId="6"/>
    <cellStyle name="Comma 2 2" xfId="6"/>
    <cellStyle name="Currency [0]" xfId="2" builtinId="7"/>
    <cellStyle name="Explanatory Text" xfId="5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Y955"/>
  <sheetViews>
    <sheetView tabSelected="1" zoomScale="82" zoomScaleNormal="82" workbookViewId="0">
      <pane ySplit="7" topLeftCell="A632" activePane="bottomLeft" state="frozen"/>
      <selection pane="bottomLeft" activeCell="H640" sqref="H640"/>
    </sheetView>
  </sheetViews>
  <sheetFormatPr defaultColWidth="9.140625" defaultRowHeight="15" x14ac:dyDescent="0.25"/>
  <cols>
    <col min="1" max="1" width="3.140625" style="11" bestFit="1" customWidth="1"/>
    <col min="2" max="2" width="4.7109375" style="11" customWidth="1"/>
    <col min="3" max="3" width="30.42578125" style="11" customWidth="1"/>
    <col min="4" max="4" width="9.42578125" style="11" customWidth="1"/>
    <col min="5" max="5" width="25.28515625" style="11" customWidth="1"/>
    <col min="6" max="6" width="19.85546875" style="11" customWidth="1"/>
    <col min="7" max="7" width="20.28515625" style="11" customWidth="1"/>
    <col min="8" max="10" width="15.42578125" style="11" customWidth="1"/>
    <col min="11" max="13" width="23.42578125" style="11" customWidth="1"/>
    <col min="14" max="14" width="59.42578125" style="171" customWidth="1"/>
    <col min="15" max="15" width="36.7109375" style="171" customWidth="1"/>
    <col min="16" max="16" width="18.7109375" style="11" customWidth="1"/>
    <col min="17" max="17" width="12.140625" style="11" customWidth="1"/>
    <col min="18" max="18" width="12.85546875" style="11" customWidth="1"/>
    <col min="19" max="19" width="18.28515625" style="11" customWidth="1"/>
    <col min="20" max="20" width="15.140625" style="11" customWidth="1"/>
    <col min="21" max="21" width="25.7109375" style="11" customWidth="1"/>
    <col min="22" max="23" width="11.42578125" style="11" customWidth="1"/>
    <col min="24" max="24" width="10.28515625" style="11" customWidth="1"/>
    <col min="25" max="25" width="10.7109375" style="11" customWidth="1"/>
    <col min="26" max="26" width="7.28515625" style="11" customWidth="1"/>
    <col min="27" max="27" width="15.85546875" style="11" customWidth="1"/>
    <col min="28" max="28" width="9" style="11" customWidth="1"/>
    <col min="29" max="29" width="11.42578125" style="11" customWidth="1"/>
    <col min="30" max="30" width="8.5703125" style="11" customWidth="1"/>
    <col min="31" max="31" width="13.140625" style="11" customWidth="1"/>
    <col min="32" max="32" width="17.85546875" style="11" customWidth="1"/>
    <col min="33" max="33" width="10" style="11" customWidth="1"/>
    <col min="34" max="34" width="14.85546875" style="11" customWidth="1"/>
    <col min="35" max="35" width="17.28515625" style="11" customWidth="1"/>
    <col min="36" max="36" width="12.5703125" style="11" customWidth="1"/>
    <col min="37" max="37" width="17.5703125" style="11" customWidth="1"/>
    <col min="38" max="39" width="12.5703125" style="11" customWidth="1"/>
    <col min="40" max="40" width="15.28515625" style="11" customWidth="1"/>
    <col min="41" max="41" width="14.5703125" style="11" customWidth="1"/>
    <col min="42" max="42" width="32.85546875" style="11" customWidth="1"/>
    <col min="43" max="43" width="16.140625" style="11" customWidth="1"/>
    <col min="44" max="44" width="11.85546875" style="11" customWidth="1"/>
    <col min="45" max="45" width="5.5703125" style="11" customWidth="1"/>
    <col min="46" max="46" width="8.42578125" style="11" customWidth="1"/>
    <col min="47" max="47" width="9.42578125" style="11" customWidth="1"/>
    <col min="48" max="48" width="9.85546875" style="11" customWidth="1"/>
    <col min="49" max="49" width="13.42578125" style="11" customWidth="1"/>
    <col min="50" max="50" width="22.140625" style="11" customWidth="1"/>
    <col min="51" max="51" width="12.85546875" style="11" customWidth="1"/>
    <col min="52" max="52" width="7" style="11" customWidth="1"/>
    <col min="53" max="53" width="5.5703125" style="11" customWidth="1"/>
    <col min="54" max="55" width="12.5703125" style="11" customWidth="1"/>
    <col min="56" max="56" width="9.85546875" style="11" customWidth="1"/>
    <col min="57" max="57" width="13.42578125" style="11" customWidth="1"/>
    <col min="58" max="58" width="17.85546875" style="11" customWidth="1"/>
    <col min="59" max="59" width="10.7109375" style="11" customWidth="1"/>
    <col min="60" max="60" width="7" style="11" customWidth="1"/>
    <col min="61" max="61" width="5.5703125" style="11" customWidth="1"/>
    <col min="62" max="62" width="12.140625" style="11" customWidth="1"/>
    <col min="63" max="63" width="13" style="11" customWidth="1"/>
    <col min="64" max="64" width="9.85546875" style="11" customWidth="1"/>
    <col min="65" max="65" width="13.42578125" style="11" customWidth="1"/>
    <col min="66" max="66" width="10.5703125" style="11" customWidth="1"/>
    <col min="67" max="67" width="10.7109375" style="11" customWidth="1"/>
    <col min="68" max="68" width="7" style="11" customWidth="1"/>
    <col min="69" max="69" width="5.5703125" style="11" customWidth="1"/>
    <col min="70" max="70" width="12.140625" style="11" customWidth="1"/>
    <col min="71" max="71" width="9" style="11" customWidth="1"/>
    <col min="72" max="72" width="9.85546875" style="11" customWidth="1"/>
    <col min="73" max="73" width="13.42578125" style="11" customWidth="1"/>
    <col min="74" max="74" width="10.5703125" style="11" customWidth="1"/>
    <col min="75" max="75" width="10.7109375" style="11" customWidth="1"/>
    <col min="76" max="76" width="7" style="11" customWidth="1"/>
    <col min="77" max="77" width="5.5703125" style="11" customWidth="1"/>
    <col min="78" max="78" width="12.140625" style="11" customWidth="1"/>
    <col min="79" max="79" width="9" style="11" customWidth="1"/>
    <col min="80" max="80" width="9.85546875" style="11" customWidth="1"/>
    <col min="81" max="81" width="13.42578125" style="11" customWidth="1"/>
    <col min="82" max="82" width="10.5703125" style="11" customWidth="1"/>
    <col min="83" max="83" width="10.7109375" style="11" customWidth="1"/>
    <col min="84" max="84" width="7" style="11" customWidth="1"/>
    <col min="85" max="85" width="5.5703125" style="11" customWidth="1"/>
    <col min="86" max="86" width="12.140625" style="11" customWidth="1"/>
    <col min="87" max="87" width="9" style="11" customWidth="1"/>
    <col min="88" max="88" width="9.85546875" style="11" customWidth="1"/>
    <col min="89" max="89" width="13.42578125" style="11" customWidth="1"/>
    <col min="90" max="90" width="20.85546875" style="11" customWidth="1"/>
    <col min="91" max="91" width="13.85546875" style="11" customWidth="1"/>
    <col min="92" max="92" width="5.5703125" style="11" customWidth="1"/>
    <col min="93" max="93" width="8.7109375" style="11" customWidth="1"/>
    <col min="94" max="94" width="9" style="11" customWidth="1"/>
    <col min="95" max="95" width="9.85546875" style="11" customWidth="1"/>
    <col min="96" max="96" width="13.42578125" style="11" customWidth="1"/>
    <col min="97" max="97" width="14.85546875" style="11" customWidth="1"/>
    <col min="98" max="98" width="9" style="11" customWidth="1"/>
    <col min="99" max="99" width="5.5703125" style="11" customWidth="1"/>
    <col min="100" max="100" width="8.28515625" style="11" customWidth="1"/>
    <col min="101" max="101" width="9" style="11" customWidth="1"/>
    <col min="102" max="102" width="9.85546875" style="11" customWidth="1"/>
    <col min="103" max="103" width="13.42578125" style="11" customWidth="1"/>
    <col min="104" max="104" width="16.5703125" style="11" customWidth="1"/>
    <col min="105" max="105" width="13.85546875" style="11" customWidth="1"/>
    <col min="106" max="106" width="5.5703125" style="11" customWidth="1"/>
    <col min="107" max="107" width="8.28515625" style="11" customWidth="1"/>
    <col min="108" max="108" width="9" style="11" customWidth="1"/>
    <col min="109" max="109" width="9.85546875" style="11" customWidth="1"/>
    <col min="110" max="110" width="13.42578125" style="11" customWidth="1"/>
    <col min="111" max="111" width="16.5703125" style="11" customWidth="1"/>
    <col min="112" max="112" width="14" style="11" customWidth="1"/>
    <col min="113" max="113" width="5.5703125" style="11" customWidth="1"/>
    <col min="114" max="114" width="8.7109375" style="11" customWidth="1"/>
    <col min="115" max="115" width="10.28515625" style="11" customWidth="1"/>
    <col min="116" max="116" width="12.85546875" style="11" customWidth="1"/>
    <col min="117" max="117" width="17.28515625" style="11" customWidth="1"/>
    <col min="118" max="118" width="16.42578125" style="11" customWidth="1"/>
    <col min="119" max="119" width="14" style="11" customWidth="1"/>
    <col min="120" max="120" width="11.5703125" style="11" customWidth="1"/>
    <col min="121" max="121" width="10.7109375" style="11" customWidth="1"/>
    <col min="122" max="122" width="11.5703125" style="117" customWidth="1"/>
    <col min="123" max="123" width="11.140625" style="117" customWidth="1"/>
    <col min="124" max="124" width="11.140625" style="11" customWidth="1"/>
    <col min="125" max="125" width="15.42578125" style="11" customWidth="1"/>
    <col min="126" max="127" width="9.140625" style="11" customWidth="1"/>
    <col min="128" max="128" width="12.42578125" style="11" customWidth="1"/>
    <col min="129" max="129" width="12" style="11" customWidth="1"/>
    <col min="130" max="130" width="12.28515625" style="11" customWidth="1"/>
    <col min="131" max="132" width="12.140625" style="11" customWidth="1"/>
    <col min="133" max="134" width="17.5703125" style="11" customWidth="1"/>
    <col min="135" max="135" width="15.42578125" style="11" customWidth="1"/>
    <col min="136" max="136" width="6.140625" style="11" customWidth="1"/>
    <col min="137" max="137" width="13.7109375" style="11" customWidth="1"/>
    <col min="138" max="139" width="12" style="11" customWidth="1"/>
    <col min="140" max="140" width="18.7109375" style="11" customWidth="1"/>
    <col min="141" max="141" width="16" style="11" customWidth="1"/>
    <col min="142" max="142" width="14.7109375" style="11" customWidth="1"/>
    <col min="143" max="143" width="14.5703125" style="11" customWidth="1"/>
    <col min="144" max="144" width="21.140625" style="11" customWidth="1"/>
    <col min="145" max="145" width="15.28515625" style="11" customWidth="1"/>
    <col min="146" max="146" width="9.140625" style="11" customWidth="1"/>
    <col min="147" max="147" width="21" style="11" customWidth="1"/>
    <col min="148" max="148" width="9.140625" style="11" customWidth="1"/>
    <col min="149" max="149" width="14.42578125" style="11" customWidth="1"/>
    <col min="150" max="195" width="9.140625" style="11" customWidth="1"/>
    <col min="196" max="16384" width="9.140625" style="11"/>
  </cols>
  <sheetData>
    <row r="1" spans="2:145" s="1" customFormat="1" x14ac:dyDescent="0.25">
      <c r="B1" s="1" t="s">
        <v>0</v>
      </c>
      <c r="N1" s="2"/>
      <c r="O1" s="2"/>
      <c r="DR1" s="3"/>
      <c r="DS1" s="3"/>
    </row>
    <row r="2" spans="2:145" s="1" customFormat="1" ht="15" customHeight="1" x14ac:dyDescent="0.25">
      <c r="M2" s="4"/>
      <c r="N2" s="2"/>
      <c r="O2" s="2"/>
      <c r="DZ2" s="4"/>
      <c r="EB2" s="4"/>
    </row>
    <row r="3" spans="2:145" s="1" customFormat="1" ht="15" customHeight="1" x14ac:dyDescent="0.25">
      <c r="B3" s="1" t="s">
        <v>1</v>
      </c>
      <c r="N3" s="2"/>
      <c r="O3" s="2"/>
      <c r="S3" s="5"/>
      <c r="AK3" s="1" t="s">
        <v>2</v>
      </c>
      <c r="AO3" s="1">
        <f>842-812</f>
        <v>30</v>
      </c>
      <c r="BB3" s="6"/>
      <c r="BF3" s="4"/>
      <c r="DW3" s="1">
        <f>68-46</f>
        <v>22</v>
      </c>
      <c r="DX3" s="4"/>
      <c r="EC3" s="4"/>
    </row>
    <row r="4" spans="2:145" s="1" customFormat="1" ht="15.75" customHeight="1" thickBot="1" x14ac:dyDescent="0.3">
      <c r="N4" s="2"/>
      <c r="O4" s="2"/>
      <c r="AK4" s="1" t="s">
        <v>3</v>
      </c>
      <c r="BH4" s="4"/>
      <c r="CC4" s="1">
        <f>700000*10%</f>
        <v>70000</v>
      </c>
      <c r="CD4" s="1">
        <f>700000</f>
        <v>700000</v>
      </c>
      <c r="CE4" s="1">
        <f>CD4-CC4</f>
        <v>630000</v>
      </c>
      <c r="DN4" s="7">
        <v>0.1</v>
      </c>
      <c r="DP4" s="7">
        <v>0.1</v>
      </c>
      <c r="DR4" s="7">
        <v>0.1</v>
      </c>
      <c r="DT4" s="8">
        <v>0.75</v>
      </c>
      <c r="DW4" s="7">
        <v>0.5</v>
      </c>
      <c r="DY4" s="1">
        <f>1957-2025</f>
        <v>-68</v>
      </c>
      <c r="EO4" s="4"/>
    </row>
    <row r="5" spans="2:145" ht="15" customHeight="1" x14ac:dyDescent="0.25">
      <c r="B5" s="210" t="s">
        <v>4</v>
      </c>
      <c r="C5" s="200" t="s">
        <v>5</v>
      </c>
      <c r="D5" s="200" t="s">
        <v>6</v>
      </c>
      <c r="E5" s="213" t="s">
        <v>7</v>
      </c>
      <c r="F5" s="213" t="s">
        <v>8</v>
      </c>
      <c r="G5" s="209" t="s">
        <v>9</v>
      </c>
      <c r="H5" s="209" t="s">
        <v>10</v>
      </c>
      <c r="I5" s="209" t="s">
        <v>11</v>
      </c>
      <c r="J5" s="209" t="s">
        <v>12</v>
      </c>
      <c r="K5" s="200" t="s">
        <v>13</v>
      </c>
      <c r="L5" s="200" t="s">
        <v>14</v>
      </c>
      <c r="M5" s="203" t="s">
        <v>15</v>
      </c>
      <c r="N5" s="200" t="s">
        <v>16</v>
      </c>
      <c r="O5" s="203" t="s">
        <v>17</v>
      </c>
      <c r="P5" s="200" t="s">
        <v>18</v>
      </c>
      <c r="Q5" s="200" t="s">
        <v>19</v>
      </c>
      <c r="R5" s="200" t="s">
        <v>20</v>
      </c>
      <c r="S5" s="200" t="s">
        <v>21</v>
      </c>
      <c r="T5" s="200" t="s">
        <v>22</v>
      </c>
      <c r="U5" s="203" t="s">
        <v>23</v>
      </c>
      <c r="V5" s="200" t="s">
        <v>24</v>
      </c>
      <c r="W5" s="9"/>
      <c r="X5" s="204" t="s">
        <v>25</v>
      </c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176" t="s">
        <v>26</v>
      </c>
      <c r="AQ5" s="176"/>
      <c r="AR5" s="176"/>
      <c r="AS5" s="176"/>
      <c r="AT5" s="176"/>
      <c r="AU5" s="176"/>
      <c r="AV5" s="176"/>
      <c r="AW5" s="176"/>
      <c r="AX5" s="176" t="s">
        <v>27</v>
      </c>
      <c r="AY5" s="176"/>
      <c r="AZ5" s="176"/>
      <c r="BA5" s="176"/>
      <c r="BB5" s="176"/>
      <c r="BC5" s="176"/>
      <c r="BD5" s="176"/>
      <c r="BE5" s="176"/>
      <c r="BF5" s="176" t="s">
        <v>28</v>
      </c>
      <c r="BG5" s="176"/>
      <c r="BH5" s="176"/>
      <c r="BI5" s="176"/>
      <c r="BJ5" s="176"/>
      <c r="BK5" s="176"/>
      <c r="BL5" s="176"/>
      <c r="BM5" s="176"/>
      <c r="BN5" s="176" t="s">
        <v>29</v>
      </c>
      <c r="BO5" s="176"/>
      <c r="BP5" s="176"/>
      <c r="BQ5" s="176"/>
      <c r="BR5" s="176"/>
      <c r="BS5" s="176"/>
      <c r="BT5" s="176"/>
      <c r="BU5" s="176"/>
      <c r="BV5" s="176" t="s">
        <v>30</v>
      </c>
      <c r="BW5" s="176"/>
      <c r="BX5" s="176"/>
      <c r="BY5" s="176"/>
      <c r="BZ5" s="176"/>
      <c r="CA5" s="176"/>
      <c r="CB5" s="176"/>
      <c r="CC5" s="176"/>
      <c r="CD5" s="176" t="s">
        <v>31</v>
      </c>
      <c r="CE5" s="176"/>
      <c r="CF5" s="176"/>
      <c r="CG5" s="176"/>
      <c r="CH5" s="176"/>
      <c r="CI5" s="176"/>
      <c r="CJ5" s="176"/>
      <c r="CK5" s="176"/>
      <c r="CL5" s="196" t="s">
        <v>32</v>
      </c>
      <c r="CM5" s="197"/>
      <c r="CN5" s="197"/>
      <c r="CO5" s="197"/>
      <c r="CP5" s="197"/>
      <c r="CQ5" s="197"/>
      <c r="CR5" s="198"/>
      <c r="CS5" s="196" t="s">
        <v>33</v>
      </c>
      <c r="CT5" s="197"/>
      <c r="CU5" s="197"/>
      <c r="CV5" s="197"/>
      <c r="CW5" s="197"/>
      <c r="CX5" s="197"/>
      <c r="CY5" s="198"/>
      <c r="CZ5" s="196" t="s">
        <v>34</v>
      </c>
      <c r="DA5" s="197"/>
      <c r="DB5" s="197"/>
      <c r="DC5" s="197"/>
      <c r="DD5" s="197"/>
      <c r="DE5" s="197"/>
      <c r="DF5" s="198"/>
      <c r="DG5" s="199" t="s">
        <v>35</v>
      </c>
      <c r="DH5" s="199"/>
      <c r="DI5" s="199"/>
      <c r="DJ5" s="199"/>
      <c r="DK5" s="199"/>
      <c r="DL5" s="199"/>
      <c r="DM5" s="10"/>
      <c r="DN5" s="192" t="s">
        <v>36</v>
      </c>
      <c r="DO5" s="192"/>
      <c r="DP5" s="192"/>
      <c r="DQ5" s="192"/>
      <c r="DR5" s="192"/>
      <c r="DS5" s="192"/>
      <c r="DT5" s="192"/>
      <c r="DU5" s="192"/>
      <c r="DV5" s="192"/>
      <c r="DW5" s="192"/>
      <c r="DX5" s="192"/>
      <c r="DY5" s="176" t="s">
        <v>37</v>
      </c>
      <c r="DZ5" s="176"/>
      <c r="EA5" s="176"/>
      <c r="EB5" s="176"/>
      <c r="EC5" s="176" t="s">
        <v>38</v>
      </c>
      <c r="ED5" s="177" t="s">
        <v>39</v>
      </c>
      <c r="EE5" s="177" t="s">
        <v>40</v>
      </c>
      <c r="EF5" s="188" t="s">
        <v>41</v>
      </c>
      <c r="EG5" s="189"/>
      <c r="EH5" s="189"/>
      <c r="EI5" s="189"/>
      <c r="EJ5" s="190"/>
      <c r="EK5" s="177" t="s">
        <v>42</v>
      </c>
      <c r="EL5" s="191" t="s">
        <v>43</v>
      </c>
      <c r="EM5" s="192" t="s">
        <v>44</v>
      </c>
      <c r="EN5" s="193" t="s">
        <v>45</v>
      </c>
      <c r="EO5" s="11">
        <f>51075/3</f>
        <v>17025</v>
      </c>
    </row>
    <row r="6" spans="2:145" ht="15" customHeight="1" x14ac:dyDescent="0.25">
      <c r="B6" s="211"/>
      <c r="C6" s="201"/>
      <c r="D6" s="201"/>
      <c r="E6" s="195"/>
      <c r="F6" s="195"/>
      <c r="G6" s="194"/>
      <c r="H6" s="194"/>
      <c r="I6" s="194"/>
      <c r="J6" s="194"/>
      <c r="K6" s="201"/>
      <c r="L6" s="201"/>
      <c r="M6" s="175"/>
      <c r="N6" s="201"/>
      <c r="O6" s="175"/>
      <c r="P6" s="201"/>
      <c r="Q6" s="201"/>
      <c r="R6" s="201"/>
      <c r="S6" s="201"/>
      <c r="T6" s="201"/>
      <c r="U6" s="175"/>
      <c r="V6" s="201"/>
      <c r="W6" s="202" t="s">
        <v>46</v>
      </c>
      <c r="X6" s="180" t="s">
        <v>47</v>
      </c>
      <c r="Y6" s="183" t="s">
        <v>48</v>
      </c>
      <c r="Z6" s="183"/>
      <c r="AA6" s="183"/>
      <c r="AB6" s="183"/>
      <c r="AC6" s="183"/>
      <c r="AD6" s="183"/>
      <c r="AE6" s="183"/>
      <c r="AF6" s="183"/>
      <c r="AG6" s="183"/>
      <c r="AH6" s="206" t="s">
        <v>49</v>
      </c>
      <c r="AI6" s="207"/>
      <c r="AJ6" s="207"/>
      <c r="AK6" s="207"/>
      <c r="AL6" s="207"/>
      <c r="AM6" s="208"/>
      <c r="AN6" s="182" t="s">
        <v>50</v>
      </c>
      <c r="AO6" s="182" t="s">
        <v>43</v>
      </c>
      <c r="AP6" s="176" t="s">
        <v>51</v>
      </c>
      <c r="AQ6" s="176"/>
      <c r="AR6" s="176" t="s">
        <v>52</v>
      </c>
      <c r="AS6" s="184" t="s">
        <v>53</v>
      </c>
      <c r="AT6" s="185"/>
      <c r="AU6" s="185"/>
      <c r="AV6" s="179" t="s">
        <v>54</v>
      </c>
      <c r="AW6" s="179" t="s">
        <v>55</v>
      </c>
      <c r="AX6" s="176" t="s">
        <v>51</v>
      </c>
      <c r="AY6" s="176"/>
      <c r="AZ6" s="176" t="s">
        <v>52</v>
      </c>
      <c r="BA6" s="184" t="s">
        <v>53</v>
      </c>
      <c r="BB6" s="185"/>
      <c r="BC6" s="185"/>
      <c r="BD6" s="179" t="s">
        <v>54</v>
      </c>
      <c r="BE6" s="179" t="s">
        <v>55</v>
      </c>
      <c r="BF6" s="176" t="s">
        <v>51</v>
      </c>
      <c r="BG6" s="176"/>
      <c r="BH6" s="176" t="s">
        <v>52</v>
      </c>
      <c r="BI6" s="184" t="s">
        <v>53</v>
      </c>
      <c r="BJ6" s="185"/>
      <c r="BK6" s="185"/>
      <c r="BL6" s="179" t="s">
        <v>54</v>
      </c>
      <c r="BM6" s="179" t="s">
        <v>55</v>
      </c>
      <c r="BN6" s="176" t="s">
        <v>51</v>
      </c>
      <c r="BO6" s="176"/>
      <c r="BP6" s="176" t="s">
        <v>52</v>
      </c>
      <c r="BQ6" s="184" t="s">
        <v>53</v>
      </c>
      <c r="BR6" s="185"/>
      <c r="BS6" s="185"/>
      <c r="BT6" s="179" t="s">
        <v>54</v>
      </c>
      <c r="BU6" s="179" t="s">
        <v>55</v>
      </c>
      <c r="BV6" s="176" t="s">
        <v>51</v>
      </c>
      <c r="BW6" s="176"/>
      <c r="BX6" s="176" t="s">
        <v>52</v>
      </c>
      <c r="BY6" s="184" t="s">
        <v>53</v>
      </c>
      <c r="BZ6" s="185"/>
      <c r="CA6" s="185"/>
      <c r="CB6" s="179" t="s">
        <v>54</v>
      </c>
      <c r="CC6" s="179" t="s">
        <v>55</v>
      </c>
      <c r="CD6" s="176" t="s">
        <v>51</v>
      </c>
      <c r="CE6" s="176"/>
      <c r="CF6" s="176" t="s">
        <v>52</v>
      </c>
      <c r="CG6" s="184" t="s">
        <v>53</v>
      </c>
      <c r="CH6" s="185"/>
      <c r="CI6" s="185"/>
      <c r="CJ6" s="179" t="s">
        <v>54</v>
      </c>
      <c r="CK6" s="179" t="s">
        <v>55</v>
      </c>
      <c r="CL6" s="176" t="s">
        <v>51</v>
      </c>
      <c r="CM6" s="176"/>
      <c r="CN6" s="183" t="s">
        <v>53</v>
      </c>
      <c r="CO6" s="183"/>
      <c r="CP6" s="183"/>
      <c r="CQ6" s="179" t="s">
        <v>54</v>
      </c>
      <c r="CR6" s="179" t="s">
        <v>55</v>
      </c>
      <c r="CS6" s="176" t="s">
        <v>51</v>
      </c>
      <c r="CT6" s="176"/>
      <c r="CU6" s="183" t="s">
        <v>53</v>
      </c>
      <c r="CV6" s="183"/>
      <c r="CW6" s="183"/>
      <c r="CX6" s="179" t="s">
        <v>54</v>
      </c>
      <c r="CY6" s="179" t="s">
        <v>55</v>
      </c>
      <c r="CZ6" s="176" t="s">
        <v>51</v>
      </c>
      <c r="DA6" s="176"/>
      <c r="DB6" s="183" t="s">
        <v>53</v>
      </c>
      <c r="DC6" s="183"/>
      <c r="DD6" s="183"/>
      <c r="DE6" s="179" t="s">
        <v>54</v>
      </c>
      <c r="DF6" s="179" t="s">
        <v>55</v>
      </c>
      <c r="DG6" s="176" t="s">
        <v>51</v>
      </c>
      <c r="DH6" s="176"/>
      <c r="DI6" s="183" t="s">
        <v>53</v>
      </c>
      <c r="DJ6" s="183"/>
      <c r="DK6" s="183"/>
      <c r="DL6" s="179" t="s">
        <v>56</v>
      </c>
      <c r="DM6" s="180" t="s">
        <v>57</v>
      </c>
      <c r="DN6" s="182" t="s">
        <v>58</v>
      </c>
      <c r="DO6" s="182"/>
      <c r="DP6" s="182" t="s">
        <v>59</v>
      </c>
      <c r="DQ6" s="182"/>
      <c r="DR6" s="182" t="s">
        <v>60</v>
      </c>
      <c r="DS6" s="182"/>
      <c r="DT6" s="182" t="s">
        <v>61</v>
      </c>
      <c r="DU6" s="182"/>
      <c r="DV6" s="173" t="s">
        <v>62</v>
      </c>
      <c r="DW6" s="174"/>
      <c r="DX6" s="175" t="s">
        <v>63</v>
      </c>
      <c r="DY6" s="176" t="s">
        <v>64</v>
      </c>
      <c r="DZ6" s="176" t="s">
        <v>65</v>
      </c>
      <c r="EA6" s="177" t="s">
        <v>66</v>
      </c>
      <c r="EB6" s="176" t="s">
        <v>67</v>
      </c>
      <c r="EC6" s="176"/>
      <c r="ED6" s="187"/>
      <c r="EE6" s="187"/>
      <c r="EF6" s="176" t="s">
        <v>68</v>
      </c>
      <c r="EG6" s="176"/>
      <c r="EH6" s="177" t="s">
        <v>69</v>
      </c>
      <c r="EI6" s="177" t="s">
        <v>70</v>
      </c>
      <c r="EJ6" s="177" t="s">
        <v>71</v>
      </c>
      <c r="EK6" s="187"/>
      <c r="EL6" s="191"/>
      <c r="EM6" s="192"/>
      <c r="EN6" s="194"/>
    </row>
    <row r="7" spans="2:145" ht="30" x14ac:dyDescent="0.25">
      <c r="B7" s="212"/>
      <c r="C7" s="202"/>
      <c r="D7" s="202"/>
      <c r="E7" s="193"/>
      <c r="F7" s="193"/>
      <c r="G7" s="195"/>
      <c r="H7" s="194"/>
      <c r="I7" s="194"/>
      <c r="J7" s="194"/>
      <c r="K7" s="202"/>
      <c r="L7" s="202"/>
      <c r="M7" s="201"/>
      <c r="N7" s="202"/>
      <c r="O7" s="201"/>
      <c r="P7" s="202"/>
      <c r="Q7" s="202"/>
      <c r="R7" s="202"/>
      <c r="S7" s="202"/>
      <c r="T7" s="202"/>
      <c r="U7" s="201"/>
      <c r="V7" s="202"/>
      <c r="W7" s="175"/>
      <c r="X7" s="205"/>
      <c r="Y7" s="12" t="s">
        <v>72</v>
      </c>
      <c r="Z7" s="12" t="s">
        <v>73</v>
      </c>
      <c r="AA7" s="12" t="s">
        <v>74</v>
      </c>
      <c r="AB7" s="13" t="s">
        <v>75</v>
      </c>
      <c r="AC7" s="13" t="s">
        <v>76</v>
      </c>
      <c r="AD7" s="13" t="s">
        <v>77</v>
      </c>
      <c r="AE7" s="13" t="s">
        <v>78</v>
      </c>
      <c r="AF7" s="13" t="s">
        <v>79</v>
      </c>
      <c r="AG7" s="13" t="s">
        <v>80</v>
      </c>
      <c r="AH7" s="12" t="s">
        <v>81</v>
      </c>
      <c r="AI7" s="12" t="s">
        <v>82</v>
      </c>
      <c r="AJ7" s="12" t="s">
        <v>83</v>
      </c>
      <c r="AK7" s="13" t="s">
        <v>84</v>
      </c>
      <c r="AL7" s="14" t="s">
        <v>85</v>
      </c>
      <c r="AM7" s="12" t="s">
        <v>86</v>
      </c>
      <c r="AN7" s="186"/>
      <c r="AO7" s="186"/>
      <c r="AP7" s="15" t="s">
        <v>87</v>
      </c>
      <c r="AQ7" s="15" t="s">
        <v>88</v>
      </c>
      <c r="AR7" s="177"/>
      <c r="AS7" s="16" t="s">
        <v>89</v>
      </c>
      <c r="AT7" s="15" t="s">
        <v>90</v>
      </c>
      <c r="AU7" s="17" t="s">
        <v>91</v>
      </c>
      <c r="AV7" s="180"/>
      <c r="AW7" s="180"/>
      <c r="AX7" s="15" t="s">
        <v>87</v>
      </c>
      <c r="AY7" s="15" t="s">
        <v>88</v>
      </c>
      <c r="AZ7" s="177"/>
      <c r="BA7" s="16" t="s">
        <v>89</v>
      </c>
      <c r="BB7" s="15" t="s">
        <v>90</v>
      </c>
      <c r="BC7" s="17" t="s">
        <v>91</v>
      </c>
      <c r="BD7" s="180"/>
      <c r="BE7" s="180"/>
      <c r="BF7" s="15" t="s">
        <v>87</v>
      </c>
      <c r="BG7" s="15" t="s">
        <v>88</v>
      </c>
      <c r="BH7" s="177"/>
      <c r="BI7" s="16" t="s">
        <v>89</v>
      </c>
      <c r="BJ7" s="15" t="s">
        <v>90</v>
      </c>
      <c r="BK7" s="17" t="s">
        <v>91</v>
      </c>
      <c r="BL7" s="180"/>
      <c r="BM7" s="180"/>
      <c r="BN7" s="15" t="s">
        <v>87</v>
      </c>
      <c r="BO7" s="15" t="s">
        <v>88</v>
      </c>
      <c r="BP7" s="177"/>
      <c r="BQ7" s="16" t="s">
        <v>89</v>
      </c>
      <c r="BR7" s="15" t="s">
        <v>90</v>
      </c>
      <c r="BS7" s="17" t="s">
        <v>91</v>
      </c>
      <c r="BT7" s="180"/>
      <c r="BU7" s="180"/>
      <c r="BV7" s="15" t="s">
        <v>87</v>
      </c>
      <c r="BW7" s="15" t="s">
        <v>88</v>
      </c>
      <c r="BX7" s="177"/>
      <c r="BY7" s="16" t="s">
        <v>89</v>
      </c>
      <c r="BZ7" s="15" t="s">
        <v>90</v>
      </c>
      <c r="CA7" s="17" t="s">
        <v>91</v>
      </c>
      <c r="CB7" s="180"/>
      <c r="CC7" s="180"/>
      <c r="CD7" s="15" t="s">
        <v>87</v>
      </c>
      <c r="CE7" s="15" t="s">
        <v>88</v>
      </c>
      <c r="CF7" s="177"/>
      <c r="CG7" s="16" t="s">
        <v>89</v>
      </c>
      <c r="CH7" s="15" t="s">
        <v>90</v>
      </c>
      <c r="CI7" s="17" t="s">
        <v>91</v>
      </c>
      <c r="CJ7" s="180"/>
      <c r="CK7" s="180"/>
      <c r="CL7" s="15" t="s">
        <v>87</v>
      </c>
      <c r="CM7" s="15" t="s">
        <v>92</v>
      </c>
      <c r="CN7" s="16" t="s">
        <v>89</v>
      </c>
      <c r="CO7" s="15" t="s">
        <v>90</v>
      </c>
      <c r="CP7" s="17" t="s">
        <v>91</v>
      </c>
      <c r="CQ7" s="180"/>
      <c r="CR7" s="180"/>
      <c r="CS7" s="15" t="s">
        <v>87</v>
      </c>
      <c r="CT7" s="15" t="s">
        <v>92</v>
      </c>
      <c r="CU7" s="16" t="s">
        <v>89</v>
      </c>
      <c r="CV7" s="15" t="s">
        <v>90</v>
      </c>
      <c r="CW7" s="17" t="s">
        <v>91</v>
      </c>
      <c r="CX7" s="180"/>
      <c r="CY7" s="180"/>
      <c r="CZ7" s="15" t="s">
        <v>87</v>
      </c>
      <c r="DA7" s="15" t="s">
        <v>92</v>
      </c>
      <c r="DB7" s="16" t="s">
        <v>89</v>
      </c>
      <c r="DC7" s="15" t="s">
        <v>90</v>
      </c>
      <c r="DD7" s="17" t="s">
        <v>91</v>
      </c>
      <c r="DE7" s="180"/>
      <c r="DF7" s="180"/>
      <c r="DG7" s="15" t="s">
        <v>87</v>
      </c>
      <c r="DH7" s="15" t="s">
        <v>92</v>
      </c>
      <c r="DI7" s="16" t="s">
        <v>89</v>
      </c>
      <c r="DJ7" s="15" t="s">
        <v>90</v>
      </c>
      <c r="DK7" s="17" t="s">
        <v>91</v>
      </c>
      <c r="DL7" s="180"/>
      <c r="DM7" s="181"/>
      <c r="DN7" s="18" t="s">
        <v>93</v>
      </c>
      <c r="DO7" s="18" t="s">
        <v>94</v>
      </c>
      <c r="DP7" s="18" t="s">
        <v>93</v>
      </c>
      <c r="DQ7" s="18" t="s">
        <v>94</v>
      </c>
      <c r="DR7" s="18" t="s">
        <v>93</v>
      </c>
      <c r="DS7" s="18" t="s">
        <v>94</v>
      </c>
      <c r="DT7" s="18" t="s">
        <v>93</v>
      </c>
      <c r="DU7" s="18" t="s">
        <v>94</v>
      </c>
      <c r="DV7" s="18" t="s">
        <v>93</v>
      </c>
      <c r="DW7" s="18" t="s">
        <v>94</v>
      </c>
      <c r="DX7" s="175"/>
      <c r="DY7" s="177"/>
      <c r="DZ7" s="177"/>
      <c r="EA7" s="178"/>
      <c r="EB7" s="177"/>
      <c r="EC7" s="177"/>
      <c r="ED7" s="187"/>
      <c r="EE7" s="178"/>
      <c r="EF7" s="19" t="s">
        <v>95</v>
      </c>
      <c r="EG7" s="19" t="s">
        <v>96</v>
      </c>
      <c r="EH7" s="187"/>
      <c r="EI7" s="187"/>
      <c r="EJ7" s="187"/>
      <c r="EK7" s="178"/>
      <c r="EL7" s="191"/>
      <c r="EM7" s="192"/>
      <c r="EN7" s="195"/>
    </row>
    <row r="8" spans="2:145" ht="15" customHeight="1" x14ac:dyDescent="0.25">
      <c r="B8" s="20"/>
      <c r="C8" s="21" t="s">
        <v>97</v>
      </c>
      <c r="D8" s="22"/>
      <c r="E8" s="23"/>
      <c r="F8" s="23"/>
      <c r="G8" s="24"/>
      <c r="H8" s="25"/>
      <c r="I8" s="25"/>
      <c r="J8" s="25"/>
      <c r="K8" s="22"/>
      <c r="L8" s="22"/>
      <c r="M8" s="26"/>
      <c r="N8" s="22"/>
      <c r="O8" s="22"/>
      <c r="P8" s="22"/>
      <c r="Q8" s="22"/>
      <c r="R8" s="22"/>
      <c r="S8" s="22"/>
      <c r="T8" s="22"/>
      <c r="U8" s="22"/>
      <c r="V8" s="22"/>
      <c r="W8" s="27"/>
      <c r="X8" s="28"/>
      <c r="Y8" s="29"/>
      <c r="Z8" s="29"/>
      <c r="AA8" s="29"/>
      <c r="AB8" s="30"/>
      <c r="AC8" s="30"/>
      <c r="AD8" s="30"/>
      <c r="AE8" s="30"/>
      <c r="AF8" s="30"/>
      <c r="AG8" s="30"/>
      <c r="AH8" s="29"/>
      <c r="AI8" s="29"/>
      <c r="AJ8" s="29"/>
      <c r="AK8" s="30"/>
      <c r="AL8" s="31"/>
      <c r="AM8" s="29"/>
      <c r="AN8" s="32"/>
      <c r="AO8" s="32"/>
      <c r="AP8" s="33"/>
      <c r="AQ8" s="33"/>
      <c r="AR8" s="33"/>
      <c r="AS8" s="34"/>
      <c r="AT8" s="33"/>
      <c r="AU8" s="35"/>
      <c r="AV8" s="29"/>
      <c r="AW8" s="29"/>
      <c r="AX8" s="33"/>
      <c r="AY8" s="33"/>
      <c r="AZ8" s="33"/>
      <c r="BA8" s="34"/>
      <c r="BB8" s="33"/>
      <c r="BC8" s="35"/>
      <c r="BD8" s="29"/>
      <c r="BE8" s="29"/>
      <c r="BF8" s="33"/>
      <c r="BG8" s="33"/>
      <c r="BH8" s="33"/>
      <c r="BI8" s="34"/>
      <c r="BJ8" s="33"/>
      <c r="BK8" s="35"/>
      <c r="BL8" s="29"/>
      <c r="BM8" s="29"/>
      <c r="BN8" s="33"/>
      <c r="BO8" s="33"/>
      <c r="BP8" s="33"/>
      <c r="BQ8" s="34"/>
      <c r="BR8" s="33"/>
      <c r="BS8" s="35"/>
      <c r="BT8" s="29"/>
      <c r="BU8" s="29"/>
      <c r="BV8" s="33"/>
      <c r="BW8" s="33"/>
      <c r="BX8" s="33"/>
      <c r="BY8" s="34"/>
      <c r="BZ8" s="33"/>
      <c r="CA8" s="35"/>
      <c r="CB8" s="29"/>
      <c r="CC8" s="29"/>
      <c r="CD8" s="33"/>
      <c r="CE8" s="33"/>
      <c r="CF8" s="33"/>
      <c r="CG8" s="34"/>
      <c r="CH8" s="33"/>
      <c r="CI8" s="35"/>
      <c r="CJ8" s="29"/>
      <c r="CK8" s="29"/>
      <c r="CL8" s="33"/>
      <c r="CM8" s="33"/>
      <c r="CN8" s="34"/>
      <c r="CO8" s="33"/>
      <c r="CP8" s="35"/>
      <c r="CQ8" s="29"/>
      <c r="CR8" s="29"/>
      <c r="CS8" s="33"/>
      <c r="CT8" s="33"/>
      <c r="CU8" s="34"/>
      <c r="CV8" s="33"/>
      <c r="CW8" s="35"/>
      <c r="CX8" s="29"/>
      <c r="CY8" s="29"/>
      <c r="CZ8" s="33"/>
      <c r="DA8" s="33"/>
      <c r="DB8" s="34"/>
      <c r="DC8" s="33"/>
      <c r="DD8" s="35"/>
      <c r="DE8" s="29"/>
      <c r="DF8" s="29"/>
      <c r="DG8" s="33"/>
      <c r="DH8" s="33"/>
      <c r="DI8" s="34"/>
      <c r="DJ8" s="33"/>
      <c r="DK8" s="35"/>
      <c r="DL8" s="29"/>
      <c r="DM8" s="36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27"/>
      <c r="DY8" s="33"/>
      <c r="DZ8" s="33"/>
      <c r="EA8" s="33"/>
      <c r="EB8" s="33"/>
      <c r="EC8" s="33"/>
      <c r="ED8" s="37"/>
      <c r="EE8" s="38"/>
      <c r="EF8" s="39"/>
      <c r="EG8" s="39"/>
      <c r="EH8" s="37"/>
      <c r="EI8" s="37"/>
      <c r="EJ8" s="37"/>
      <c r="EK8" s="38"/>
      <c r="EL8" s="20"/>
      <c r="EM8" s="40"/>
      <c r="EN8" s="24"/>
    </row>
    <row r="9" spans="2:145" s="48" customFormat="1" ht="15" customHeight="1" x14ac:dyDescent="0.25">
      <c r="B9" s="41">
        <v>1</v>
      </c>
      <c r="C9" s="42"/>
      <c r="D9" s="43"/>
      <c r="E9" s="42"/>
      <c r="F9" s="42"/>
      <c r="G9" s="42"/>
      <c r="H9" s="42"/>
      <c r="I9" s="42"/>
      <c r="J9" s="42"/>
      <c r="K9" s="42"/>
      <c r="L9" s="42"/>
      <c r="M9" s="42"/>
      <c r="N9" s="41"/>
      <c r="O9" s="41"/>
      <c r="P9" s="44"/>
      <c r="Q9" s="45"/>
      <c r="R9" s="45"/>
      <c r="S9" s="42"/>
      <c r="T9" s="46"/>
      <c r="U9" s="46"/>
      <c r="V9" s="42"/>
      <c r="W9" s="42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7">
        <f t="shared" ref="AN9:AN72" si="0">+X9+Y9+Z9+AA9+AB9+AC9+AD9+AE9+AF9+AG9+AH9+AI9+AJ9+AL9+AM9</f>
        <v>0</v>
      </c>
      <c r="AO9" s="47">
        <f t="shared" ref="AO9:AO72" si="1">+T9-AN9</f>
        <v>0</v>
      </c>
      <c r="AP9" s="46" t="s">
        <v>98</v>
      </c>
      <c r="AQ9" s="46">
        <f t="shared" ref="AQ9:AQ18" si="2">18%*AO9</f>
        <v>0</v>
      </c>
      <c r="AR9" s="46"/>
      <c r="AS9" s="46"/>
      <c r="AT9" s="46"/>
      <c r="AU9" s="47">
        <f t="shared" ref="AU9:AU72" si="3">AS9*AT9</f>
        <v>0</v>
      </c>
      <c r="AV9" s="46"/>
      <c r="AW9" s="47">
        <f t="shared" ref="AW9:AW54" si="4">AQ9+AU9+AV9+AR9</f>
        <v>0</v>
      </c>
      <c r="AX9" s="46"/>
      <c r="AY9" s="46"/>
      <c r="AZ9" s="46"/>
      <c r="BA9" s="46"/>
      <c r="BB9" s="46"/>
      <c r="BC9" s="47">
        <f t="shared" ref="BC9:BC72" si="5">BA9*BB9</f>
        <v>0</v>
      </c>
      <c r="BD9" s="46"/>
      <c r="BE9" s="47">
        <f t="shared" ref="BE9:BE72" si="6">+AY9+AZ9+BC9+BD9</f>
        <v>0</v>
      </c>
      <c r="BF9" s="46"/>
      <c r="BG9" s="46"/>
      <c r="BH9" s="46"/>
      <c r="BI9" s="46"/>
      <c r="BJ9" s="46"/>
      <c r="BK9" s="46">
        <f t="shared" ref="BK9:BK39" si="7">BI9*BJ9</f>
        <v>0</v>
      </c>
      <c r="BL9" s="46"/>
      <c r="BM9" s="46">
        <f t="shared" ref="BM9:BM19" si="8">BK9</f>
        <v>0</v>
      </c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7">
        <f t="shared" ref="CR9:CR72" si="9">CM9+CP9+CQ9</f>
        <v>0</v>
      </c>
      <c r="CS9" s="46"/>
      <c r="CT9" s="46"/>
      <c r="CU9" s="46"/>
      <c r="CV9" s="46"/>
      <c r="CW9" s="47">
        <f t="shared" ref="CW9:CW72" si="10">CU9*CV9</f>
        <v>0</v>
      </c>
      <c r="CX9" s="46"/>
      <c r="CY9" s="47">
        <f t="shared" ref="CY9:CY27" si="11">+CT9+CW9+CX9</f>
        <v>0</v>
      </c>
      <c r="CZ9" s="46"/>
      <c r="DA9" s="46"/>
      <c r="DB9" s="46"/>
      <c r="DC9" s="46"/>
      <c r="DD9" s="47"/>
      <c r="DE9" s="46"/>
      <c r="DF9" s="46"/>
      <c r="DG9" s="46"/>
      <c r="DH9" s="46">
        <f t="shared" ref="DH9:DH72" si="12">AQ9/2</f>
        <v>0</v>
      </c>
      <c r="DI9" s="46"/>
      <c r="DJ9" s="46"/>
      <c r="DK9" s="47">
        <f t="shared" ref="DK9:DK72" si="13">DI9*DJ9</f>
        <v>0</v>
      </c>
      <c r="DL9" s="47">
        <f t="shared" ref="DL9:DL72" si="14">+DH9+DK9</f>
        <v>0</v>
      </c>
      <c r="DM9" s="46"/>
      <c r="DN9" s="46">
        <f>7%*AQ9</f>
        <v>0</v>
      </c>
      <c r="DO9" s="46"/>
      <c r="DP9" s="46">
        <f t="shared" ref="DP9:DP40" si="15">10%*AQ9</f>
        <v>0</v>
      </c>
      <c r="DQ9" s="46"/>
      <c r="DR9" s="46">
        <f t="shared" ref="DR9:DR72" si="16">DP9</f>
        <v>0</v>
      </c>
      <c r="DS9" s="46"/>
      <c r="DT9" s="46">
        <f t="shared" ref="DT9:DT19" si="17">75%*DP9</f>
        <v>0</v>
      </c>
      <c r="DU9" s="46"/>
      <c r="DV9" s="46"/>
      <c r="DW9" s="46"/>
      <c r="DX9" s="47">
        <f t="shared" ref="DX9:DX72" si="18">+DN9+DP9+DR9+DT9+DV9</f>
        <v>0</v>
      </c>
      <c r="DY9" s="46"/>
      <c r="DZ9" s="46"/>
      <c r="EA9" s="46"/>
      <c r="EB9" s="46"/>
      <c r="EC9" s="46"/>
      <c r="ED9" s="46"/>
      <c r="EE9" s="47">
        <f t="shared" ref="EE9:EE19" si="19">+AW9+BE9+BM9+CR9+CY9+DF9+DL9+DX9+DY9+DZ9+EB9+EC9</f>
        <v>0</v>
      </c>
      <c r="EF9" s="46"/>
      <c r="EG9" s="46"/>
      <c r="EH9" s="46"/>
      <c r="EI9" s="46"/>
      <c r="EJ9" s="46"/>
      <c r="EK9" s="47">
        <f t="shared" ref="EK9:EK72" si="20">+EG9+EH9+EI9+EJ9</f>
        <v>0</v>
      </c>
      <c r="EL9" s="46">
        <f t="shared" ref="EL9:EL72" si="21">+AO9-EE9-EK9</f>
        <v>0</v>
      </c>
      <c r="EM9" s="46"/>
      <c r="EN9" s="46">
        <f t="shared" ref="EN9:EN72" si="22">EL9+EM9</f>
        <v>0</v>
      </c>
    </row>
    <row r="10" spans="2:145" s="48" customFormat="1" ht="15" customHeight="1" x14ac:dyDescent="0.25">
      <c r="B10" s="41">
        <v>2</v>
      </c>
      <c r="C10" s="42"/>
      <c r="D10" s="43"/>
      <c r="E10" s="42"/>
      <c r="F10" s="42"/>
      <c r="G10" s="42"/>
      <c r="H10" s="42"/>
      <c r="I10" s="42"/>
      <c r="J10" s="42"/>
      <c r="K10" s="42"/>
      <c r="L10" s="42"/>
      <c r="M10" s="42"/>
      <c r="N10" s="41"/>
      <c r="O10" s="41"/>
      <c r="P10" s="42"/>
      <c r="Q10" s="45"/>
      <c r="R10" s="45"/>
      <c r="S10" s="42"/>
      <c r="T10" s="46"/>
      <c r="U10" s="46"/>
      <c r="V10" s="42"/>
      <c r="W10" s="42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7">
        <f t="shared" si="0"/>
        <v>0</v>
      </c>
      <c r="AO10" s="47">
        <f t="shared" si="1"/>
        <v>0</v>
      </c>
      <c r="AP10" s="46" t="s">
        <v>98</v>
      </c>
      <c r="AQ10" s="46">
        <f t="shared" si="2"/>
        <v>0</v>
      </c>
      <c r="AR10" s="46"/>
      <c r="AS10" s="46"/>
      <c r="AT10" s="46"/>
      <c r="AU10" s="47">
        <f t="shared" si="3"/>
        <v>0</v>
      </c>
      <c r="AV10" s="46"/>
      <c r="AW10" s="47">
        <f t="shared" si="4"/>
        <v>0</v>
      </c>
      <c r="AX10" s="46"/>
      <c r="AY10" s="46"/>
      <c r="AZ10" s="46"/>
      <c r="BA10" s="46"/>
      <c r="BB10" s="46"/>
      <c r="BC10" s="47">
        <f t="shared" si="5"/>
        <v>0</v>
      </c>
      <c r="BD10" s="46"/>
      <c r="BE10" s="47">
        <f t="shared" si="6"/>
        <v>0</v>
      </c>
      <c r="BF10" s="46"/>
      <c r="BG10" s="46"/>
      <c r="BH10" s="46"/>
      <c r="BI10" s="46"/>
      <c r="BJ10" s="46"/>
      <c r="BK10" s="46">
        <f t="shared" si="7"/>
        <v>0</v>
      </c>
      <c r="BL10" s="46"/>
      <c r="BM10" s="46">
        <f t="shared" si="8"/>
        <v>0</v>
      </c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>
        <f t="shared" ref="CP10:CP34" si="23">CN10*CO10</f>
        <v>0</v>
      </c>
      <c r="CQ10" s="46"/>
      <c r="CR10" s="47">
        <f t="shared" si="9"/>
        <v>0</v>
      </c>
      <c r="CS10" s="46"/>
      <c r="CT10" s="46"/>
      <c r="CU10" s="46"/>
      <c r="CV10" s="46"/>
      <c r="CW10" s="47">
        <f t="shared" si="10"/>
        <v>0</v>
      </c>
      <c r="CX10" s="46"/>
      <c r="CY10" s="47">
        <f t="shared" si="11"/>
        <v>0</v>
      </c>
      <c r="CZ10" s="46"/>
      <c r="DA10" s="46"/>
      <c r="DB10" s="46"/>
      <c r="DC10" s="46"/>
      <c r="DD10" s="47">
        <f t="shared" ref="DD10:DD18" si="24">DB10*DC10</f>
        <v>0</v>
      </c>
      <c r="DE10" s="46"/>
      <c r="DF10" s="46">
        <f t="shared" ref="DF10:DF18" si="25">DA10+DD10+DE10</f>
        <v>0</v>
      </c>
      <c r="DG10" s="46"/>
      <c r="DH10" s="46">
        <f t="shared" si="12"/>
        <v>0</v>
      </c>
      <c r="DI10" s="46"/>
      <c r="DJ10" s="46"/>
      <c r="DK10" s="47">
        <f t="shared" si="13"/>
        <v>0</v>
      </c>
      <c r="DL10" s="47">
        <f t="shared" si="14"/>
        <v>0</v>
      </c>
      <c r="DM10" s="46"/>
      <c r="DN10" s="46">
        <f>7.5%*AQ10</f>
        <v>0</v>
      </c>
      <c r="DO10" s="46"/>
      <c r="DP10" s="46">
        <f t="shared" si="15"/>
        <v>0</v>
      </c>
      <c r="DQ10" s="46"/>
      <c r="DR10" s="46">
        <f t="shared" si="16"/>
        <v>0</v>
      </c>
      <c r="DS10" s="46"/>
      <c r="DT10" s="46">
        <f t="shared" si="17"/>
        <v>0</v>
      </c>
      <c r="DU10" s="46"/>
      <c r="DV10" s="46"/>
      <c r="DW10" s="46"/>
      <c r="DX10" s="47">
        <f t="shared" si="18"/>
        <v>0</v>
      </c>
      <c r="DY10" s="46"/>
      <c r="DZ10" s="46"/>
      <c r="EA10" s="46"/>
      <c r="EB10" s="46"/>
      <c r="EC10" s="46"/>
      <c r="ED10" s="46"/>
      <c r="EE10" s="47">
        <f t="shared" si="19"/>
        <v>0</v>
      </c>
      <c r="EF10" s="46"/>
      <c r="EG10" s="46"/>
      <c r="EH10" s="46"/>
      <c r="EI10" s="46"/>
      <c r="EJ10" s="46"/>
      <c r="EK10" s="47">
        <f t="shared" si="20"/>
        <v>0</v>
      </c>
      <c r="EL10" s="46">
        <f t="shared" si="21"/>
        <v>0</v>
      </c>
      <c r="EM10" s="46"/>
      <c r="EN10" s="46">
        <f t="shared" si="22"/>
        <v>0</v>
      </c>
    </row>
    <row r="11" spans="2:145" s="48" customFormat="1" ht="15" customHeight="1" x14ac:dyDescent="0.25">
      <c r="B11" s="41">
        <v>3</v>
      </c>
      <c r="C11" s="42"/>
      <c r="D11" s="43"/>
      <c r="E11" s="42"/>
      <c r="F11" s="42"/>
      <c r="G11" s="42"/>
      <c r="H11" s="42"/>
      <c r="I11" s="42"/>
      <c r="J11" s="42"/>
      <c r="K11" s="42"/>
      <c r="L11" s="42"/>
      <c r="M11" s="42"/>
      <c r="N11" s="41"/>
      <c r="O11" s="41"/>
      <c r="P11" s="42"/>
      <c r="Q11" s="45"/>
      <c r="R11" s="45"/>
      <c r="S11" s="42"/>
      <c r="T11" s="46"/>
      <c r="U11" s="46"/>
      <c r="V11" s="42"/>
      <c r="W11" s="42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7">
        <f t="shared" si="0"/>
        <v>0</v>
      </c>
      <c r="AO11" s="47">
        <f t="shared" si="1"/>
        <v>0</v>
      </c>
      <c r="AP11" s="46" t="s">
        <v>98</v>
      </c>
      <c r="AQ11" s="46">
        <f t="shared" si="2"/>
        <v>0</v>
      </c>
      <c r="AR11" s="46"/>
      <c r="AS11" s="46"/>
      <c r="AT11" s="46"/>
      <c r="AU11" s="47">
        <f t="shared" si="3"/>
        <v>0</v>
      </c>
      <c r="AV11" s="46"/>
      <c r="AW11" s="47">
        <f t="shared" si="4"/>
        <v>0</v>
      </c>
      <c r="AX11" s="46"/>
      <c r="AY11" s="46"/>
      <c r="AZ11" s="46"/>
      <c r="BA11" s="46"/>
      <c r="BB11" s="46"/>
      <c r="BC11" s="47">
        <f t="shared" si="5"/>
        <v>0</v>
      </c>
      <c r="BD11" s="46"/>
      <c r="BE11" s="47">
        <f t="shared" si="6"/>
        <v>0</v>
      </c>
      <c r="BF11" s="46"/>
      <c r="BG11" s="46"/>
      <c r="BH11" s="46"/>
      <c r="BI11" s="46"/>
      <c r="BJ11" s="46"/>
      <c r="BK11" s="46">
        <f t="shared" si="7"/>
        <v>0</v>
      </c>
      <c r="BL11" s="46"/>
      <c r="BM11" s="46">
        <f t="shared" si="8"/>
        <v>0</v>
      </c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>
        <f t="shared" si="23"/>
        <v>0</v>
      </c>
      <c r="CQ11" s="46"/>
      <c r="CR11" s="47">
        <f t="shared" si="9"/>
        <v>0</v>
      </c>
      <c r="CS11" s="46"/>
      <c r="CT11" s="46"/>
      <c r="CU11" s="46"/>
      <c r="CV11" s="46"/>
      <c r="CW11" s="47">
        <f t="shared" si="10"/>
        <v>0</v>
      </c>
      <c r="CX11" s="46"/>
      <c r="CY11" s="47">
        <f t="shared" si="11"/>
        <v>0</v>
      </c>
      <c r="CZ11" s="46"/>
      <c r="DA11" s="46"/>
      <c r="DB11" s="46"/>
      <c r="DC11" s="46"/>
      <c r="DD11" s="47">
        <f t="shared" si="24"/>
        <v>0</v>
      </c>
      <c r="DE11" s="46"/>
      <c r="DF11" s="46">
        <f t="shared" si="25"/>
        <v>0</v>
      </c>
      <c r="DG11" s="46"/>
      <c r="DH11" s="46">
        <f t="shared" si="12"/>
        <v>0</v>
      </c>
      <c r="DI11" s="46"/>
      <c r="DJ11" s="46"/>
      <c r="DK11" s="47">
        <f t="shared" si="13"/>
        <v>0</v>
      </c>
      <c r="DL11" s="47">
        <f t="shared" si="14"/>
        <v>0</v>
      </c>
      <c r="DM11" s="46"/>
      <c r="DN11" s="46">
        <f>7.5%*AQ11</f>
        <v>0</v>
      </c>
      <c r="DO11" s="46"/>
      <c r="DP11" s="46">
        <f t="shared" si="15"/>
        <v>0</v>
      </c>
      <c r="DQ11" s="46"/>
      <c r="DR11" s="46">
        <f t="shared" si="16"/>
        <v>0</v>
      </c>
      <c r="DS11" s="46"/>
      <c r="DT11" s="46">
        <f t="shared" si="17"/>
        <v>0</v>
      </c>
      <c r="DU11" s="46"/>
      <c r="DV11" s="46"/>
      <c r="DW11" s="46"/>
      <c r="DX11" s="47">
        <f t="shared" si="18"/>
        <v>0</v>
      </c>
      <c r="DY11" s="46"/>
      <c r="DZ11" s="46"/>
      <c r="EA11" s="46"/>
      <c r="EB11" s="46"/>
      <c r="EC11" s="46"/>
      <c r="ED11" s="46"/>
      <c r="EE11" s="47">
        <f t="shared" si="19"/>
        <v>0</v>
      </c>
      <c r="EF11" s="46"/>
      <c r="EG11" s="46"/>
      <c r="EH11" s="46"/>
      <c r="EI11" s="46"/>
      <c r="EJ11" s="46"/>
      <c r="EK11" s="47">
        <f t="shared" si="20"/>
        <v>0</v>
      </c>
      <c r="EL11" s="46">
        <f t="shared" si="21"/>
        <v>0</v>
      </c>
      <c r="EM11" s="46"/>
      <c r="EN11" s="46">
        <f t="shared" si="22"/>
        <v>0</v>
      </c>
    </row>
    <row r="12" spans="2:145" s="48" customFormat="1" ht="15" customHeight="1" x14ac:dyDescent="0.25">
      <c r="B12" s="41">
        <v>4</v>
      </c>
      <c r="C12" s="42"/>
      <c r="D12" s="43"/>
      <c r="E12" s="42"/>
      <c r="F12" s="42"/>
      <c r="G12" s="42"/>
      <c r="H12" s="42"/>
      <c r="I12" s="42"/>
      <c r="J12" s="42"/>
      <c r="K12" s="42"/>
      <c r="L12" s="42"/>
      <c r="M12" s="42"/>
      <c r="N12" s="41"/>
      <c r="O12" s="41"/>
      <c r="P12" s="42"/>
      <c r="Q12" s="45"/>
      <c r="R12" s="45"/>
      <c r="S12" s="42"/>
      <c r="T12" s="46"/>
      <c r="U12" s="46"/>
      <c r="V12" s="42"/>
      <c r="W12" s="42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7">
        <f t="shared" si="0"/>
        <v>0</v>
      </c>
      <c r="AO12" s="47">
        <f t="shared" si="1"/>
        <v>0</v>
      </c>
      <c r="AP12" s="46" t="s">
        <v>98</v>
      </c>
      <c r="AQ12" s="46">
        <f t="shared" si="2"/>
        <v>0</v>
      </c>
      <c r="AR12" s="46"/>
      <c r="AS12" s="46"/>
      <c r="AT12" s="46"/>
      <c r="AU12" s="47">
        <f t="shared" si="3"/>
        <v>0</v>
      </c>
      <c r="AV12" s="46"/>
      <c r="AW12" s="47">
        <f t="shared" si="4"/>
        <v>0</v>
      </c>
      <c r="AX12" s="46"/>
      <c r="AY12" s="46"/>
      <c r="AZ12" s="46"/>
      <c r="BA12" s="46"/>
      <c r="BB12" s="46"/>
      <c r="BC12" s="47">
        <f t="shared" si="5"/>
        <v>0</v>
      </c>
      <c r="BD12" s="46"/>
      <c r="BE12" s="47">
        <f t="shared" si="6"/>
        <v>0</v>
      </c>
      <c r="BF12" s="46"/>
      <c r="BG12" s="46"/>
      <c r="BH12" s="46"/>
      <c r="BI12" s="46"/>
      <c r="BJ12" s="46"/>
      <c r="BK12" s="46">
        <f t="shared" si="7"/>
        <v>0</v>
      </c>
      <c r="BL12" s="46"/>
      <c r="BM12" s="46">
        <f t="shared" si="8"/>
        <v>0</v>
      </c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>
        <f t="shared" si="23"/>
        <v>0</v>
      </c>
      <c r="CQ12" s="46"/>
      <c r="CR12" s="47">
        <f t="shared" si="9"/>
        <v>0</v>
      </c>
      <c r="CS12" s="46"/>
      <c r="CT12" s="46"/>
      <c r="CU12" s="46"/>
      <c r="CV12" s="46"/>
      <c r="CW12" s="47">
        <f t="shared" si="10"/>
        <v>0</v>
      </c>
      <c r="CX12" s="46"/>
      <c r="CY12" s="47">
        <f t="shared" si="11"/>
        <v>0</v>
      </c>
      <c r="CZ12" s="46"/>
      <c r="DA12" s="46"/>
      <c r="DB12" s="46"/>
      <c r="DC12" s="46"/>
      <c r="DD12" s="47">
        <f t="shared" si="24"/>
        <v>0</v>
      </c>
      <c r="DE12" s="46"/>
      <c r="DF12" s="46">
        <f t="shared" si="25"/>
        <v>0</v>
      </c>
      <c r="DG12" s="46"/>
      <c r="DH12" s="46">
        <f t="shared" si="12"/>
        <v>0</v>
      </c>
      <c r="DI12" s="46"/>
      <c r="DJ12" s="46"/>
      <c r="DK12" s="47">
        <f t="shared" si="13"/>
        <v>0</v>
      </c>
      <c r="DL12" s="47">
        <f t="shared" si="14"/>
        <v>0</v>
      </c>
      <c r="DM12" s="46"/>
      <c r="DN12" s="46">
        <f>7.5%*AQ12</f>
        <v>0</v>
      </c>
      <c r="DO12" s="46"/>
      <c r="DP12" s="46">
        <f t="shared" si="15"/>
        <v>0</v>
      </c>
      <c r="DQ12" s="46"/>
      <c r="DR12" s="46">
        <f t="shared" si="16"/>
        <v>0</v>
      </c>
      <c r="DS12" s="46"/>
      <c r="DT12" s="46">
        <f t="shared" si="17"/>
        <v>0</v>
      </c>
      <c r="DU12" s="46"/>
      <c r="DV12" s="46"/>
      <c r="DW12" s="46"/>
      <c r="DX12" s="47">
        <f t="shared" si="18"/>
        <v>0</v>
      </c>
      <c r="DY12" s="46"/>
      <c r="DZ12" s="46"/>
      <c r="EA12" s="46"/>
      <c r="EB12" s="46"/>
      <c r="EC12" s="46"/>
      <c r="ED12" s="46"/>
      <c r="EE12" s="47">
        <f t="shared" si="19"/>
        <v>0</v>
      </c>
      <c r="EF12" s="46"/>
      <c r="EG12" s="46"/>
      <c r="EH12" s="46"/>
      <c r="EI12" s="46"/>
      <c r="EJ12" s="46"/>
      <c r="EK12" s="47">
        <f t="shared" si="20"/>
        <v>0</v>
      </c>
      <c r="EL12" s="46">
        <f t="shared" si="21"/>
        <v>0</v>
      </c>
      <c r="EM12" s="46"/>
      <c r="EN12" s="46">
        <f t="shared" si="22"/>
        <v>0</v>
      </c>
    </row>
    <row r="13" spans="2:145" s="48" customFormat="1" ht="15" customHeight="1" x14ac:dyDescent="0.25">
      <c r="B13" s="41">
        <v>5</v>
      </c>
      <c r="C13" s="42"/>
      <c r="D13" s="43"/>
      <c r="E13" s="42"/>
      <c r="F13" s="42"/>
      <c r="G13" s="42"/>
      <c r="H13" s="42"/>
      <c r="I13" s="42"/>
      <c r="J13" s="42"/>
      <c r="K13" s="42"/>
      <c r="L13" s="42"/>
      <c r="M13" s="42"/>
      <c r="N13" s="41"/>
      <c r="O13" s="41"/>
      <c r="P13" s="42"/>
      <c r="Q13" s="45"/>
      <c r="R13" s="45"/>
      <c r="S13" s="42"/>
      <c r="T13" s="46"/>
      <c r="U13" s="46"/>
      <c r="V13" s="42"/>
      <c r="W13" s="42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>
        <f t="shared" si="0"/>
        <v>0</v>
      </c>
      <c r="AO13" s="47">
        <f t="shared" si="1"/>
        <v>0</v>
      </c>
      <c r="AP13" s="46" t="s">
        <v>98</v>
      </c>
      <c r="AQ13" s="46">
        <f t="shared" si="2"/>
        <v>0</v>
      </c>
      <c r="AR13" s="46"/>
      <c r="AS13" s="46"/>
      <c r="AT13" s="46"/>
      <c r="AU13" s="47">
        <f t="shared" si="3"/>
        <v>0</v>
      </c>
      <c r="AV13" s="46"/>
      <c r="AW13" s="47">
        <f t="shared" si="4"/>
        <v>0</v>
      </c>
      <c r="AX13" s="46"/>
      <c r="AY13" s="46"/>
      <c r="AZ13" s="46"/>
      <c r="BA13" s="46"/>
      <c r="BB13" s="46"/>
      <c r="BC13" s="47">
        <f t="shared" si="5"/>
        <v>0</v>
      </c>
      <c r="BD13" s="46"/>
      <c r="BE13" s="47">
        <f t="shared" si="6"/>
        <v>0</v>
      </c>
      <c r="BF13" s="46"/>
      <c r="BG13" s="46"/>
      <c r="BH13" s="46"/>
      <c r="BI13" s="46"/>
      <c r="BJ13" s="46"/>
      <c r="BK13" s="46">
        <f t="shared" si="7"/>
        <v>0</v>
      </c>
      <c r="BL13" s="46"/>
      <c r="BM13" s="46">
        <f t="shared" si="8"/>
        <v>0</v>
      </c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>
        <f t="shared" si="23"/>
        <v>0</v>
      </c>
      <c r="CQ13" s="46"/>
      <c r="CR13" s="47">
        <f t="shared" si="9"/>
        <v>0</v>
      </c>
      <c r="CS13" s="46"/>
      <c r="CT13" s="46"/>
      <c r="CU13" s="46"/>
      <c r="CV13" s="46"/>
      <c r="CW13" s="47">
        <f t="shared" si="10"/>
        <v>0</v>
      </c>
      <c r="CX13" s="46"/>
      <c r="CY13" s="47">
        <f t="shared" si="11"/>
        <v>0</v>
      </c>
      <c r="CZ13" s="46"/>
      <c r="DA13" s="46"/>
      <c r="DB13" s="46"/>
      <c r="DC13" s="46"/>
      <c r="DD13" s="47">
        <f t="shared" si="24"/>
        <v>0</v>
      </c>
      <c r="DE13" s="46"/>
      <c r="DF13" s="46">
        <f t="shared" si="25"/>
        <v>0</v>
      </c>
      <c r="DG13" s="46"/>
      <c r="DH13" s="46">
        <f t="shared" si="12"/>
        <v>0</v>
      </c>
      <c r="DI13" s="46"/>
      <c r="DJ13" s="46"/>
      <c r="DK13" s="47">
        <f t="shared" si="13"/>
        <v>0</v>
      </c>
      <c r="DL13" s="47">
        <f t="shared" si="14"/>
        <v>0</v>
      </c>
      <c r="DM13" s="46"/>
      <c r="DN13" s="46">
        <f>7.5%*AQ13</f>
        <v>0</v>
      </c>
      <c r="DO13" s="46"/>
      <c r="DP13" s="46">
        <f t="shared" si="15"/>
        <v>0</v>
      </c>
      <c r="DQ13" s="46"/>
      <c r="DR13" s="46">
        <f t="shared" si="16"/>
        <v>0</v>
      </c>
      <c r="DS13" s="46"/>
      <c r="DT13" s="46">
        <f t="shared" si="17"/>
        <v>0</v>
      </c>
      <c r="DU13" s="46"/>
      <c r="DV13" s="46"/>
      <c r="DW13" s="46"/>
      <c r="DX13" s="47">
        <f t="shared" si="18"/>
        <v>0</v>
      </c>
      <c r="DY13" s="46"/>
      <c r="DZ13" s="46"/>
      <c r="EA13" s="46"/>
      <c r="EB13" s="46"/>
      <c r="EC13" s="46"/>
      <c r="ED13" s="46"/>
      <c r="EE13" s="47">
        <f t="shared" si="19"/>
        <v>0</v>
      </c>
      <c r="EF13" s="46"/>
      <c r="EG13" s="46"/>
      <c r="EH13" s="46"/>
      <c r="EI13" s="46"/>
      <c r="EJ13" s="46"/>
      <c r="EK13" s="47">
        <f t="shared" si="20"/>
        <v>0</v>
      </c>
      <c r="EL13" s="46">
        <f t="shared" si="21"/>
        <v>0</v>
      </c>
      <c r="EM13" s="46"/>
      <c r="EN13" s="46">
        <f t="shared" si="22"/>
        <v>0</v>
      </c>
    </row>
    <row r="14" spans="2:145" s="48" customFormat="1" ht="15" customHeight="1" x14ac:dyDescent="0.25">
      <c r="B14" s="41">
        <v>6</v>
      </c>
      <c r="C14" s="42"/>
      <c r="D14" s="43"/>
      <c r="E14" s="42"/>
      <c r="F14" s="42"/>
      <c r="G14" s="42"/>
      <c r="H14" s="42"/>
      <c r="I14" s="42"/>
      <c r="J14" s="42"/>
      <c r="K14" s="42"/>
      <c r="L14" s="42"/>
      <c r="M14" s="42"/>
      <c r="N14" s="41"/>
      <c r="O14" s="41"/>
      <c r="P14" s="42"/>
      <c r="Q14" s="45"/>
      <c r="R14" s="45"/>
      <c r="S14" s="42"/>
      <c r="T14" s="46"/>
      <c r="U14" s="46"/>
      <c r="V14" s="42"/>
      <c r="W14" s="42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7">
        <f t="shared" si="0"/>
        <v>0</v>
      </c>
      <c r="AO14" s="47">
        <f t="shared" si="1"/>
        <v>0</v>
      </c>
      <c r="AP14" s="46" t="s">
        <v>101</v>
      </c>
      <c r="AQ14" s="46">
        <f t="shared" si="2"/>
        <v>0</v>
      </c>
      <c r="AR14" s="46"/>
      <c r="AS14" s="46"/>
      <c r="AT14" s="46"/>
      <c r="AU14" s="47">
        <f t="shared" si="3"/>
        <v>0</v>
      </c>
      <c r="AV14" s="46"/>
      <c r="AW14" s="47">
        <f t="shared" si="4"/>
        <v>0</v>
      </c>
      <c r="AX14" s="46"/>
      <c r="AY14" s="46"/>
      <c r="AZ14" s="46"/>
      <c r="BA14" s="46"/>
      <c r="BB14" s="46"/>
      <c r="BC14" s="47">
        <f t="shared" si="5"/>
        <v>0</v>
      </c>
      <c r="BD14" s="46"/>
      <c r="BE14" s="47">
        <f t="shared" si="6"/>
        <v>0</v>
      </c>
      <c r="BF14" s="46"/>
      <c r="BG14" s="46"/>
      <c r="BH14" s="46"/>
      <c r="BI14" s="46"/>
      <c r="BJ14" s="46"/>
      <c r="BK14" s="46">
        <f t="shared" si="7"/>
        <v>0</v>
      </c>
      <c r="BL14" s="46"/>
      <c r="BM14" s="46">
        <f t="shared" si="8"/>
        <v>0</v>
      </c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>
        <f t="shared" si="23"/>
        <v>0</v>
      </c>
      <c r="CQ14" s="46"/>
      <c r="CR14" s="47">
        <f t="shared" si="9"/>
        <v>0</v>
      </c>
      <c r="CS14" s="46"/>
      <c r="CT14" s="46"/>
      <c r="CU14" s="46"/>
      <c r="CV14" s="46"/>
      <c r="CW14" s="47">
        <f t="shared" si="10"/>
        <v>0</v>
      </c>
      <c r="CX14" s="46"/>
      <c r="CY14" s="47">
        <f t="shared" si="11"/>
        <v>0</v>
      </c>
      <c r="CZ14" s="46"/>
      <c r="DA14" s="46"/>
      <c r="DB14" s="46"/>
      <c r="DC14" s="46"/>
      <c r="DD14" s="47">
        <f t="shared" si="24"/>
        <v>0</v>
      </c>
      <c r="DE14" s="46"/>
      <c r="DF14" s="46">
        <f t="shared" si="25"/>
        <v>0</v>
      </c>
      <c r="DG14" s="46"/>
      <c r="DH14" s="46">
        <f t="shared" si="12"/>
        <v>0</v>
      </c>
      <c r="DI14" s="46"/>
      <c r="DJ14" s="46"/>
      <c r="DK14" s="47">
        <f t="shared" si="13"/>
        <v>0</v>
      </c>
      <c r="DL14" s="47">
        <f t="shared" si="14"/>
        <v>0</v>
      </c>
      <c r="DM14" s="46"/>
      <c r="DN14" s="46">
        <f>7.5%*AQ14</f>
        <v>0</v>
      </c>
      <c r="DO14" s="46"/>
      <c r="DP14" s="46">
        <f t="shared" si="15"/>
        <v>0</v>
      </c>
      <c r="DQ14" s="46"/>
      <c r="DR14" s="46">
        <f t="shared" si="16"/>
        <v>0</v>
      </c>
      <c r="DS14" s="46"/>
      <c r="DT14" s="46">
        <f t="shared" si="17"/>
        <v>0</v>
      </c>
      <c r="DU14" s="46"/>
      <c r="DV14" s="46"/>
      <c r="DW14" s="46"/>
      <c r="DX14" s="47">
        <f t="shared" si="18"/>
        <v>0</v>
      </c>
      <c r="DY14" s="46"/>
      <c r="DZ14" s="46"/>
      <c r="EA14" s="46"/>
      <c r="EB14" s="46"/>
      <c r="EC14" s="46"/>
      <c r="ED14" s="46"/>
      <c r="EE14" s="47">
        <f t="shared" si="19"/>
        <v>0</v>
      </c>
      <c r="EF14" s="46"/>
      <c r="EG14" s="46"/>
      <c r="EH14" s="46"/>
      <c r="EI14" s="46"/>
      <c r="EJ14" s="46"/>
      <c r="EK14" s="47">
        <f t="shared" si="20"/>
        <v>0</v>
      </c>
      <c r="EL14" s="46">
        <f t="shared" si="21"/>
        <v>0</v>
      </c>
      <c r="EM14" s="46"/>
      <c r="EN14" s="46">
        <f t="shared" si="22"/>
        <v>0</v>
      </c>
    </row>
    <row r="15" spans="2:145" s="48" customFormat="1" ht="15" customHeight="1" x14ac:dyDescent="0.25">
      <c r="B15" s="41">
        <v>8</v>
      </c>
      <c r="C15" s="42"/>
      <c r="D15" s="43"/>
      <c r="E15" s="42"/>
      <c r="F15" s="42"/>
      <c r="G15" s="42"/>
      <c r="H15" s="42"/>
      <c r="I15" s="42"/>
      <c r="J15" s="42"/>
      <c r="K15" s="42"/>
      <c r="L15" s="42"/>
      <c r="M15" s="42"/>
      <c r="N15" s="41"/>
      <c r="O15" s="41"/>
      <c r="P15" s="42"/>
      <c r="Q15" s="45"/>
      <c r="R15" s="45"/>
      <c r="S15" s="42"/>
      <c r="T15" s="46"/>
      <c r="U15" s="46"/>
      <c r="V15" s="42"/>
      <c r="W15" s="42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7">
        <f t="shared" si="0"/>
        <v>0</v>
      </c>
      <c r="AO15" s="47">
        <f t="shared" si="1"/>
        <v>0</v>
      </c>
      <c r="AP15" s="46" t="s">
        <v>98</v>
      </c>
      <c r="AQ15" s="46">
        <f t="shared" si="2"/>
        <v>0</v>
      </c>
      <c r="AR15" s="46"/>
      <c r="AS15" s="46"/>
      <c r="AT15" s="46"/>
      <c r="AU15" s="47">
        <f t="shared" si="3"/>
        <v>0</v>
      </c>
      <c r="AV15" s="46"/>
      <c r="AW15" s="47">
        <f t="shared" si="4"/>
        <v>0</v>
      </c>
      <c r="AX15" s="46"/>
      <c r="AY15" s="46"/>
      <c r="AZ15" s="46"/>
      <c r="BA15" s="46"/>
      <c r="BB15" s="46"/>
      <c r="BC15" s="47">
        <f t="shared" si="5"/>
        <v>0</v>
      </c>
      <c r="BD15" s="46"/>
      <c r="BE15" s="47">
        <f t="shared" si="6"/>
        <v>0</v>
      </c>
      <c r="BF15" s="46"/>
      <c r="BG15" s="46"/>
      <c r="BH15" s="46"/>
      <c r="BI15" s="46"/>
      <c r="BJ15" s="46"/>
      <c r="BK15" s="46">
        <f t="shared" si="7"/>
        <v>0</v>
      </c>
      <c r="BL15" s="46"/>
      <c r="BM15" s="46">
        <f t="shared" si="8"/>
        <v>0</v>
      </c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>
        <f t="shared" si="23"/>
        <v>0</v>
      </c>
      <c r="CQ15" s="46"/>
      <c r="CR15" s="47">
        <f t="shared" si="9"/>
        <v>0</v>
      </c>
      <c r="CS15" s="46"/>
      <c r="CT15" s="46"/>
      <c r="CU15" s="46"/>
      <c r="CV15" s="46"/>
      <c r="CW15" s="47">
        <f t="shared" si="10"/>
        <v>0</v>
      </c>
      <c r="CX15" s="46"/>
      <c r="CY15" s="47">
        <f t="shared" si="11"/>
        <v>0</v>
      </c>
      <c r="CZ15" s="46"/>
      <c r="DA15" s="46"/>
      <c r="DB15" s="46"/>
      <c r="DC15" s="46"/>
      <c r="DD15" s="47">
        <f t="shared" si="24"/>
        <v>0</v>
      </c>
      <c r="DE15" s="46"/>
      <c r="DF15" s="46">
        <f t="shared" si="25"/>
        <v>0</v>
      </c>
      <c r="DG15" s="46"/>
      <c r="DH15" s="46">
        <f t="shared" si="12"/>
        <v>0</v>
      </c>
      <c r="DI15" s="46"/>
      <c r="DJ15" s="46"/>
      <c r="DK15" s="47">
        <f t="shared" si="13"/>
        <v>0</v>
      </c>
      <c r="DL15" s="47">
        <f t="shared" si="14"/>
        <v>0</v>
      </c>
      <c r="DM15" s="46"/>
      <c r="DN15" s="46">
        <f>7%*AQ15</f>
        <v>0</v>
      </c>
      <c r="DO15" s="46"/>
      <c r="DP15" s="46">
        <f t="shared" si="15"/>
        <v>0</v>
      </c>
      <c r="DQ15" s="46"/>
      <c r="DR15" s="46">
        <f t="shared" si="16"/>
        <v>0</v>
      </c>
      <c r="DS15" s="46"/>
      <c r="DT15" s="46">
        <f t="shared" si="17"/>
        <v>0</v>
      </c>
      <c r="DU15" s="46"/>
      <c r="DV15" s="46"/>
      <c r="DW15" s="46"/>
      <c r="DX15" s="47">
        <f t="shared" si="18"/>
        <v>0</v>
      </c>
      <c r="DY15" s="46"/>
      <c r="DZ15" s="46"/>
      <c r="EA15" s="46"/>
      <c r="EB15" s="46"/>
      <c r="EC15" s="46"/>
      <c r="ED15" s="46"/>
      <c r="EE15" s="47">
        <f t="shared" si="19"/>
        <v>0</v>
      </c>
      <c r="EF15" s="46"/>
      <c r="EG15" s="46"/>
      <c r="EH15" s="46"/>
      <c r="EI15" s="46"/>
      <c r="EJ15" s="46"/>
      <c r="EK15" s="47">
        <f t="shared" si="20"/>
        <v>0</v>
      </c>
      <c r="EL15" s="46">
        <f t="shared" si="21"/>
        <v>0</v>
      </c>
      <c r="EM15" s="46"/>
      <c r="EN15" s="46">
        <f t="shared" si="22"/>
        <v>0</v>
      </c>
    </row>
    <row r="16" spans="2:145" s="48" customFormat="1" x14ac:dyDescent="0.25">
      <c r="B16" s="41">
        <v>9</v>
      </c>
      <c r="C16" s="42"/>
      <c r="D16" s="43"/>
      <c r="E16" s="42"/>
      <c r="F16" s="42"/>
      <c r="G16" s="42"/>
      <c r="H16" s="42"/>
      <c r="I16" s="42"/>
      <c r="J16" s="42"/>
      <c r="K16" s="42"/>
      <c r="L16" s="42"/>
      <c r="M16" s="42"/>
      <c r="N16" s="41"/>
      <c r="O16" s="41"/>
      <c r="P16" s="42"/>
      <c r="Q16" s="45"/>
      <c r="R16" s="45"/>
      <c r="S16" s="42"/>
      <c r="T16" s="46"/>
      <c r="U16" s="46"/>
      <c r="V16" s="42"/>
      <c r="W16" s="42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7">
        <f t="shared" si="0"/>
        <v>0</v>
      </c>
      <c r="AO16" s="47">
        <f t="shared" si="1"/>
        <v>0</v>
      </c>
      <c r="AP16" s="46" t="s">
        <v>101</v>
      </c>
      <c r="AQ16" s="46">
        <f t="shared" si="2"/>
        <v>0</v>
      </c>
      <c r="AR16" s="46"/>
      <c r="AS16" s="46"/>
      <c r="AT16" s="46"/>
      <c r="AU16" s="47">
        <f t="shared" si="3"/>
        <v>0</v>
      </c>
      <c r="AV16" s="46"/>
      <c r="AW16" s="47">
        <f t="shared" si="4"/>
        <v>0</v>
      </c>
      <c r="AX16" s="46"/>
      <c r="AY16" s="46"/>
      <c r="AZ16" s="46"/>
      <c r="BA16" s="46"/>
      <c r="BB16" s="46"/>
      <c r="BC16" s="47">
        <f t="shared" si="5"/>
        <v>0</v>
      </c>
      <c r="BD16" s="46"/>
      <c r="BE16" s="47">
        <f t="shared" si="6"/>
        <v>0</v>
      </c>
      <c r="BF16" s="46"/>
      <c r="BG16" s="46"/>
      <c r="BH16" s="46"/>
      <c r="BI16" s="46"/>
      <c r="BJ16" s="46"/>
      <c r="BK16" s="46">
        <f t="shared" si="7"/>
        <v>0</v>
      </c>
      <c r="BL16" s="46"/>
      <c r="BM16" s="46">
        <f t="shared" si="8"/>
        <v>0</v>
      </c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>
        <f t="shared" si="23"/>
        <v>0</v>
      </c>
      <c r="CQ16" s="46"/>
      <c r="CR16" s="47">
        <f t="shared" si="9"/>
        <v>0</v>
      </c>
      <c r="CS16" s="46"/>
      <c r="CT16" s="46"/>
      <c r="CU16" s="46"/>
      <c r="CV16" s="46"/>
      <c r="CW16" s="47">
        <f t="shared" si="10"/>
        <v>0</v>
      </c>
      <c r="CX16" s="46"/>
      <c r="CY16" s="47">
        <f t="shared" si="11"/>
        <v>0</v>
      </c>
      <c r="CZ16" s="46"/>
      <c r="DA16" s="46"/>
      <c r="DB16" s="46"/>
      <c r="DC16" s="46"/>
      <c r="DD16" s="47">
        <f t="shared" si="24"/>
        <v>0</v>
      </c>
      <c r="DE16" s="46"/>
      <c r="DF16" s="46">
        <f t="shared" si="25"/>
        <v>0</v>
      </c>
      <c r="DG16" s="46"/>
      <c r="DH16" s="46">
        <f t="shared" si="12"/>
        <v>0</v>
      </c>
      <c r="DI16" s="46"/>
      <c r="DJ16" s="46"/>
      <c r="DK16" s="47">
        <f t="shared" si="13"/>
        <v>0</v>
      </c>
      <c r="DL16" s="47">
        <f t="shared" si="14"/>
        <v>0</v>
      </c>
      <c r="DM16" s="46"/>
      <c r="DN16" s="46">
        <f>7%*AQ16</f>
        <v>0</v>
      </c>
      <c r="DO16" s="46"/>
      <c r="DP16" s="46">
        <f t="shared" si="15"/>
        <v>0</v>
      </c>
      <c r="DQ16" s="46"/>
      <c r="DR16" s="46">
        <f t="shared" si="16"/>
        <v>0</v>
      </c>
      <c r="DS16" s="46"/>
      <c r="DT16" s="46">
        <f t="shared" si="17"/>
        <v>0</v>
      </c>
      <c r="DU16" s="46"/>
      <c r="DV16" s="46"/>
      <c r="DW16" s="46"/>
      <c r="DX16" s="47">
        <f t="shared" si="18"/>
        <v>0</v>
      </c>
      <c r="DY16" s="46"/>
      <c r="DZ16" s="46"/>
      <c r="EA16" s="46"/>
      <c r="EB16" s="46"/>
      <c r="EC16" s="46"/>
      <c r="ED16" s="46"/>
      <c r="EE16" s="47">
        <f t="shared" si="19"/>
        <v>0</v>
      </c>
      <c r="EF16" s="46"/>
      <c r="EG16" s="46"/>
      <c r="EH16" s="46"/>
      <c r="EI16" s="46"/>
      <c r="EJ16" s="46"/>
      <c r="EK16" s="47">
        <f t="shared" si="20"/>
        <v>0</v>
      </c>
      <c r="EL16" s="46">
        <f t="shared" si="21"/>
        <v>0</v>
      </c>
      <c r="EM16" s="46"/>
      <c r="EN16" s="46">
        <f t="shared" si="22"/>
        <v>0</v>
      </c>
    </row>
    <row r="17" spans="1:147" s="48" customFormat="1" ht="15" customHeight="1" x14ac:dyDescent="0.25">
      <c r="B17" s="41">
        <v>10</v>
      </c>
      <c r="C17" s="49"/>
      <c r="D17" s="43"/>
      <c r="E17" s="42"/>
      <c r="F17" s="42"/>
      <c r="G17" s="42"/>
      <c r="H17" s="42"/>
      <c r="I17" s="42"/>
      <c r="J17" s="42"/>
      <c r="K17" s="42"/>
      <c r="L17" s="42"/>
      <c r="M17" s="42"/>
      <c r="N17" s="41"/>
      <c r="O17" s="41"/>
      <c r="P17" s="42"/>
      <c r="Q17" s="45"/>
      <c r="R17" s="45"/>
      <c r="S17" s="42"/>
      <c r="T17" s="46"/>
      <c r="U17" s="46"/>
      <c r="V17" s="42"/>
      <c r="W17" s="42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7">
        <f t="shared" si="0"/>
        <v>0</v>
      </c>
      <c r="AO17" s="47">
        <f t="shared" si="1"/>
        <v>0</v>
      </c>
      <c r="AP17" s="46" t="s">
        <v>98</v>
      </c>
      <c r="AQ17" s="46">
        <f t="shared" si="2"/>
        <v>0</v>
      </c>
      <c r="AR17" s="46"/>
      <c r="AS17" s="46"/>
      <c r="AT17" s="46"/>
      <c r="AU17" s="47">
        <f t="shared" si="3"/>
        <v>0</v>
      </c>
      <c r="AV17" s="46"/>
      <c r="AW17" s="47">
        <f t="shared" si="4"/>
        <v>0</v>
      </c>
      <c r="AX17" s="46"/>
      <c r="AY17" s="46"/>
      <c r="AZ17" s="46"/>
      <c r="BA17" s="46"/>
      <c r="BB17" s="46"/>
      <c r="BC17" s="47">
        <f t="shared" si="5"/>
        <v>0</v>
      </c>
      <c r="BD17" s="46"/>
      <c r="BE17" s="47">
        <f t="shared" si="6"/>
        <v>0</v>
      </c>
      <c r="BF17" s="46"/>
      <c r="BG17" s="46"/>
      <c r="BH17" s="46"/>
      <c r="BI17" s="46"/>
      <c r="BJ17" s="46"/>
      <c r="BK17" s="46">
        <f t="shared" si="7"/>
        <v>0</v>
      </c>
      <c r="BL17" s="46"/>
      <c r="BM17" s="46">
        <f t="shared" si="8"/>
        <v>0</v>
      </c>
      <c r="BN17" s="46"/>
      <c r="BO17" s="46"/>
      <c r="BP17" s="46"/>
      <c r="BQ17" s="46"/>
      <c r="BR17" s="46"/>
      <c r="BS17" s="46">
        <f>BQ17*BR17</f>
        <v>0</v>
      </c>
      <c r="BT17" s="46"/>
      <c r="BU17" s="46">
        <f>BS17</f>
        <v>0</v>
      </c>
      <c r="BV17" s="46"/>
      <c r="BW17" s="46"/>
      <c r="BX17" s="46"/>
      <c r="BY17" s="46"/>
      <c r="BZ17" s="46"/>
      <c r="CA17" s="46">
        <f>BY17*BZ17</f>
        <v>0</v>
      </c>
      <c r="CB17" s="46"/>
      <c r="CC17" s="46">
        <f>CA17</f>
        <v>0</v>
      </c>
      <c r="CD17" s="46"/>
      <c r="CE17" s="46"/>
      <c r="CF17" s="46"/>
      <c r="CG17" s="46"/>
      <c r="CH17" s="46"/>
      <c r="CI17" s="46">
        <f>CG17*CH17</f>
        <v>0</v>
      </c>
      <c r="CJ17" s="46"/>
      <c r="CK17" s="46">
        <f>CI17</f>
        <v>0</v>
      </c>
      <c r="CL17" s="46"/>
      <c r="CM17" s="46"/>
      <c r="CN17" s="46"/>
      <c r="CO17" s="46"/>
      <c r="CP17" s="46">
        <f t="shared" si="23"/>
        <v>0</v>
      </c>
      <c r="CQ17" s="46"/>
      <c r="CR17" s="47">
        <f t="shared" si="9"/>
        <v>0</v>
      </c>
      <c r="CS17" s="46"/>
      <c r="CT17" s="46"/>
      <c r="CU17" s="46"/>
      <c r="CV17" s="46"/>
      <c r="CW17" s="47">
        <f t="shared" si="10"/>
        <v>0</v>
      </c>
      <c r="CX17" s="46"/>
      <c r="CY17" s="47">
        <f t="shared" si="11"/>
        <v>0</v>
      </c>
      <c r="CZ17" s="46"/>
      <c r="DA17" s="46"/>
      <c r="DB17" s="46"/>
      <c r="DC17" s="46"/>
      <c r="DD17" s="47">
        <f t="shared" si="24"/>
        <v>0</v>
      </c>
      <c r="DE17" s="46"/>
      <c r="DF17" s="46">
        <f t="shared" si="25"/>
        <v>0</v>
      </c>
      <c r="DG17" s="46"/>
      <c r="DH17" s="46">
        <f t="shared" si="12"/>
        <v>0</v>
      </c>
      <c r="DI17" s="50"/>
      <c r="DJ17" s="50"/>
      <c r="DK17" s="47">
        <f t="shared" si="13"/>
        <v>0</v>
      </c>
      <c r="DL17" s="47">
        <f t="shared" si="14"/>
        <v>0</v>
      </c>
      <c r="DM17" s="46"/>
      <c r="DN17" s="46">
        <f>7%*AQ17</f>
        <v>0</v>
      </c>
      <c r="DO17" s="46"/>
      <c r="DP17" s="46">
        <f t="shared" si="15"/>
        <v>0</v>
      </c>
      <c r="DQ17" s="42"/>
      <c r="DR17" s="46">
        <f t="shared" si="16"/>
        <v>0</v>
      </c>
      <c r="DS17" s="42"/>
      <c r="DT17" s="46">
        <f t="shared" si="17"/>
        <v>0</v>
      </c>
      <c r="DU17" s="42"/>
      <c r="DV17" s="46"/>
      <c r="DW17" s="42"/>
      <c r="DX17" s="47">
        <f t="shared" si="18"/>
        <v>0</v>
      </c>
      <c r="DY17" s="46"/>
      <c r="DZ17" s="46"/>
      <c r="EA17" s="46"/>
      <c r="EB17" s="46"/>
      <c r="EC17" s="46"/>
      <c r="ED17" s="46"/>
      <c r="EE17" s="47">
        <f t="shared" si="19"/>
        <v>0</v>
      </c>
      <c r="EF17" s="46"/>
      <c r="EG17" s="46"/>
      <c r="EH17" s="46"/>
      <c r="EI17" s="46"/>
      <c r="EJ17" s="46"/>
      <c r="EK17" s="47">
        <f t="shared" si="20"/>
        <v>0</v>
      </c>
      <c r="EL17" s="46">
        <f t="shared" si="21"/>
        <v>0</v>
      </c>
      <c r="EM17" s="46"/>
      <c r="EN17" s="46">
        <f t="shared" si="22"/>
        <v>0</v>
      </c>
    </row>
    <row r="18" spans="1:147" s="48" customFormat="1" ht="15" customHeight="1" x14ac:dyDescent="0.25">
      <c r="B18" s="41">
        <v>11</v>
      </c>
      <c r="C18" s="42"/>
      <c r="D18" s="43"/>
      <c r="E18" s="42"/>
      <c r="F18" s="42"/>
      <c r="G18" s="42"/>
      <c r="H18" s="42"/>
      <c r="I18" s="42"/>
      <c r="J18" s="42"/>
      <c r="K18" s="42"/>
      <c r="L18" s="42"/>
      <c r="M18" s="42"/>
      <c r="N18" s="41"/>
      <c r="O18" s="41"/>
      <c r="P18" s="42"/>
      <c r="Q18" s="45"/>
      <c r="R18" s="45"/>
      <c r="S18" s="42"/>
      <c r="T18" s="46"/>
      <c r="U18" s="46"/>
      <c r="V18" s="42"/>
      <c r="W18" s="42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>
        <f t="shared" si="0"/>
        <v>0</v>
      </c>
      <c r="AO18" s="46">
        <f t="shared" si="1"/>
        <v>0</v>
      </c>
      <c r="AP18" s="46" t="s">
        <v>98</v>
      </c>
      <c r="AQ18" s="46">
        <f t="shared" si="2"/>
        <v>0</v>
      </c>
      <c r="AR18" s="46"/>
      <c r="AS18" s="46"/>
      <c r="AT18" s="46"/>
      <c r="AU18" s="47">
        <f t="shared" si="3"/>
        <v>0</v>
      </c>
      <c r="AV18" s="46"/>
      <c r="AW18" s="47">
        <f t="shared" si="4"/>
        <v>0</v>
      </c>
      <c r="AX18" s="46"/>
      <c r="AY18" s="46"/>
      <c r="AZ18" s="46"/>
      <c r="BA18" s="46"/>
      <c r="BB18" s="46"/>
      <c r="BC18" s="47">
        <f t="shared" si="5"/>
        <v>0</v>
      </c>
      <c r="BD18" s="46"/>
      <c r="BE18" s="47">
        <f t="shared" si="6"/>
        <v>0</v>
      </c>
      <c r="BF18" s="46"/>
      <c r="BG18" s="46"/>
      <c r="BH18" s="46"/>
      <c r="BI18" s="46"/>
      <c r="BJ18" s="46"/>
      <c r="BK18" s="46">
        <f t="shared" si="7"/>
        <v>0</v>
      </c>
      <c r="BL18" s="46"/>
      <c r="BM18" s="46">
        <f t="shared" si="8"/>
        <v>0</v>
      </c>
      <c r="BN18" s="46"/>
      <c r="BO18" s="46"/>
      <c r="BP18" s="46"/>
      <c r="BQ18" s="46"/>
      <c r="BR18" s="46"/>
      <c r="BS18" s="46">
        <f>BQ18*BR18</f>
        <v>0</v>
      </c>
      <c r="BT18" s="46"/>
      <c r="BU18" s="46">
        <f>BS18</f>
        <v>0</v>
      </c>
      <c r="BV18" s="46"/>
      <c r="BW18" s="46"/>
      <c r="BX18" s="46"/>
      <c r="BY18" s="46"/>
      <c r="BZ18" s="46"/>
      <c r="CA18" s="46">
        <f>BY18*BZ18</f>
        <v>0</v>
      </c>
      <c r="CB18" s="46"/>
      <c r="CC18" s="46">
        <f>CA18</f>
        <v>0</v>
      </c>
      <c r="CD18" s="46"/>
      <c r="CE18" s="46"/>
      <c r="CF18" s="46"/>
      <c r="CG18" s="46"/>
      <c r="CH18" s="46"/>
      <c r="CI18" s="46">
        <f>CG18*CH18</f>
        <v>0</v>
      </c>
      <c r="CJ18" s="46"/>
      <c r="CK18" s="46">
        <f>CI18</f>
        <v>0</v>
      </c>
      <c r="CL18" s="46"/>
      <c r="CM18" s="46"/>
      <c r="CN18" s="46"/>
      <c r="CO18" s="46"/>
      <c r="CP18" s="46">
        <f t="shared" si="23"/>
        <v>0</v>
      </c>
      <c r="CQ18" s="46"/>
      <c r="CR18" s="47">
        <f t="shared" si="9"/>
        <v>0</v>
      </c>
      <c r="CS18" s="46"/>
      <c r="CT18" s="46"/>
      <c r="CU18" s="46"/>
      <c r="CV18" s="46"/>
      <c r="CW18" s="47">
        <f t="shared" si="10"/>
        <v>0</v>
      </c>
      <c r="CX18" s="46"/>
      <c r="CY18" s="47">
        <f t="shared" si="11"/>
        <v>0</v>
      </c>
      <c r="CZ18" s="46"/>
      <c r="DA18" s="46"/>
      <c r="DB18" s="46"/>
      <c r="DC18" s="46"/>
      <c r="DD18" s="47">
        <f t="shared" si="24"/>
        <v>0</v>
      </c>
      <c r="DE18" s="46"/>
      <c r="DF18" s="46">
        <f t="shared" si="25"/>
        <v>0</v>
      </c>
      <c r="DG18" s="46"/>
      <c r="DH18" s="46">
        <f t="shared" si="12"/>
        <v>0</v>
      </c>
      <c r="DI18" s="46"/>
      <c r="DJ18" s="46"/>
      <c r="DK18" s="47">
        <f t="shared" si="13"/>
        <v>0</v>
      </c>
      <c r="DL18" s="47">
        <f t="shared" si="14"/>
        <v>0</v>
      </c>
      <c r="DM18" s="46"/>
      <c r="DN18" s="46">
        <f>7%*AQ18</f>
        <v>0</v>
      </c>
      <c r="DO18" s="46"/>
      <c r="DP18" s="46">
        <f t="shared" si="15"/>
        <v>0</v>
      </c>
      <c r="DQ18" s="46"/>
      <c r="DR18" s="46">
        <f t="shared" si="16"/>
        <v>0</v>
      </c>
      <c r="DS18" s="46"/>
      <c r="DT18" s="46">
        <f t="shared" si="17"/>
        <v>0</v>
      </c>
      <c r="DU18" s="46"/>
      <c r="DV18" s="46"/>
      <c r="DW18" s="46"/>
      <c r="DX18" s="47">
        <f t="shared" si="18"/>
        <v>0</v>
      </c>
      <c r="DY18" s="46"/>
      <c r="DZ18" s="46"/>
      <c r="EA18" s="46"/>
      <c r="EB18" s="46"/>
      <c r="EC18" s="46"/>
      <c r="ED18" s="46"/>
      <c r="EE18" s="47">
        <f t="shared" si="19"/>
        <v>0</v>
      </c>
      <c r="EF18" s="46"/>
      <c r="EG18" s="46"/>
      <c r="EH18" s="46"/>
      <c r="EI18" s="46"/>
      <c r="EJ18" s="46"/>
      <c r="EK18" s="47">
        <f t="shared" si="20"/>
        <v>0</v>
      </c>
      <c r="EL18" s="46">
        <f t="shared" si="21"/>
        <v>0</v>
      </c>
      <c r="EM18" s="46"/>
      <c r="EN18" s="46">
        <f t="shared" si="22"/>
        <v>0</v>
      </c>
    </row>
    <row r="19" spans="1:147" s="48" customFormat="1" ht="15" customHeight="1" x14ac:dyDescent="0.25">
      <c r="B19" s="41">
        <v>12</v>
      </c>
      <c r="C19" s="42"/>
      <c r="D19" s="43"/>
      <c r="E19" s="42"/>
      <c r="F19" s="42"/>
      <c r="G19" s="42"/>
      <c r="H19" s="42"/>
      <c r="I19" s="42"/>
      <c r="J19" s="42"/>
      <c r="K19" s="42"/>
      <c r="L19" s="42"/>
      <c r="M19" s="42"/>
      <c r="N19" s="41"/>
      <c r="O19" s="41"/>
      <c r="P19" s="42"/>
      <c r="Q19" s="45"/>
      <c r="R19" s="45"/>
      <c r="S19" s="42"/>
      <c r="T19" s="46"/>
      <c r="U19" s="46"/>
      <c r="V19" s="42"/>
      <c r="W19" s="42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>
        <f t="shared" si="0"/>
        <v>0</v>
      </c>
      <c r="AO19" s="46">
        <f t="shared" si="1"/>
        <v>0</v>
      </c>
      <c r="AP19" s="46" t="s">
        <v>102</v>
      </c>
      <c r="AQ19" s="46"/>
      <c r="AR19" s="46"/>
      <c r="AS19" s="46"/>
      <c r="AT19" s="46"/>
      <c r="AU19" s="47">
        <f t="shared" si="3"/>
        <v>0</v>
      </c>
      <c r="AV19" s="46"/>
      <c r="AW19" s="47">
        <f t="shared" si="4"/>
        <v>0</v>
      </c>
      <c r="AX19" s="46"/>
      <c r="AY19" s="46"/>
      <c r="AZ19" s="46"/>
      <c r="BA19" s="46"/>
      <c r="BB19" s="46"/>
      <c r="BC19" s="47">
        <f t="shared" si="5"/>
        <v>0</v>
      </c>
      <c r="BD19" s="46"/>
      <c r="BE19" s="47">
        <f t="shared" si="6"/>
        <v>0</v>
      </c>
      <c r="BF19" s="46"/>
      <c r="BG19" s="46"/>
      <c r="BH19" s="46"/>
      <c r="BI19" s="46"/>
      <c r="BJ19" s="46"/>
      <c r="BK19" s="46">
        <f t="shared" si="7"/>
        <v>0</v>
      </c>
      <c r="BL19" s="46"/>
      <c r="BM19" s="46">
        <f t="shared" si="8"/>
        <v>0</v>
      </c>
      <c r="BN19" s="46"/>
      <c r="BO19" s="46"/>
      <c r="BP19" s="46"/>
      <c r="BQ19" s="46"/>
      <c r="BR19" s="46"/>
      <c r="BS19" s="46">
        <f>BQ19*BR19</f>
        <v>0</v>
      </c>
      <c r="BT19" s="46"/>
      <c r="BU19" s="46">
        <f>BS19</f>
        <v>0</v>
      </c>
      <c r="BV19" s="46"/>
      <c r="BW19" s="46"/>
      <c r="BX19" s="46"/>
      <c r="BY19" s="46"/>
      <c r="BZ19" s="46"/>
      <c r="CA19" s="46">
        <f>BY19*BZ19</f>
        <v>0</v>
      </c>
      <c r="CB19" s="46"/>
      <c r="CC19" s="46">
        <f>CA19</f>
        <v>0</v>
      </c>
      <c r="CD19" s="46"/>
      <c r="CE19" s="46"/>
      <c r="CF19" s="46"/>
      <c r="CG19" s="46"/>
      <c r="CH19" s="46"/>
      <c r="CI19" s="46">
        <f>CG19*CH19</f>
        <v>0</v>
      </c>
      <c r="CJ19" s="46"/>
      <c r="CK19" s="46">
        <f>CI19</f>
        <v>0</v>
      </c>
      <c r="CL19" s="46"/>
      <c r="CM19" s="46"/>
      <c r="CN19" s="46"/>
      <c r="CO19" s="46"/>
      <c r="CP19" s="46">
        <f t="shared" si="23"/>
        <v>0</v>
      </c>
      <c r="CQ19" s="46"/>
      <c r="CR19" s="47">
        <f t="shared" si="9"/>
        <v>0</v>
      </c>
      <c r="CS19" s="46"/>
      <c r="CT19" s="46"/>
      <c r="CU19" s="46"/>
      <c r="CV19" s="46"/>
      <c r="CW19" s="47">
        <f t="shared" si="10"/>
        <v>0</v>
      </c>
      <c r="CX19" s="46"/>
      <c r="CY19" s="47">
        <f t="shared" si="11"/>
        <v>0</v>
      </c>
      <c r="CZ19" s="46"/>
      <c r="DA19" s="46"/>
      <c r="DB19" s="46"/>
      <c r="DC19" s="46"/>
      <c r="DD19" s="47">
        <f t="shared" ref="DD19:DD27" si="26">+DB19*DC19</f>
        <v>0</v>
      </c>
      <c r="DE19" s="46"/>
      <c r="DF19" s="46">
        <f t="shared" ref="DF19:DF27" si="27">DC19</f>
        <v>0</v>
      </c>
      <c r="DG19" s="46"/>
      <c r="DH19" s="46">
        <f t="shared" si="12"/>
        <v>0</v>
      </c>
      <c r="DI19" s="46"/>
      <c r="DJ19" s="46"/>
      <c r="DK19" s="47">
        <f t="shared" si="13"/>
        <v>0</v>
      </c>
      <c r="DL19" s="47">
        <f t="shared" si="14"/>
        <v>0</v>
      </c>
      <c r="DM19" s="46"/>
      <c r="DN19" s="46">
        <f>7%*AQ19</f>
        <v>0</v>
      </c>
      <c r="DO19" s="46"/>
      <c r="DP19" s="46">
        <f t="shared" si="15"/>
        <v>0</v>
      </c>
      <c r="DQ19" s="46"/>
      <c r="DR19" s="46">
        <f t="shared" si="16"/>
        <v>0</v>
      </c>
      <c r="DS19" s="46"/>
      <c r="DT19" s="46">
        <f t="shared" si="17"/>
        <v>0</v>
      </c>
      <c r="DU19" s="46"/>
      <c r="DV19" s="46"/>
      <c r="DW19" s="46"/>
      <c r="DX19" s="47">
        <f t="shared" si="18"/>
        <v>0</v>
      </c>
      <c r="DY19" s="46"/>
      <c r="DZ19" s="46"/>
      <c r="EA19" s="46"/>
      <c r="EB19" s="46"/>
      <c r="EC19" s="46"/>
      <c r="ED19" s="46"/>
      <c r="EE19" s="47">
        <f t="shared" si="19"/>
        <v>0</v>
      </c>
      <c r="EF19" s="46"/>
      <c r="EG19" s="46"/>
      <c r="EH19" s="46"/>
      <c r="EI19" s="46"/>
      <c r="EJ19" s="46"/>
      <c r="EK19" s="47">
        <f t="shared" si="20"/>
        <v>0</v>
      </c>
      <c r="EL19" s="46">
        <f t="shared" si="21"/>
        <v>0</v>
      </c>
      <c r="EM19" s="46"/>
      <c r="EN19" s="46">
        <f t="shared" si="22"/>
        <v>0</v>
      </c>
    </row>
    <row r="20" spans="1:147" s="51" customFormat="1" ht="15" customHeight="1" x14ac:dyDescent="0.25">
      <c r="B20" s="41">
        <v>13</v>
      </c>
      <c r="C20" s="52"/>
      <c r="D20" s="53"/>
      <c r="E20" s="42"/>
      <c r="F20" s="52"/>
      <c r="G20" s="52"/>
      <c r="H20" s="52"/>
      <c r="I20" s="52"/>
      <c r="J20" s="52"/>
      <c r="K20" s="52"/>
      <c r="L20" s="52"/>
      <c r="M20" s="52"/>
      <c r="N20" s="54"/>
      <c r="O20" s="54"/>
      <c r="P20" s="52"/>
      <c r="Q20" s="55"/>
      <c r="R20" s="55"/>
      <c r="S20" s="55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47">
        <f t="shared" si="0"/>
        <v>0</v>
      </c>
      <c r="AO20" s="46">
        <f t="shared" si="1"/>
        <v>0</v>
      </c>
      <c r="AP20" s="56" t="s">
        <v>102</v>
      </c>
      <c r="AQ20" s="46"/>
      <c r="AR20" s="56"/>
      <c r="AS20" s="56"/>
      <c r="AT20" s="56"/>
      <c r="AU20" s="47">
        <f t="shared" si="3"/>
        <v>0</v>
      </c>
      <c r="AV20" s="56"/>
      <c r="AW20" s="47">
        <f t="shared" si="4"/>
        <v>0</v>
      </c>
      <c r="AX20" s="56"/>
      <c r="AY20" s="56"/>
      <c r="AZ20" s="56"/>
      <c r="BA20" s="56"/>
      <c r="BB20" s="56"/>
      <c r="BC20" s="47">
        <f t="shared" si="5"/>
        <v>0</v>
      </c>
      <c r="BD20" s="56"/>
      <c r="BE20" s="47">
        <f t="shared" si="6"/>
        <v>0</v>
      </c>
      <c r="BF20" s="56"/>
      <c r="BG20" s="56"/>
      <c r="BH20" s="56"/>
      <c r="BI20" s="56"/>
      <c r="BJ20" s="56"/>
      <c r="BK20" s="56">
        <f t="shared" si="7"/>
        <v>0</v>
      </c>
      <c r="BL20" s="50"/>
      <c r="BM20" s="56">
        <f>BK20+BL20</f>
        <v>0</v>
      </c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7">
        <f t="shared" si="23"/>
        <v>0</v>
      </c>
      <c r="CQ20" s="56"/>
      <c r="CR20" s="47">
        <f t="shared" si="9"/>
        <v>0</v>
      </c>
      <c r="CS20" s="56"/>
      <c r="CT20" s="56"/>
      <c r="CU20" s="56"/>
      <c r="CV20" s="56"/>
      <c r="CW20" s="47">
        <f t="shared" si="10"/>
        <v>0</v>
      </c>
      <c r="CX20" s="46"/>
      <c r="CY20" s="47">
        <f t="shared" si="11"/>
        <v>0</v>
      </c>
      <c r="CZ20" s="56"/>
      <c r="DA20" s="56"/>
      <c r="DB20" s="56"/>
      <c r="DC20" s="56"/>
      <c r="DD20" s="47">
        <f t="shared" si="26"/>
        <v>0</v>
      </c>
      <c r="DE20" s="56"/>
      <c r="DF20" s="46">
        <f t="shared" si="27"/>
        <v>0</v>
      </c>
      <c r="DG20" s="56"/>
      <c r="DH20" s="57">
        <f t="shared" si="12"/>
        <v>0</v>
      </c>
      <c r="DI20" s="56"/>
      <c r="DJ20" s="56"/>
      <c r="DK20" s="47">
        <f t="shared" si="13"/>
        <v>0</v>
      </c>
      <c r="DL20" s="47">
        <f t="shared" si="14"/>
        <v>0</v>
      </c>
      <c r="DM20" s="57"/>
      <c r="DN20" s="46">
        <f>7.5%*AQ20</f>
        <v>0</v>
      </c>
      <c r="DO20" s="56"/>
      <c r="DP20" s="46">
        <f t="shared" si="15"/>
        <v>0</v>
      </c>
      <c r="DQ20" s="56"/>
      <c r="DR20" s="46">
        <f t="shared" si="16"/>
        <v>0</v>
      </c>
      <c r="DS20" s="56"/>
      <c r="DT20" s="46">
        <f>75%*DR20</f>
        <v>0</v>
      </c>
      <c r="DU20" s="56"/>
      <c r="DV20" s="46">
        <f>DT20/2</f>
        <v>0</v>
      </c>
      <c r="DW20" s="56"/>
      <c r="DX20" s="47">
        <f t="shared" si="18"/>
        <v>0</v>
      </c>
      <c r="DY20" s="56"/>
      <c r="DZ20" s="56"/>
      <c r="EA20" s="56"/>
      <c r="EB20" s="56"/>
      <c r="EC20" s="56"/>
      <c r="ED20" s="56"/>
      <c r="EE20" s="47">
        <f>+AW20+BE20+BM20+CR20+CY20+DF20+DL20+DX20+DY20+DZ20+EB20+EC20+ED20</f>
        <v>0</v>
      </c>
      <c r="EF20" s="56"/>
      <c r="EG20" s="56"/>
      <c r="EH20" s="56"/>
      <c r="EI20" s="56"/>
      <c r="EJ20" s="56"/>
      <c r="EK20" s="47">
        <f t="shared" si="20"/>
        <v>0</v>
      </c>
      <c r="EL20" s="46">
        <f t="shared" si="21"/>
        <v>0</v>
      </c>
      <c r="EM20" s="56"/>
      <c r="EN20" s="46">
        <f t="shared" si="22"/>
        <v>0</v>
      </c>
    </row>
    <row r="21" spans="1:147" s="48" customFormat="1" ht="15" customHeight="1" x14ac:dyDescent="0.25">
      <c r="B21" s="41">
        <v>14</v>
      </c>
      <c r="C21" s="42"/>
      <c r="D21" s="43"/>
      <c r="E21" s="42"/>
      <c r="F21" s="42"/>
      <c r="G21" s="42"/>
      <c r="H21" s="42"/>
      <c r="I21" s="42"/>
      <c r="J21" s="42"/>
      <c r="K21" s="42"/>
      <c r="L21" s="42"/>
      <c r="M21" s="42"/>
      <c r="N21" s="41"/>
      <c r="O21" s="41"/>
      <c r="P21" s="42"/>
      <c r="Q21" s="45"/>
      <c r="R21" s="45"/>
      <c r="S21" s="42"/>
      <c r="T21" s="46"/>
      <c r="U21" s="46"/>
      <c r="V21" s="42"/>
      <c r="W21" s="42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>
        <f t="shared" si="0"/>
        <v>0</v>
      </c>
      <c r="AO21" s="46">
        <f t="shared" si="1"/>
        <v>0</v>
      </c>
      <c r="AP21" s="46" t="s">
        <v>98</v>
      </c>
      <c r="AQ21" s="46">
        <f>18%*AO21</f>
        <v>0</v>
      </c>
      <c r="AR21" s="46"/>
      <c r="AS21" s="46"/>
      <c r="AT21" s="46"/>
      <c r="AU21" s="47">
        <f t="shared" si="3"/>
        <v>0</v>
      </c>
      <c r="AV21" s="46"/>
      <c r="AW21" s="47">
        <f t="shared" si="4"/>
        <v>0</v>
      </c>
      <c r="AX21" s="46"/>
      <c r="AY21" s="46"/>
      <c r="AZ21" s="46"/>
      <c r="BA21" s="46"/>
      <c r="BB21" s="46"/>
      <c r="BC21" s="47">
        <f t="shared" si="5"/>
        <v>0</v>
      </c>
      <c r="BD21" s="46"/>
      <c r="BE21" s="47">
        <f t="shared" si="6"/>
        <v>0</v>
      </c>
      <c r="BF21" s="46"/>
      <c r="BG21" s="46"/>
      <c r="BH21" s="46"/>
      <c r="BI21" s="46"/>
      <c r="BJ21" s="46"/>
      <c r="BK21" s="46">
        <f t="shared" si="7"/>
        <v>0</v>
      </c>
      <c r="BL21" s="46"/>
      <c r="BM21" s="46">
        <f>BK21</f>
        <v>0</v>
      </c>
      <c r="BN21" s="46"/>
      <c r="BO21" s="46"/>
      <c r="BP21" s="46"/>
      <c r="BQ21" s="46"/>
      <c r="BR21" s="46"/>
      <c r="BS21" s="46">
        <f>BQ21*BR21</f>
        <v>0</v>
      </c>
      <c r="BT21" s="46"/>
      <c r="BU21" s="46">
        <f>BS21</f>
        <v>0</v>
      </c>
      <c r="BV21" s="46"/>
      <c r="BW21" s="46"/>
      <c r="BX21" s="46"/>
      <c r="BY21" s="46"/>
      <c r="BZ21" s="46"/>
      <c r="CA21" s="46">
        <f>BY21*BZ21</f>
        <v>0</v>
      </c>
      <c r="CB21" s="46"/>
      <c r="CC21" s="46">
        <f>CA21</f>
        <v>0</v>
      </c>
      <c r="CD21" s="46"/>
      <c r="CE21" s="46"/>
      <c r="CF21" s="46"/>
      <c r="CG21" s="46"/>
      <c r="CH21" s="46"/>
      <c r="CI21" s="46">
        <f>CG21*CH21</f>
        <v>0</v>
      </c>
      <c r="CJ21" s="46"/>
      <c r="CK21" s="46">
        <f>CI21</f>
        <v>0</v>
      </c>
      <c r="CL21" s="46"/>
      <c r="CM21" s="46"/>
      <c r="CN21" s="46"/>
      <c r="CO21" s="46"/>
      <c r="CP21" s="46">
        <f t="shared" si="23"/>
        <v>0</v>
      </c>
      <c r="CQ21" s="46"/>
      <c r="CR21" s="47">
        <f t="shared" si="9"/>
        <v>0</v>
      </c>
      <c r="CS21" s="46"/>
      <c r="CT21" s="46"/>
      <c r="CU21" s="46"/>
      <c r="CV21" s="46"/>
      <c r="CW21" s="47">
        <f t="shared" si="10"/>
        <v>0</v>
      </c>
      <c r="CX21" s="46"/>
      <c r="CY21" s="47">
        <f t="shared" si="11"/>
        <v>0</v>
      </c>
      <c r="CZ21" s="46"/>
      <c r="DA21" s="46"/>
      <c r="DB21" s="46"/>
      <c r="DC21" s="46"/>
      <c r="DD21" s="47">
        <f t="shared" si="26"/>
        <v>0</v>
      </c>
      <c r="DE21" s="46"/>
      <c r="DF21" s="46">
        <f t="shared" si="27"/>
        <v>0</v>
      </c>
      <c r="DG21" s="46"/>
      <c r="DH21" s="46">
        <f t="shared" si="12"/>
        <v>0</v>
      </c>
      <c r="DI21" s="46"/>
      <c r="DJ21" s="46"/>
      <c r="DK21" s="47">
        <f t="shared" si="13"/>
        <v>0</v>
      </c>
      <c r="DL21" s="47">
        <f t="shared" si="14"/>
        <v>0</v>
      </c>
      <c r="DM21" s="46"/>
      <c r="DN21" s="46">
        <f>7%*AQ21</f>
        <v>0</v>
      </c>
      <c r="DO21" s="46"/>
      <c r="DP21" s="46">
        <f t="shared" si="15"/>
        <v>0</v>
      </c>
      <c r="DQ21" s="46"/>
      <c r="DR21" s="46">
        <f t="shared" si="16"/>
        <v>0</v>
      </c>
      <c r="DS21" s="46"/>
      <c r="DT21" s="46">
        <f t="shared" ref="DT21:DT26" si="28">75%*DP21</f>
        <v>0</v>
      </c>
      <c r="DU21" s="46"/>
      <c r="DV21" s="46"/>
      <c r="DW21" s="46"/>
      <c r="DX21" s="47">
        <f t="shared" si="18"/>
        <v>0</v>
      </c>
      <c r="DY21" s="46"/>
      <c r="DZ21" s="46"/>
      <c r="EA21" s="46"/>
      <c r="EB21" s="46"/>
      <c r="EC21" s="46"/>
      <c r="ED21" s="46"/>
      <c r="EE21" s="47">
        <f t="shared" ref="EE21:EE84" si="29">+AW21+BE21+BM21+CR21+CY21+DF21+DL21+DX21+DY21+DZ21+EB21+EC21</f>
        <v>0</v>
      </c>
      <c r="EF21" s="46"/>
      <c r="EG21" s="46"/>
      <c r="EH21" s="46"/>
      <c r="EI21" s="46"/>
      <c r="EJ21" s="46"/>
      <c r="EK21" s="47">
        <f t="shared" si="20"/>
        <v>0</v>
      </c>
      <c r="EL21" s="46">
        <f t="shared" si="21"/>
        <v>0</v>
      </c>
      <c r="EM21" s="46"/>
      <c r="EN21" s="46">
        <f t="shared" si="22"/>
        <v>0</v>
      </c>
    </row>
    <row r="22" spans="1:147" s="48" customFormat="1" ht="15" customHeight="1" x14ac:dyDescent="0.25">
      <c r="B22" s="41">
        <v>15</v>
      </c>
      <c r="C22" s="49"/>
      <c r="D22" s="43"/>
      <c r="E22" s="42"/>
      <c r="F22" s="42"/>
      <c r="G22" s="42"/>
      <c r="H22" s="42"/>
      <c r="I22" s="42"/>
      <c r="J22" s="42"/>
      <c r="K22" s="42"/>
      <c r="L22" s="42"/>
      <c r="M22" s="42"/>
      <c r="N22" s="41"/>
      <c r="O22" s="41"/>
      <c r="P22" s="42"/>
      <c r="Q22" s="45"/>
      <c r="R22" s="45"/>
      <c r="S22" s="42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7">
        <f t="shared" si="0"/>
        <v>0</v>
      </c>
      <c r="AO22" s="46">
        <f t="shared" si="1"/>
        <v>0</v>
      </c>
      <c r="AP22" s="46" t="s">
        <v>98</v>
      </c>
      <c r="AQ22" s="46">
        <f>20%*AO22</f>
        <v>0</v>
      </c>
      <c r="AR22" s="46"/>
      <c r="AS22" s="46"/>
      <c r="AT22" s="46"/>
      <c r="AU22" s="47">
        <f t="shared" si="3"/>
        <v>0</v>
      </c>
      <c r="AV22" s="46"/>
      <c r="AW22" s="47">
        <f t="shared" si="4"/>
        <v>0</v>
      </c>
      <c r="AX22" s="46"/>
      <c r="AY22" s="46"/>
      <c r="AZ22" s="46"/>
      <c r="BA22" s="46"/>
      <c r="BB22" s="46"/>
      <c r="BC22" s="47">
        <f t="shared" si="5"/>
        <v>0</v>
      </c>
      <c r="BD22" s="46"/>
      <c r="BE22" s="47">
        <f t="shared" si="6"/>
        <v>0</v>
      </c>
      <c r="BF22" s="46"/>
      <c r="BG22" s="46"/>
      <c r="BH22" s="46"/>
      <c r="BI22" s="46"/>
      <c r="BJ22" s="46"/>
      <c r="BK22" s="46">
        <f t="shared" si="7"/>
        <v>0</v>
      </c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>
        <f t="shared" si="23"/>
        <v>0</v>
      </c>
      <c r="CQ22" s="46"/>
      <c r="CR22" s="47">
        <f t="shared" si="9"/>
        <v>0</v>
      </c>
      <c r="CS22" s="46"/>
      <c r="CT22" s="46"/>
      <c r="CU22" s="46"/>
      <c r="CV22" s="46"/>
      <c r="CW22" s="47">
        <f t="shared" si="10"/>
        <v>0</v>
      </c>
      <c r="CX22" s="46"/>
      <c r="CY22" s="47">
        <f t="shared" si="11"/>
        <v>0</v>
      </c>
      <c r="CZ22" s="46"/>
      <c r="DA22" s="46"/>
      <c r="DB22" s="46"/>
      <c r="DC22" s="46"/>
      <c r="DD22" s="47">
        <f t="shared" si="26"/>
        <v>0</v>
      </c>
      <c r="DE22" s="46"/>
      <c r="DF22" s="46">
        <f t="shared" si="27"/>
        <v>0</v>
      </c>
      <c r="DG22" s="46"/>
      <c r="DH22" s="46">
        <f t="shared" si="12"/>
        <v>0</v>
      </c>
      <c r="DI22" s="46"/>
      <c r="DJ22" s="46"/>
      <c r="DK22" s="47">
        <f t="shared" si="13"/>
        <v>0</v>
      </c>
      <c r="DL22" s="47">
        <f t="shared" si="14"/>
        <v>0</v>
      </c>
      <c r="DM22" s="46"/>
      <c r="DN22" s="46">
        <f>7.5%*AQ22</f>
        <v>0</v>
      </c>
      <c r="DO22" s="46"/>
      <c r="DP22" s="46">
        <f t="shared" si="15"/>
        <v>0</v>
      </c>
      <c r="DQ22" s="46"/>
      <c r="DR22" s="46">
        <f t="shared" si="16"/>
        <v>0</v>
      </c>
      <c r="DS22" s="46"/>
      <c r="DT22" s="46">
        <f t="shared" si="28"/>
        <v>0</v>
      </c>
      <c r="DU22" s="46"/>
      <c r="DV22" s="46">
        <f>DT22/2</f>
        <v>0</v>
      </c>
      <c r="DW22" s="46"/>
      <c r="DX22" s="47">
        <f t="shared" si="18"/>
        <v>0</v>
      </c>
      <c r="DY22" s="46"/>
      <c r="DZ22" s="46"/>
      <c r="EA22" s="46"/>
      <c r="EB22" s="46"/>
      <c r="EC22" s="46"/>
      <c r="ED22" s="46"/>
      <c r="EE22" s="47">
        <f t="shared" si="29"/>
        <v>0</v>
      </c>
      <c r="EF22" s="46"/>
      <c r="EG22" s="46"/>
      <c r="EH22" s="46"/>
      <c r="EI22" s="46"/>
      <c r="EJ22" s="46"/>
      <c r="EK22" s="47">
        <f t="shared" si="20"/>
        <v>0</v>
      </c>
      <c r="EL22" s="46">
        <f t="shared" si="21"/>
        <v>0</v>
      </c>
      <c r="EM22" s="46"/>
      <c r="EN22" s="46">
        <f t="shared" si="22"/>
        <v>0</v>
      </c>
    </row>
    <row r="23" spans="1:147" s="48" customFormat="1" ht="15" customHeight="1" x14ac:dyDescent="0.25">
      <c r="B23" s="41">
        <v>16</v>
      </c>
      <c r="C23" s="42"/>
      <c r="D23" s="43"/>
      <c r="E23" s="42"/>
      <c r="F23" s="42"/>
      <c r="G23" s="42"/>
      <c r="H23" s="42"/>
      <c r="I23" s="42"/>
      <c r="J23" s="42"/>
      <c r="K23" s="42"/>
      <c r="L23" s="42"/>
      <c r="M23" s="42"/>
      <c r="N23" s="41"/>
      <c r="O23" s="41"/>
      <c r="P23" s="42"/>
      <c r="Q23" s="45"/>
      <c r="R23" s="45"/>
      <c r="S23" s="42"/>
      <c r="T23" s="46"/>
      <c r="U23" s="46"/>
      <c r="V23" s="42"/>
      <c r="W23" s="42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>
        <f t="shared" si="0"/>
        <v>0</v>
      </c>
      <c r="AO23" s="46">
        <f t="shared" si="1"/>
        <v>0</v>
      </c>
      <c r="AP23" s="46" t="s">
        <v>98</v>
      </c>
      <c r="AQ23" s="46">
        <f>18%*AO23</f>
        <v>0</v>
      </c>
      <c r="AR23" s="46"/>
      <c r="AS23" s="46"/>
      <c r="AT23" s="46"/>
      <c r="AU23" s="47">
        <f t="shared" si="3"/>
        <v>0</v>
      </c>
      <c r="AV23" s="46"/>
      <c r="AW23" s="47">
        <f t="shared" si="4"/>
        <v>0</v>
      </c>
      <c r="AX23" s="46"/>
      <c r="AY23" s="46"/>
      <c r="AZ23" s="46"/>
      <c r="BA23" s="46"/>
      <c r="BB23" s="46"/>
      <c r="BC23" s="47">
        <f t="shared" si="5"/>
        <v>0</v>
      </c>
      <c r="BD23" s="46"/>
      <c r="BE23" s="47">
        <f t="shared" si="6"/>
        <v>0</v>
      </c>
      <c r="BF23" s="46"/>
      <c r="BG23" s="46"/>
      <c r="BH23" s="46"/>
      <c r="BI23" s="46"/>
      <c r="BJ23" s="46"/>
      <c r="BK23" s="46">
        <f t="shared" si="7"/>
        <v>0</v>
      </c>
      <c r="BL23" s="46"/>
      <c r="BM23" s="46">
        <f>BK23</f>
        <v>0</v>
      </c>
      <c r="BN23" s="46"/>
      <c r="BO23" s="46"/>
      <c r="BP23" s="46"/>
      <c r="BQ23" s="46"/>
      <c r="BR23" s="46"/>
      <c r="BS23" s="46">
        <f>BQ23*BR23</f>
        <v>0</v>
      </c>
      <c r="BT23" s="46"/>
      <c r="BU23" s="46">
        <f>BS23</f>
        <v>0</v>
      </c>
      <c r="BV23" s="46"/>
      <c r="BW23" s="46"/>
      <c r="BX23" s="46"/>
      <c r="BY23" s="46"/>
      <c r="BZ23" s="46"/>
      <c r="CA23" s="46">
        <f>BY23*BZ23</f>
        <v>0</v>
      </c>
      <c r="CB23" s="46"/>
      <c r="CC23" s="46">
        <f>CA23</f>
        <v>0</v>
      </c>
      <c r="CD23" s="46"/>
      <c r="CE23" s="46"/>
      <c r="CF23" s="46"/>
      <c r="CG23" s="46"/>
      <c r="CH23" s="46"/>
      <c r="CI23" s="46">
        <f>CG23*CH23</f>
        <v>0</v>
      </c>
      <c r="CJ23" s="46"/>
      <c r="CK23" s="46">
        <f>CI23</f>
        <v>0</v>
      </c>
      <c r="CL23" s="46"/>
      <c r="CM23" s="46"/>
      <c r="CN23" s="46"/>
      <c r="CO23" s="46"/>
      <c r="CP23" s="46">
        <f t="shared" si="23"/>
        <v>0</v>
      </c>
      <c r="CQ23" s="46"/>
      <c r="CR23" s="47">
        <f t="shared" si="9"/>
        <v>0</v>
      </c>
      <c r="CS23" s="46"/>
      <c r="CT23" s="46"/>
      <c r="CU23" s="46"/>
      <c r="CV23" s="46"/>
      <c r="CW23" s="47">
        <f t="shared" si="10"/>
        <v>0</v>
      </c>
      <c r="CX23" s="46"/>
      <c r="CY23" s="47">
        <f t="shared" si="11"/>
        <v>0</v>
      </c>
      <c r="CZ23" s="46"/>
      <c r="DA23" s="46"/>
      <c r="DB23" s="46"/>
      <c r="DC23" s="46"/>
      <c r="DD23" s="47">
        <f t="shared" si="26"/>
        <v>0</v>
      </c>
      <c r="DE23" s="46"/>
      <c r="DF23" s="46">
        <f t="shared" si="27"/>
        <v>0</v>
      </c>
      <c r="DG23" s="46"/>
      <c r="DH23" s="46">
        <f t="shared" si="12"/>
        <v>0</v>
      </c>
      <c r="DI23" s="46"/>
      <c r="DJ23" s="46"/>
      <c r="DK23" s="47">
        <f t="shared" si="13"/>
        <v>0</v>
      </c>
      <c r="DL23" s="47">
        <f t="shared" si="14"/>
        <v>0</v>
      </c>
      <c r="DM23" s="46"/>
      <c r="DN23" s="46">
        <f t="shared" ref="DN23:DN30" si="30">7%*AQ23</f>
        <v>0</v>
      </c>
      <c r="DO23" s="46"/>
      <c r="DP23" s="46">
        <f t="shared" si="15"/>
        <v>0</v>
      </c>
      <c r="DQ23" s="46"/>
      <c r="DR23" s="46">
        <f t="shared" si="16"/>
        <v>0</v>
      </c>
      <c r="DS23" s="46"/>
      <c r="DT23" s="46">
        <f t="shared" si="28"/>
        <v>0</v>
      </c>
      <c r="DU23" s="46"/>
      <c r="DV23" s="46"/>
      <c r="DW23" s="46"/>
      <c r="DX23" s="47">
        <f t="shared" si="18"/>
        <v>0</v>
      </c>
      <c r="DY23" s="46"/>
      <c r="DZ23" s="46"/>
      <c r="EA23" s="46"/>
      <c r="EB23" s="46"/>
      <c r="EC23" s="46"/>
      <c r="ED23" s="46"/>
      <c r="EE23" s="47">
        <f t="shared" si="29"/>
        <v>0</v>
      </c>
      <c r="EF23" s="46"/>
      <c r="EG23" s="46"/>
      <c r="EH23" s="46"/>
      <c r="EI23" s="46"/>
      <c r="EJ23" s="46"/>
      <c r="EK23" s="47">
        <f t="shared" si="20"/>
        <v>0</v>
      </c>
      <c r="EL23" s="46">
        <f t="shared" si="21"/>
        <v>0</v>
      </c>
      <c r="EM23" s="46"/>
      <c r="EN23" s="46">
        <f t="shared" si="22"/>
        <v>0</v>
      </c>
    </row>
    <row r="24" spans="1:147" s="48" customFormat="1" ht="15" customHeight="1" x14ac:dyDescent="0.25">
      <c r="A24" s="58"/>
      <c r="B24" s="41">
        <v>17</v>
      </c>
      <c r="C24" s="42"/>
      <c r="D24" s="59"/>
      <c r="E24" s="42"/>
      <c r="F24" s="49"/>
      <c r="G24" s="49"/>
      <c r="H24" s="49"/>
      <c r="I24" s="49"/>
      <c r="J24" s="49"/>
      <c r="K24" s="49"/>
      <c r="L24" s="49"/>
      <c r="M24" s="42"/>
      <c r="N24" s="41"/>
      <c r="O24" s="41"/>
      <c r="P24" s="42"/>
      <c r="Q24" s="45"/>
      <c r="R24" s="45"/>
      <c r="S24" s="42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7">
        <f t="shared" si="0"/>
        <v>0</v>
      </c>
      <c r="AO24" s="47">
        <f t="shared" si="1"/>
        <v>0</v>
      </c>
      <c r="AP24" s="42" t="s">
        <v>98</v>
      </c>
      <c r="AQ24" s="46">
        <f>18%*AO24</f>
        <v>0</v>
      </c>
      <c r="AR24" s="46"/>
      <c r="AS24" s="46"/>
      <c r="AT24" s="46"/>
      <c r="AU24" s="47">
        <f t="shared" si="3"/>
        <v>0</v>
      </c>
      <c r="AV24" s="46"/>
      <c r="AW24" s="47">
        <f t="shared" si="4"/>
        <v>0</v>
      </c>
      <c r="AX24" s="42"/>
      <c r="AY24" s="46"/>
      <c r="AZ24" s="46"/>
      <c r="BA24" s="46"/>
      <c r="BB24" s="46"/>
      <c r="BC24" s="47">
        <f t="shared" si="5"/>
        <v>0</v>
      </c>
      <c r="BD24" s="46"/>
      <c r="BE24" s="47">
        <f t="shared" si="6"/>
        <v>0</v>
      </c>
      <c r="BF24" s="42"/>
      <c r="BG24" s="46"/>
      <c r="BH24" s="46"/>
      <c r="BI24" s="46"/>
      <c r="BJ24" s="46"/>
      <c r="BK24" s="46">
        <f t="shared" si="7"/>
        <v>0</v>
      </c>
      <c r="BL24" s="46"/>
      <c r="BM24" s="46">
        <f>BK24</f>
        <v>0</v>
      </c>
      <c r="BN24" s="42"/>
      <c r="BO24" s="46"/>
      <c r="BP24" s="46"/>
      <c r="BQ24" s="46"/>
      <c r="BR24" s="46"/>
      <c r="BS24" s="46">
        <f>BQ24*BR24</f>
        <v>0</v>
      </c>
      <c r="BT24" s="46"/>
      <c r="BU24" s="46">
        <f>BS24</f>
        <v>0</v>
      </c>
      <c r="BV24" s="42"/>
      <c r="BW24" s="46"/>
      <c r="BX24" s="46"/>
      <c r="BY24" s="46"/>
      <c r="BZ24" s="46"/>
      <c r="CA24" s="46">
        <f>BY24*BZ24</f>
        <v>0</v>
      </c>
      <c r="CB24" s="46"/>
      <c r="CC24" s="46">
        <f>CA24</f>
        <v>0</v>
      </c>
      <c r="CD24" s="42"/>
      <c r="CE24" s="46"/>
      <c r="CF24" s="46"/>
      <c r="CG24" s="46"/>
      <c r="CH24" s="46"/>
      <c r="CI24" s="46">
        <f>CG24*CH24</f>
        <v>0</v>
      </c>
      <c r="CJ24" s="46"/>
      <c r="CK24" s="46">
        <f>CI24</f>
        <v>0</v>
      </c>
      <c r="CL24" s="46"/>
      <c r="CM24" s="46"/>
      <c r="CN24" s="46"/>
      <c r="CO24" s="46"/>
      <c r="CP24" s="46">
        <f t="shared" si="23"/>
        <v>0</v>
      </c>
      <c r="CQ24" s="46"/>
      <c r="CR24" s="47">
        <f t="shared" si="9"/>
        <v>0</v>
      </c>
      <c r="CS24" s="46"/>
      <c r="CT24" s="46"/>
      <c r="CU24" s="46"/>
      <c r="CV24" s="46"/>
      <c r="CW24" s="47">
        <f t="shared" si="10"/>
        <v>0</v>
      </c>
      <c r="CX24" s="46"/>
      <c r="CY24" s="47">
        <f t="shared" si="11"/>
        <v>0</v>
      </c>
      <c r="CZ24" s="46"/>
      <c r="DA24" s="46"/>
      <c r="DB24" s="46"/>
      <c r="DC24" s="46"/>
      <c r="DD24" s="47">
        <f t="shared" si="26"/>
        <v>0</v>
      </c>
      <c r="DE24" s="46"/>
      <c r="DF24" s="46">
        <f t="shared" si="27"/>
        <v>0</v>
      </c>
      <c r="DG24" s="46"/>
      <c r="DH24" s="46">
        <f t="shared" si="12"/>
        <v>0</v>
      </c>
      <c r="DI24" s="46"/>
      <c r="DJ24" s="46"/>
      <c r="DK24" s="47">
        <f t="shared" si="13"/>
        <v>0</v>
      </c>
      <c r="DL24" s="47">
        <f t="shared" si="14"/>
        <v>0</v>
      </c>
      <c r="DM24" s="47"/>
      <c r="DN24" s="46">
        <f t="shared" si="30"/>
        <v>0</v>
      </c>
      <c r="DO24" s="46"/>
      <c r="DP24" s="46">
        <f t="shared" si="15"/>
        <v>0</v>
      </c>
      <c r="DQ24" s="46"/>
      <c r="DR24" s="46">
        <f t="shared" si="16"/>
        <v>0</v>
      </c>
      <c r="DS24" s="46"/>
      <c r="DT24" s="46">
        <f t="shared" si="28"/>
        <v>0</v>
      </c>
      <c r="DU24" s="46"/>
      <c r="DV24" s="46"/>
      <c r="DW24" s="46"/>
      <c r="DX24" s="47">
        <f t="shared" si="18"/>
        <v>0</v>
      </c>
      <c r="DY24" s="46"/>
      <c r="DZ24" s="46"/>
      <c r="EA24" s="46"/>
      <c r="EB24" s="46"/>
      <c r="EC24" s="46"/>
      <c r="ED24" s="46"/>
      <c r="EE24" s="47">
        <f t="shared" si="29"/>
        <v>0</v>
      </c>
      <c r="EF24" s="46"/>
      <c r="EG24" s="46"/>
      <c r="EH24" s="46"/>
      <c r="EI24" s="46"/>
      <c r="EJ24" s="46"/>
      <c r="EK24" s="47">
        <f t="shared" si="20"/>
        <v>0</v>
      </c>
      <c r="EL24" s="46">
        <f t="shared" si="21"/>
        <v>0</v>
      </c>
      <c r="EM24" s="46"/>
      <c r="EN24" s="46">
        <f t="shared" si="22"/>
        <v>0</v>
      </c>
    </row>
    <row r="25" spans="1:147" s="48" customFormat="1" ht="15" customHeight="1" x14ac:dyDescent="0.25">
      <c r="B25" s="41">
        <v>18</v>
      </c>
      <c r="C25" s="42"/>
      <c r="D25" s="43"/>
      <c r="E25" s="42"/>
      <c r="F25" s="49"/>
      <c r="G25" s="42"/>
      <c r="H25" s="42"/>
      <c r="I25" s="42"/>
      <c r="J25" s="42"/>
      <c r="K25" s="42"/>
      <c r="L25" s="42"/>
      <c r="M25" s="42"/>
      <c r="N25" s="41"/>
      <c r="O25" s="41"/>
      <c r="P25" s="42"/>
      <c r="Q25" s="45"/>
      <c r="R25" s="45"/>
      <c r="S25" s="42"/>
      <c r="T25" s="46"/>
      <c r="U25" s="46"/>
      <c r="V25" s="42"/>
      <c r="W25" s="42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7">
        <f t="shared" si="0"/>
        <v>0</v>
      </c>
      <c r="AO25" s="47">
        <f t="shared" si="1"/>
        <v>0</v>
      </c>
      <c r="AP25" s="42" t="s">
        <v>98</v>
      </c>
      <c r="AQ25" s="46">
        <f>18%*AO25</f>
        <v>0</v>
      </c>
      <c r="AR25" s="46"/>
      <c r="AS25" s="46"/>
      <c r="AT25" s="46"/>
      <c r="AU25" s="47">
        <f t="shared" si="3"/>
        <v>0</v>
      </c>
      <c r="AV25" s="46"/>
      <c r="AW25" s="47">
        <f t="shared" si="4"/>
        <v>0</v>
      </c>
      <c r="AX25" s="46"/>
      <c r="AY25" s="46"/>
      <c r="AZ25" s="46"/>
      <c r="BA25" s="46"/>
      <c r="BB25" s="46"/>
      <c r="BC25" s="47">
        <f t="shared" si="5"/>
        <v>0</v>
      </c>
      <c r="BD25" s="46"/>
      <c r="BE25" s="47">
        <f t="shared" si="6"/>
        <v>0</v>
      </c>
      <c r="BF25" s="46"/>
      <c r="BG25" s="46"/>
      <c r="BH25" s="46"/>
      <c r="BI25" s="46"/>
      <c r="BJ25" s="46"/>
      <c r="BK25" s="46">
        <f t="shared" si="7"/>
        <v>0</v>
      </c>
      <c r="BL25" s="46"/>
      <c r="BM25" s="46">
        <f>BK25</f>
        <v>0</v>
      </c>
      <c r="BN25" s="46"/>
      <c r="BO25" s="46"/>
      <c r="BP25" s="46"/>
      <c r="BQ25" s="46"/>
      <c r="BR25" s="46"/>
      <c r="BS25" s="46">
        <f>BQ25*BR25</f>
        <v>0</v>
      </c>
      <c r="BT25" s="46"/>
      <c r="BU25" s="46">
        <f>BS25</f>
        <v>0</v>
      </c>
      <c r="BV25" s="46"/>
      <c r="BW25" s="46"/>
      <c r="BX25" s="46"/>
      <c r="BY25" s="46"/>
      <c r="BZ25" s="46"/>
      <c r="CA25" s="46">
        <f>BY25*BZ25</f>
        <v>0</v>
      </c>
      <c r="CB25" s="46"/>
      <c r="CC25" s="46">
        <f>CA25</f>
        <v>0</v>
      </c>
      <c r="CD25" s="46"/>
      <c r="CE25" s="46"/>
      <c r="CF25" s="46"/>
      <c r="CG25" s="46"/>
      <c r="CH25" s="46"/>
      <c r="CI25" s="46">
        <f>CG25*CH25</f>
        <v>0</v>
      </c>
      <c r="CJ25" s="46"/>
      <c r="CK25" s="46">
        <f>CI25</f>
        <v>0</v>
      </c>
      <c r="CL25" s="46"/>
      <c r="CM25" s="46"/>
      <c r="CN25" s="46"/>
      <c r="CO25" s="46"/>
      <c r="CP25" s="46">
        <f t="shared" si="23"/>
        <v>0</v>
      </c>
      <c r="CQ25" s="46"/>
      <c r="CR25" s="47">
        <f t="shared" si="9"/>
        <v>0</v>
      </c>
      <c r="CS25" s="46"/>
      <c r="CT25" s="46"/>
      <c r="CU25" s="46"/>
      <c r="CV25" s="46"/>
      <c r="CW25" s="47">
        <f t="shared" si="10"/>
        <v>0</v>
      </c>
      <c r="CX25" s="46"/>
      <c r="CY25" s="47">
        <f t="shared" si="11"/>
        <v>0</v>
      </c>
      <c r="CZ25" s="46"/>
      <c r="DA25" s="46"/>
      <c r="DB25" s="46"/>
      <c r="DC25" s="46"/>
      <c r="DD25" s="47">
        <f t="shared" si="26"/>
        <v>0</v>
      </c>
      <c r="DE25" s="46"/>
      <c r="DF25" s="46">
        <f t="shared" si="27"/>
        <v>0</v>
      </c>
      <c r="DG25" s="46"/>
      <c r="DH25" s="46">
        <f t="shared" si="12"/>
        <v>0</v>
      </c>
      <c r="DI25" s="46"/>
      <c r="DJ25" s="46"/>
      <c r="DK25" s="47">
        <f t="shared" si="13"/>
        <v>0</v>
      </c>
      <c r="DL25" s="47">
        <f t="shared" si="14"/>
        <v>0</v>
      </c>
      <c r="DM25" s="46"/>
      <c r="DN25" s="46">
        <f t="shared" si="30"/>
        <v>0</v>
      </c>
      <c r="DO25" s="46"/>
      <c r="DP25" s="46">
        <f t="shared" si="15"/>
        <v>0</v>
      </c>
      <c r="DQ25" s="46"/>
      <c r="DR25" s="46">
        <f t="shared" si="16"/>
        <v>0</v>
      </c>
      <c r="DS25" s="46"/>
      <c r="DT25" s="46">
        <f t="shared" si="28"/>
        <v>0</v>
      </c>
      <c r="DU25" s="46"/>
      <c r="DV25" s="46"/>
      <c r="DW25" s="46"/>
      <c r="DX25" s="47">
        <f t="shared" si="18"/>
        <v>0</v>
      </c>
      <c r="DY25" s="46"/>
      <c r="DZ25" s="46"/>
      <c r="EA25" s="46"/>
      <c r="EB25" s="46"/>
      <c r="EC25" s="46"/>
      <c r="ED25" s="46"/>
      <c r="EE25" s="47">
        <f t="shared" si="29"/>
        <v>0</v>
      </c>
      <c r="EF25" s="46"/>
      <c r="EG25" s="46"/>
      <c r="EH25" s="46"/>
      <c r="EI25" s="46"/>
      <c r="EJ25" s="46"/>
      <c r="EK25" s="47">
        <f t="shared" si="20"/>
        <v>0</v>
      </c>
      <c r="EL25" s="46">
        <f t="shared" si="21"/>
        <v>0</v>
      </c>
      <c r="EM25" s="46"/>
      <c r="EN25" s="46">
        <f t="shared" si="22"/>
        <v>0</v>
      </c>
    </row>
    <row r="26" spans="1:147" s="48" customFormat="1" ht="15.75" customHeight="1" x14ac:dyDescent="0.25">
      <c r="B26" s="41">
        <v>19</v>
      </c>
      <c r="C26" s="42"/>
      <c r="D26" s="43"/>
      <c r="E26" s="42"/>
      <c r="F26" s="42"/>
      <c r="G26" s="42"/>
      <c r="H26" s="42"/>
      <c r="I26" s="42"/>
      <c r="J26" s="42"/>
      <c r="K26" s="42"/>
      <c r="L26" s="42"/>
      <c r="M26" s="42"/>
      <c r="N26" s="41"/>
      <c r="O26" s="41"/>
      <c r="P26" s="42"/>
      <c r="Q26" s="45"/>
      <c r="R26" s="45"/>
      <c r="S26" s="42"/>
      <c r="T26" s="46"/>
      <c r="U26" s="46"/>
      <c r="V26" s="42"/>
      <c r="W26" s="42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7">
        <f t="shared" si="0"/>
        <v>0</v>
      </c>
      <c r="AO26" s="47">
        <f t="shared" si="1"/>
        <v>0</v>
      </c>
      <c r="AP26" s="46" t="s">
        <v>98</v>
      </c>
      <c r="AQ26" s="46">
        <f>18%*AO26</f>
        <v>0</v>
      </c>
      <c r="AR26" s="46"/>
      <c r="AS26" s="46"/>
      <c r="AT26" s="46"/>
      <c r="AU26" s="47">
        <f t="shared" si="3"/>
        <v>0</v>
      </c>
      <c r="AV26" s="46"/>
      <c r="AW26" s="47">
        <f t="shared" si="4"/>
        <v>0</v>
      </c>
      <c r="AX26" s="46"/>
      <c r="AY26" s="46"/>
      <c r="AZ26" s="46"/>
      <c r="BA26" s="46"/>
      <c r="BB26" s="46"/>
      <c r="BC26" s="47">
        <f t="shared" si="5"/>
        <v>0</v>
      </c>
      <c r="BD26" s="46"/>
      <c r="BE26" s="47">
        <f t="shared" si="6"/>
        <v>0</v>
      </c>
      <c r="BF26" s="46"/>
      <c r="BG26" s="46"/>
      <c r="BH26" s="46"/>
      <c r="BI26" s="46"/>
      <c r="BJ26" s="46"/>
      <c r="BK26" s="46">
        <f t="shared" si="7"/>
        <v>0</v>
      </c>
      <c r="BL26" s="46"/>
      <c r="BM26" s="46">
        <f>BK26</f>
        <v>0</v>
      </c>
      <c r="BN26" s="46"/>
      <c r="BO26" s="46"/>
      <c r="BP26" s="46"/>
      <c r="BQ26" s="46"/>
      <c r="BR26" s="46"/>
      <c r="BS26" s="46">
        <f>BQ26*BR26</f>
        <v>0</v>
      </c>
      <c r="BT26" s="46"/>
      <c r="BU26" s="46">
        <f>BS26</f>
        <v>0</v>
      </c>
      <c r="BV26" s="46"/>
      <c r="BW26" s="46"/>
      <c r="BX26" s="46"/>
      <c r="BY26" s="46"/>
      <c r="BZ26" s="46"/>
      <c r="CA26" s="46">
        <f>BY26*BZ26</f>
        <v>0</v>
      </c>
      <c r="CB26" s="46"/>
      <c r="CC26" s="46">
        <f>CA26</f>
        <v>0</v>
      </c>
      <c r="CD26" s="46"/>
      <c r="CE26" s="46"/>
      <c r="CF26" s="46"/>
      <c r="CG26" s="46"/>
      <c r="CH26" s="46"/>
      <c r="CI26" s="46">
        <f>CG26*CH26</f>
        <v>0</v>
      </c>
      <c r="CJ26" s="46"/>
      <c r="CK26" s="46">
        <f>CI26</f>
        <v>0</v>
      </c>
      <c r="CL26" s="46"/>
      <c r="CM26" s="46"/>
      <c r="CN26" s="46"/>
      <c r="CO26" s="46"/>
      <c r="CP26" s="46">
        <f t="shared" si="23"/>
        <v>0</v>
      </c>
      <c r="CQ26" s="46"/>
      <c r="CR26" s="47">
        <f t="shared" si="9"/>
        <v>0</v>
      </c>
      <c r="CS26" s="46"/>
      <c r="CT26" s="46"/>
      <c r="CU26" s="46"/>
      <c r="CV26" s="46"/>
      <c r="CW26" s="47">
        <f t="shared" si="10"/>
        <v>0</v>
      </c>
      <c r="CX26" s="46"/>
      <c r="CY26" s="47">
        <f t="shared" si="11"/>
        <v>0</v>
      </c>
      <c r="CZ26" s="46"/>
      <c r="DA26" s="46"/>
      <c r="DB26" s="46"/>
      <c r="DC26" s="46"/>
      <c r="DD26" s="47">
        <f t="shared" si="26"/>
        <v>0</v>
      </c>
      <c r="DE26" s="46"/>
      <c r="DF26" s="46">
        <f t="shared" si="27"/>
        <v>0</v>
      </c>
      <c r="DG26" s="46"/>
      <c r="DH26" s="46">
        <f t="shared" si="12"/>
        <v>0</v>
      </c>
      <c r="DI26" s="46"/>
      <c r="DJ26" s="46"/>
      <c r="DK26" s="47">
        <f t="shared" si="13"/>
        <v>0</v>
      </c>
      <c r="DL26" s="47">
        <f t="shared" si="14"/>
        <v>0</v>
      </c>
      <c r="DM26" s="46"/>
      <c r="DN26" s="46">
        <f t="shared" si="30"/>
        <v>0</v>
      </c>
      <c r="DO26" s="46"/>
      <c r="DP26" s="46">
        <f t="shared" si="15"/>
        <v>0</v>
      </c>
      <c r="DQ26" s="46"/>
      <c r="DR26" s="46">
        <f t="shared" si="16"/>
        <v>0</v>
      </c>
      <c r="DS26" s="46"/>
      <c r="DT26" s="46">
        <f t="shared" si="28"/>
        <v>0</v>
      </c>
      <c r="DU26" s="46"/>
      <c r="DV26" s="46"/>
      <c r="DW26" s="46"/>
      <c r="DX26" s="47">
        <f t="shared" si="18"/>
        <v>0</v>
      </c>
      <c r="DY26" s="46"/>
      <c r="DZ26" s="46"/>
      <c r="EA26" s="46"/>
      <c r="EB26" s="46"/>
      <c r="EC26" s="46"/>
      <c r="ED26" s="46"/>
      <c r="EE26" s="47">
        <f t="shared" si="29"/>
        <v>0</v>
      </c>
      <c r="EF26" s="46"/>
      <c r="EG26" s="46"/>
      <c r="EH26" s="46"/>
      <c r="EI26" s="46"/>
      <c r="EJ26" s="46"/>
      <c r="EK26" s="47">
        <f t="shared" si="20"/>
        <v>0</v>
      </c>
      <c r="EL26" s="46">
        <f t="shared" si="21"/>
        <v>0</v>
      </c>
      <c r="EM26" s="46"/>
      <c r="EN26" s="46">
        <f t="shared" si="22"/>
        <v>0</v>
      </c>
    </row>
    <row r="27" spans="1:147" s="51" customFormat="1" x14ac:dyDescent="0.25">
      <c r="B27" s="41">
        <v>20</v>
      </c>
      <c r="C27" s="52"/>
      <c r="D27" s="53"/>
      <c r="E27" s="42"/>
      <c r="F27" s="52"/>
      <c r="G27" s="52"/>
      <c r="H27" s="52"/>
      <c r="I27" s="52"/>
      <c r="J27" s="52"/>
      <c r="K27" s="52"/>
      <c r="L27" s="52"/>
      <c r="M27" s="52"/>
      <c r="N27" s="54"/>
      <c r="O27" s="54"/>
      <c r="P27" s="52"/>
      <c r="Q27" s="55"/>
      <c r="R27" s="55"/>
      <c r="S27" s="55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60">
        <f t="shared" si="0"/>
        <v>0</v>
      </c>
      <c r="AO27" s="57">
        <f t="shared" si="1"/>
        <v>0</v>
      </c>
      <c r="AP27" s="56" t="s">
        <v>102</v>
      </c>
      <c r="AQ27" s="46"/>
      <c r="AR27" s="56"/>
      <c r="AS27" s="56"/>
      <c r="AT27" s="56"/>
      <c r="AU27" s="60">
        <f t="shared" si="3"/>
        <v>0</v>
      </c>
      <c r="AV27" s="56"/>
      <c r="AW27" s="47">
        <f t="shared" si="4"/>
        <v>0</v>
      </c>
      <c r="AX27" s="56"/>
      <c r="AY27" s="56"/>
      <c r="AZ27" s="56"/>
      <c r="BA27" s="56"/>
      <c r="BB27" s="56"/>
      <c r="BC27" s="47">
        <f t="shared" si="5"/>
        <v>0</v>
      </c>
      <c r="BD27" s="56"/>
      <c r="BE27" s="47">
        <f t="shared" si="6"/>
        <v>0</v>
      </c>
      <c r="BF27" s="56"/>
      <c r="BG27" s="56"/>
      <c r="BH27" s="56"/>
      <c r="BI27" s="56"/>
      <c r="BJ27" s="56"/>
      <c r="BK27" s="46">
        <f t="shared" si="7"/>
        <v>0</v>
      </c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46">
        <f t="shared" si="23"/>
        <v>0</v>
      </c>
      <c r="CQ27" s="56"/>
      <c r="CR27" s="47">
        <f t="shared" si="9"/>
        <v>0</v>
      </c>
      <c r="CS27" s="56"/>
      <c r="CT27" s="56"/>
      <c r="CU27" s="56"/>
      <c r="CV27" s="56"/>
      <c r="CW27" s="47">
        <f t="shared" si="10"/>
        <v>0</v>
      </c>
      <c r="CX27" s="46"/>
      <c r="CY27" s="47">
        <f t="shared" si="11"/>
        <v>0</v>
      </c>
      <c r="CZ27" s="56"/>
      <c r="DA27" s="56"/>
      <c r="DB27" s="56"/>
      <c r="DC27" s="56"/>
      <c r="DD27" s="47">
        <f t="shared" si="26"/>
        <v>0</v>
      </c>
      <c r="DE27" s="56"/>
      <c r="DF27" s="46">
        <f t="shared" si="27"/>
        <v>0</v>
      </c>
      <c r="DG27" s="56"/>
      <c r="DH27" s="46">
        <f t="shared" si="12"/>
        <v>0</v>
      </c>
      <c r="DI27" s="56"/>
      <c r="DJ27" s="56"/>
      <c r="DK27" s="47">
        <f t="shared" si="13"/>
        <v>0</v>
      </c>
      <c r="DL27" s="47">
        <f t="shared" si="14"/>
        <v>0</v>
      </c>
      <c r="DM27" s="56"/>
      <c r="DN27" s="46">
        <f t="shared" si="30"/>
        <v>0</v>
      </c>
      <c r="DO27" s="56"/>
      <c r="DP27" s="46">
        <f t="shared" si="15"/>
        <v>0</v>
      </c>
      <c r="DQ27" s="56"/>
      <c r="DR27" s="46">
        <f t="shared" si="16"/>
        <v>0</v>
      </c>
      <c r="DS27" s="56"/>
      <c r="DT27" s="46">
        <f>75%*DR27</f>
        <v>0</v>
      </c>
      <c r="DU27" s="56"/>
      <c r="DV27" s="46"/>
      <c r="DW27" s="56"/>
      <c r="DX27" s="47">
        <f t="shared" si="18"/>
        <v>0</v>
      </c>
      <c r="DY27" s="56"/>
      <c r="DZ27" s="56"/>
      <c r="EA27" s="56"/>
      <c r="EB27" s="56"/>
      <c r="EC27" s="56"/>
      <c r="ED27" s="56"/>
      <c r="EE27" s="47">
        <f t="shared" si="29"/>
        <v>0</v>
      </c>
      <c r="EF27" s="56"/>
      <c r="EG27" s="56"/>
      <c r="EH27" s="56"/>
      <c r="EI27" s="56"/>
      <c r="EJ27" s="56"/>
      <c r="EK27" s="47">
        <f t="shared" si="20"/>
        <v>0</v>
      </c>
      <c r="EL27" s="46">
        <f t="shared" si="21"/>
        <v>0</v>
      </c>
      <c r="EM27" s="56"/>
      <c r="EN27" s="61">
        <f t="shared" si="22"/>
        <v>0</v>
      </c>
    </row>
    <row r="28" spans="1:147" s="48" customFormat="1" ht="15.75" customHeight="1" x14ac:dyDescent="0.25">
      <c r="B28" s="41">
        <v>22</v>
      </c>
      <c r="C28" s="42"/>
      <c r="D28" s="43"/>
      <c r="E28" s="42"/>
      <c r="F28" s="42"/>
      <c r="G28" s="42"/>
      <c r="H28" s="42"/>
      <c r="I28" s="42"/>
      <c r="J28" s="42"/>
      <c r="K28" s="42"/>
      <c r="L28" s="42"/>
      <c r="M28" s="42"/>
      <c r="N28" s="41"/>
      <c r="O28" s="41"/>
      <c r="P28" s="42"/>
      <c r="Q28" s="45"/>
      <c r="R28" s="45"/>
      <c r="S28" s="42"/>
      <c r="T28" s="46"/>
      <c r="U28" s="46"/>
      <c r="V28" s="42"/>
      <c r="W28" s="42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7">
        <f t="shared" si="0"/>
        <v>0</v>
      </c>
      <c r="AO28" s="47">
        <f t="shared" si="1"/>
        <v>0</v>
      </c>
      <c r="AP28" s="46" t="s">
        <v>98</v>
      </c>
      <c r="AQ28" s="46">
        <f>23%*AO28</f>
        <v>0</v>
      </c>
      <c r="AR28" s="46"/>
      <c r="AS28" s="46"/>
      <c r="AT28" s="46"/>
      <c r="AU28" s="47">
        <f t="shared" si="3"/>
        <v>0</v>
      </c>
      <c r="AV28" s="46"/>
      <c r="AW28" s="47">
        <f t="shared" si="4"/>
        <v>0</v>
      </c>
      <c r="AX28" s="46"/>
      <c r="AY28" s="46"/>
      <c r="AZ28" s="46"/>
      <c r="BA28" s="46"/>
      <c r="BB28" s="46"/>
      <c r="BC28" s="47">
        <f t="shared" si="5"/>
        <v>0</v>
      </c>
      <c r="BD28" s="46"/>
      <c r="BE28" s="47">
        <f t="shared" si="6"/>
        <v>0</v>
      </c>
      <c r="BF28" s="46"/>
      <c r="BG28" s="46"/>
      <c r="BH28" s="46"/>
      <c r="BI28" s="46"/>
      <c r="BJ28" s="46"/>
      <c r="BK28" s="46">
        <f t="shared" si="7"/>
        <v>0</v>
      </c>
      <c r="BL28" s="46"/>
      <c r="BM28" s="46">
        <v>0</v>
      </c>
      <c r="BN28" s="46"/>
      <c r="BO28" s="46"/>
      <c r="BP28" s="46"/>
      <c r="BQ28" s="46"/>
      <c r="BR28" s="46"/>
      <c r="BS28" s="46">
        <v>0</v>
      </c>
      <c r="BT28" s="46"/>
      <c r="BU28" s="46">
        <v>0</v>
      </c>
      <c r="BV28" s="46"/>
      <c r="BW28" s="46"/>
      <c r="BX28" s="46"/>
      <c r="BY28" s="46"/>
      <c r="BZ28" s="46"/>
      <c r="CA28" s="46">
        <v>0</v>
      </c>
      <c r="CB28" s="46"/>
      <c r="CC28" s="46">
        <v>0</v>
      </c>
      <c r="CD28" s="46"/>
      <c r="CE28" s="46"/>
      <c r="CF28" s="46"/>
      <c r="CG28" s="46"/>
      <c r="CH28" s="46"/>
      <c r="CI28" s="46">
        <v>0</v>
      </c>
      <c r="CJ28" s="46"/>
      <c r="CK28" s="46">
        <v>0</v>
      </c>
      <c r="CL28" s="46"/>
      <c r="CM28" s="46"/>
      <c r="CN28" s="46"/>
      <c r="CO28" s="46"/>
      <c r="CP28" s="46">
        <f t="shared" si="23"/>
        <v>0</v>
      </c>
      <c r="CQ28" s="46"/>
      <c r="CR28" s="47">
        <f t="shared" si="9"/>
        <v>0</v>
      </c>
      <c r="CS28" s="46"/>
      <c r="CT28" s="46"/>
      <c r="CU28" s="46"/>
      <c r="CV28" s="46"/>
      <c r="CW28" s="47">
        <f t="shared" si="10"/>
        <v>0</v>
      </c>
      <c r="CX28" s="46"/>
      <c r="CY28" s="47">
        <v>0</v>
      </c>
      <c r="CZ28" s="46"/>
      <c r="DA28" s="46"/>
      <c r="DB28" s="46"/>
      <c r="DC28" s="46"/>
      <c r="DD28" s="47">
        <v>0</v>
      </c>
      <c r="DE28" s="46"/>
      <c r="DF28" s="46"/>
      <c r="DG28" s="46"/>
      <c r="DH28" s="46">
        <f t="shared" si="12"/>
        <v>0</v>
      </c>
      <c r="DI28" s="46"/>
      <c r="DJ28" s="46"/>
      <c r="DK28" s="47">
        <f t="shared" si="13"/>
        <v>0</v>
      </c>
      <c r="DL28" s="47">
        <f t="shared" si="14"/>
        <v>0</v>
      </c>
      <c r="DM28" s="46"/>
      <c r="DN28" s="46">
        <f t="shared" si="30"/>
        <v>0</v>
      </c>
      <c r="DO28" s="46"/>
      <c r="DP28" s="46">
        <f t="shared" si="15"/>
        <v>0</v>
      </c>
      <c r="DQ28" s="46"/>
      <c r="DR28" s="46">
        <f t="shared" si="16"/>
        <v>0</v>
      </c>
      <c r="DS28" s="46"/>
      <c r="DT28" s="46">
        <f t="shared" ref="DT28:DT44" si="31">75%*DP28</f>
        <v>0</v>
      </c>
      <c r="DU28" s="46"/>
      <c r="DV28" s="46"/>
      <c r="DW28" s="46"/>
      <c r="DX28" s="47">
        <f t="shared" si="18"/>
        <v>0</v>
      </c>
      <c r="DY28" s="46"/>
      <c r="DZ28" s="46"/>
      <c r="EA28" s="46"/>
      <c r="EB28" s="46"/>
      <c r="EC28" s="46"/>
      <c r="ED28" s="46"/>
      <c r="EE28" s="47">
        <f t="shared" si="29"/>
        <v>0</v>
      </c>
      <c r="EF28" s="46"/>
      <c r="EG28" s="46"/>
      <c r="EH28" s="46"/>
      <c r="EI28" s="46"/>
      <c r="EJ28" s="46"/>
      <c r="EK28" s="47">
        <f t="shared" si="20"/>
        <v>0</v>
      </c>
      <c r="EL28" s="46">
        <f t="shared" si="21"/>
        <v>0</v>
      </c>
      <c r="EM28" s="46"/>
      <c r="EN28" s="46">
        <f t="shared" si="22"/>
        <v>0</v>
      </c>
    </row>
    <row r="29" spans="1:147" s="48" customFormat="1" ht="15" customHeight="1" x14ac:dyDescent="0.25">
      <c r="B29" s="41">
        <v>23</v>
      </c>
      <c r="C29" s="42"/>
      <c r="D29" s="43"/>
      <c r="E29" s="42"/>
      <c r="F29" s="42"/>
      <c r="G29" s="42"/>
      <c r="H29" s="42"/>
      <c r="I29" s="42"/>
      <c r="J29" s="42"/>
      <c r="K29" s="42"/>
      <c r="L29" s="42"/>
      <c r="M29" s="42"/>
      <c r="N29" s="41"/>
      <c r="O29" s="41"/>
      <c r="P29" s="42"/>
      <c r="Q29" s="45"/>
      <c r="R29" s="45"/>
      <c r="S29" s="42"/>
      <c r="T29" s="46"/>
      <c r="U29" s="46"/>
      <c r="V29" s="42"/>
      <c r="W29" s="42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7">
        <f t="shared" si="0"/>
        <v>0</v>
      </c>
      <c r="AO29" s="47">
        <f t="shared" si="1"/>
        <v>0</v>
      </c>
      <c r="AP29" s="46" t="s">
        <v>98</v>
      </c>
      <c r="AQ29" s="46">
        <f t="shared" ref="AQ29:AQ44" si="32">18%*AO29</f>
        <v>0</v>
      </c>
      <c r="AR29" s="46"/>
      <c r="AS29" s="46"/>
      <c r="AT29" s="46"/>
      <c r="AU29" s="47">
        <f t="shared" si="3"/>
        <v>0</v>
      </c>
      <c r="AV29" s="46"/>
      <c r="AW29" s="47">
        <f t="shared" si="4"/>
        <v>0</v>
      </c>
      <c r="AX29" s="46"/>
      <c r="AY29" s="46"/>
      <c r="AZ29" s="46"/>
      <c r="BA29" s="46"/>
      <c r="BB29" s="46"/>
      <c r="BC29" s="47">
        <f t="shared" si="5"/>
        <v>0</v>
      </c>
      <c r="BD29" s="46"/>
      <c r="BE29" s="47">
        <f t="shared" si="6"/>
        <v>0</v>
      </c>
      <c r="BF29" s="46"/>
      <c r="BG29" s="46"/>
      <c r="BH29" s="46"/>
      <c r="BI29" s="46"/>
      <c r="BJ29" s="46"/>
      <c r="BK29" s="46">
        <f t="shared" si="7"/>
        <v>0</v>
      </c>
      <c r="BL29" s="46"/>
      <c r="BM29" s="46">
        <f t="shared" ref="BM29:BM39" si="33">BK29</f>
        <v>0</v>
      </c>
      <c r="BN29" s="46"/>
      <c r="BO29" s="46"/>
      <c r="BP29" s="46"/>
      <c r="BQ29" s="46"/>
      <c r="BR29" s="46"/>
      <c r="BS29" s="46">
        <f>BQ29*BR29</f>
        <v>0</v>
      </c>
      <c r="BT29" s="46"/>
      <c r="BU29" s="46">
        <f>BS29</f>
        <v>0</v>
      </c>
      <c r="BV29" s="46"/>
      <c r="BW29" s="46"/>
      <c r="BX29" s="46"/>
      <c r="BY29" s="46"/>
      <c r="BZ29" s="46"/>
      <c r="CA29" s="46">
        <f>BY29*BZ29</f>
        <v>0</v>
      </c>
      <c r="CB29" s="46"/>
      <c r="CC29" s="46">
        <f>CA29</f>
        <v>0</v>
      </c>
      <c r="CD29" s="46"/>
      <c r="CE29" s="46"/>
      <c r="CF29" s="46"/>
      <c r="CG29" s="46"/>
      <c r="CH29" s="46"/>
      <c r="CI29" s="46">
        <f>CG29*CH29</f>
        <v>0</v>
      </c>
      <c r="CJ29" s="46"/>
      <c r="CK29" s="46">
        <f>CI29</f>
        <v>0</v>
      </c>
      <c r="CL29" s="46"/>
      <c r="CM29" s="46"/>
      <c r="CN29" s="46"/>
      <c r="CO29" s="46"/>
      <c r="CP29" s="46">
        <f t="shared" si="23"/>
        <v>0</v>
      </c>
      <c r="CQ29" s="46"/>
      <c r="CR29" s="47">
        <f t="shared" si="9"/>
        <v>0</v>
      </c>
      <c r="CS29" s="46"/>
      <c r="CT29" s="46"/>
      <c r="CU29" s="46"/>
      <c r="CV29" s="46"/>
      <c r="CW29" s="47">
        <f t="shared" si="10"/>
        <v>0</v>
      </c>
      <c r="CX29" s="46"/>
      <c r="CY29" s="47">
        <f t="shared" ref="CY29:CY89" si="34">+CT29+CW29+CX29</f>
        <v>0</v>
      </c>
      <c r="CZ29" s="46"/>
      <c r="DA29" s="46"/>
      <c r="DB29" s="46"/>
      <c r="DC29" s="46"/>
      <c r="DD29" s="47">
        <v>0</v>
      </c>
      <c r="DE29" s="46"/>
      <c r="DF29" s="46">
        <f t="shared" ref="DF29:DF40" si="35">DC29</f>
        <v>0</v>
      </c>
      <c r="DG29" s="46"/>
      <c r="DH29" s="46">
        <f t="shared" si="12"/>
        <v>0</v>
      </c>
      <c r="DI29" s="46"/>
      <c r="DJ29" s="46"/>
      <c r="DK29" s="47">
        <f t="shared" si="13"/>
        <v>0</v>
      </c>
      <c r="DL29" s="47">
        <f t="shared" si="14"/>
        <v>0</v>
      </c>
      <c r="DM29" s="46"/>
      <c r="DN29" s="46">
        <f t="shared" si="30"/>
        <v>0</v>
      </c>
      <c r="DO29" s="46"/>
      <c r="DP29" s="46">
        <f t="shared" si="15"/>
        <v>0</v>
      </c>
      <c r="DQ29" s="46"/>
      <c r="DR29" s="46">
        <f t="shared" si="16"/>
        <v>0</v>
      </c>
      <c r="DS29" s="46"/>
      <c r="DT29" s="46">
        <f t="shared" si="31"/>
        <v>0</v>
      </c>
      <c r="DU29" s="46"/>
      <c r="DV29" s="46"/>
      <c r="DW29" s="46"/>
      <c r="DX29" s="47">
        <f t="shared" si="18"/>
        <v>0</v>
      </c>
      <c r="DY29" s="46"/>
      <c r="DZ29" s="46"/>
      <c r="EA29" s="46"/>
      <c r="EB29" s="46"/>
      <c r="EC29" s="46"/>
      <c r="ED29" s="46"/>
      <c r="EE29" s="47">
        <f t="shared" si="29"/>
        <v>0</v>
      </c>
      <c r="EF29" s="46"/>
      <c r="EG29" s="46"/>
      <c r="EH29" s="46"/>
      <c r="EI29" s="46"/>
      <c r="EJ29" s="46"/>
      <c r="EK29" s="47">
        <f t="shared" si="20"/>
        <v>0</v>
      </c>
      <c r="EL29" s="46">
        <f t="shared" si="21"/>
        <v>0</v>
      </c>
      <c r="EM29" s="46"/>
      <c r="EN29" s="46">
        <f t="shared" si="22"/>
        <v>0</v>
      </c>
      <c r="EO29" s="62"/>
    </row>
    <row r="30" spans="1:147" s="48" customFormat="1" ht="15" customHeight="1" x14ac:dyDescent="0.25">
      <c r="B30" s="41">
        <v>24</v>
      </c>
      <c r="C30" s="42"/>
      <c r="D30" s="43"/>
      <c r="E30" s="42"/>
      <c r="F30" s="42"/>
      <c r="G30" s="42"/>
      <c r="H30" s="42"/>
      <c r="I30" s="42"/>
      <c r="J30" s="42"/>
      <c r="K30" s="42"/>
      <c r="L30" s="42"/>
      <c r="M30" s="42"/>
      <c r="N30" s="41"/>
      <c r="O30" s="41"/>
      <c r="P30" s="42"/>
      <c r="Q30" s="45"/>
      <c r="R30" s="45"/>
      <c r="S30" s="42"/>
      <c r="T30" s="46"/>
      <c r="U30" s="46"/>
      <c r="V30" s="42"/>
      <c r="W30" s="42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7">
        <f t="shared" si="0"/>
        <v>0</v>
      </c>
      <c r="AO30" s="47">
        <f t="shared" si="1"/>
        <v>0</v>
      </c>
      <c r="AP30" s="46" t="s">
        <v>101</v>
      </c>
      <c r="AQ30" s="46">
        <f t="shared" si="32"/>
        <v>0</v>
      </c>
      <c r="AR30" s="46"/>
      <c r="AS30" s="46"/>
      <c r="AT30" s="46"/>
      <c r="AU30" s="47">
        <f t="shared" si="3"/>
        <v>0</v>
      </c>
      <c r="AV30" s="46"/>
      <c r="AW30" s="47">
        <f t="shared" si="4"/>
        <v>0</v>
      </c>
      <c r="AX30" s="46"/>
      <c r="AY30" s="46"/>
      <c r="AZ30" s="46"/>
      <c r="BA30" s="46"/>
      <c r="BB30" s="46"/>
      <c r="BC30" s="47">
        <f t="shared" si="5"/>
        <v>0</v>
      </c>
      <c r="BD30" s="46"/>
      <c r="BE30" s="47">
        <f t="shared" si="6"/>
        <v>0</v>
      </c>
      <c r="BF30" s="46"/>
      <c r="BG30" s="46"/>
      <c r="BH30" s="46"/>
      <c r="BI30" s="46"/>
      <c r="BJ30" s="46"/>
      <c r="BK30" s="46">
        <f t="shared" si="7"/>
        <v>0</v>
      </c>
      <c r="BL30" s="46"/>
      <c r="BM30" s="46">
        <f t="shared" si="33"/>
        <v>0</v>
      </c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>
        <f t="shared" si="23"/>
        <v>0</v>
      </c>
      <c r="CQ30" s="46"/>
      <c r="CR30" s="47">
        <f t="shared" si="9"/>
        <v>0</v>
      </c>
      <c r="CS30" s="46"/>
      <c r="CT30" s="46"/>
      <c r="CU30" s="46"/>
      <c r="CV30" s="46"/>
      <c r="CW30" s="47">
        <f t="shared" si="10"/>
        <v>0</v>
      </c>
      <c r="CX30" s="46"/>
      <c r="CY30" s="47">
        <f t="shared" si="34"/>
        <v>0</v>
      </c>
      <c r="CZ30" s="46"/>
      <c r="DA30" s="46"/>
      <c r="DB30" s="46"/>
      <c r="DC30" s="46"/>
      <c r="DD30" s="47">
        <v>0</v>
      </c>
      <c r="DE30" s="46"/>
      <c r="DF30" s="46">
        <f t="shared" si="35"/>
        <v>0</v>
      </c>
      <c r="DG30" s="46"/>
      <c r="DH30" s="46">
        <f t="shared" si="12"/>
        <v>0</v>
      </c>
      <c r="DI30" s="46"/>
      <c r="DJ30" s="46"/>
      <c r="DK30" s="47">
        <f t="shared" si="13"/>
        <v>0</v>
      </c>
      <c r="DL30" s="47">
        <f t="shared" si="14"/>
        <v>0</v>
      </c>
      <c r="DM30" s="46"/>
      <c r="DN30" s="46">
        <f t="shared" si="30"/>
        <v>0</v>
      </c>
      <c r="DO30" s="46"/>
      <c r="DP30" s="46">
        <f t="shared" si="15"/>
        <v>0</v>
      </c>
      <c r="DQ30" s="46"/>
      <c r="DR30" s="46">
        <f t="shared" si="16"/>
        <v>0</v>
      </c>
      <c r="DS30" s="46"/>
      <c r="DT30" s="46">
        <f t="shared" si="31"/>
        <v>0</v>
      </c>
      <c r="DU30" s="46"/>
      <c r="DV30" s="46"/>
      <c r="DW30" s="46"/>
      <c r="DX30" s="47">
        <f t="shared" si="18"/>
        <v>0</v>
      </c>
      <c r="DY30" s="46"/>
      <c r="DZ30" s="46"/>
      <c r="EA30" s="46"/>
      <c r="EB30" s="46"/>
      <c r="EC30" s="46"/>
      <c r="ED30" s="46"/>
      <c r="EE30" s="47">
        <f t="shared" si="29"/>
        <v>0</v>
      </c>
      <c r="EF30" s="46"/>
      <c r="EG30" s="46"/>
      <c r="EH30" s="46"/>
      <c r="EI30" s="46"/>
      <c r="EJ30" s="46"/>
      <c r="EK30" s="47">
        <f t="shared" si="20"/>
        <v>0</v>
      </c>
      <c r="EL30" s="46">
        <f t="shared" si="21"/>
        <v>0</v>
      </c>
      <c r="EM30" s="46"/>
      <c r="EN30" s="46">
        <f t="shared" si="22"/>
        <v>0</v>
      </c>
    </row>
    <row r="31" spans="1:147" s="48" customFormat="1" ht="15" customHeight="1" x14ac:dyDescent="0.25">
      <c r="B31" s="41">
        <v>25</v>
      </c>
      <c r="C31" s="42"/>
      <c r="D31" s="43"/>
      <c r="E31" s="42"/>
      <c r="F31" s="42"/>
      <c r="G31" s="42"/>
      <c r="H31" s="42"/>
      <c r="I31" s="42"/>
      <c r="J31" s="42"/>
      <c r="K31" s="42"/>
      <c r="L31" s="42"/>
      <c r="M31" s="42"/>
      <c r="N31" s="41"/>
      <c r="O31" s="41"/>
      <c r="P31" s="42"/>
      <c r="Q31" s="45"/>
      <c r="R31" s="45"/>
      <c r="S31" s="42"/>
      <c r="T31" s="46"/>
      <c r="U31" s="46"/>
      <c r="V31" s="42"/>
      <c r="W31" s="42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7">
        <f t="shared" si="0"/>
        <v>0</v>
      </c>
      <c r="AO31" s="47">
        <f t="shared" si="1"/>
        <v>0</v>
      </c>
      <c r="AP31" s="46" t="s">
        <v>98</v>
      </c>
      <c r="AQ31" s="46">
        <f t="shared" si="32"/>
        <v>0</v>
      </c>
      <c r="AR31" s="46"/>
      <c r="AS31" s="46"/>
      <c r="AT31" s="46"/>
      <c r="AU31" s="47">
        <f t="shared" si="3"/>
        <v>0</v>
      </c>
      <c r="AV31" s="46"/>
      <c r="AW31" s="47">
        <f t="shared" si="4"/>
        <v>0</v>
      </c>
      <c r="AX31" s="46"/>
      <c r="AY31" s="46"/>
      <c r="AZ31" s="46"/>
      <c r="BA31" s="46"/>
      <c r="BB31" s="46"/>
      <c r="BC31" s="47">
        <f t="shared" si="5"/>
        <v>0</v>
      </c>
      <c r="BD31" s="46"/>
      <c r="BE31" s="47">
        <f t="shared" si="6"/>
        <v>0</v>
      </c>
      <c r="BF31" s="46"/>
      <c r="BG31" s="46"/>
      <c r="BH31" s="46"/>
      <c r="BI31" s="46"/>
      <c r="BJ31" s="46"/>
      <c r="BK31" s="46">
        <f t="shared" si="7"/>
        <v>0</v>
      </c>
      <c r="BL31" s="46"/>
      <c r="BM31" s="46">
        <f t="shared" si="33"/>
        <v>0</v>
      </c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>
        <f t="shared" si="23"/>
        <v>0</v>
      </c>
      <c r="CQ31" s="46"/>
      <c r="CR31" s="47">
        <f t="shared" si="9"/>
        <v>0</v>
      </c>
      <c r="CS31" s="46"/>
      <c r="CT31" s="46"/>
      <c r="CU31" s="46"/>
      <c r="CV31" s="46"/>
      <c r="CW31" s="47">
        <f t="shared" si="10"/>
        <v>0</v>
      </c>
      <c r="CX31" s="46"/>
      <c r="CY31" s="47">
        <f t="shared" si="34"/>
        <v>0</v>
      </c>
      <c r="CZ31" s="46"/>
      <c r="DA31" s="46"/>
      <c r="DB31" s="46"/>
      <c r="DC31" s="46"/>
      <c r="DD31" s="47">
        <f t="shared" ref="DD31:DD64" si="36">+DB31*DC31</f>
        <v>0</v>
      </c>
      <c r="DE31" s="46"/>
      <c r="DF31" s="46">
        <f t="shared" si="35"/>
        <v>0</v>
      </c>
      <c r="DG31" s="46"/>
      <c r="DH31" s="46">
        <f t="shared" si="12"/>
        <v>0</v>
      </c>
      <c r="DI31" s="46"/>
      <c r="DJ31" s="46"/>
      <c r="DK31" s="47">
        <f t="shared" si="13"/>
        <v>0</v>
      </c>
      <c r="DL31" s="47">
        <f t="shared" si="14"/>
        <v>0</v>
      </c>
      <c r="DM31" s="46"/>
      <c r="DN31" s="46">
        <f t="shared" ref="DN31:DN39" si="37">7.5%*AQ31</f>
        <v>0</v>
      </c>
      <c r="DO31" s="46"/>
      <c r="DP31" s="46">
        <f t="shared" si="15"/>
        <v>0</v>
      </c>
      <c r="DQ31" s="46"/>
      <c r="DR31" s="46">
        <f t="shared" si="16"/>
        <v>0</v>
      </c>
      <c r="DS31" s="46"/>
      <c r="DT31" s="46">
        <f t="shared" si="31"/>
        <v>0</v>
      </c>
      <c r="DU31" s="46"/>
      <c r="DV31" s="46"/>
      <c r="DW31" s="46"/>
      <c r="DX31" s="47">
        <f t="shared" si="18"/>
        <v>0</v>
      </c>
      <c r="DY31" s="46"/>
      <c r="DZ31" s="46"/>
      <c r="EA31" s="46"/>
      <c r="EB31" s="46"/>
      <c r="EC31" s="46"/>
      <c r="ED31" s="46"/>
      <c r="EE31" s="47">
        <f t="shared" si="29"/>
        <v>0</v>
      </c>
      <c r="EF31" s="46"/>
      <c r="EG31" s="46"/>
      <c r="EH31" s="46"/>
      <c r="EI31" s="46"/>
      <c r="EJ31" s="46"/>
      <c r="EK31" s="47">
        <f t="shared" si="20"/>
        <v>0</v>
      </c>
      <c r="EL31" s="46">
        <f t="shared" si="21"/>
        <v>0</v>
      </c>
      <c r="EM31" s="46"/>
      <c r="EN31" s="46">
        <f t="shared" si="22"/>
        <v>0</v>
      </c>
    </row>
    <row r="32" spans="1:147" s="48" customFormat="1" ht="15" customHeight="1" x14ac:dyDescent="0.25">
      <c r="B32" s="41">
        <v>26</v>
      </c>
      <c r="C32" s="42"/>
      <c r="D32" s="43"/>
      <c r="E32" s="42"/>
      <c r="F32" s="42"/>
      <c r="G32" s="42"/>
      <c r="H32" s="42"/>
      <c r="I32" s="42"/>
      <c r="J32" s="42"/>
      <c r="K32" s="42"/>
      <c r="L32" s="42"/>
      <c r="M32" s="42"/>
      <c r="N32" s="41"/>
      <c r="O32" s="41"/>
      <c r="P32" s="42"/>
      <c r="Q32" s="45"/>
      <c r="R32" s="45"/>
      <c r="S32" s="42"/>
      <c r="T32" s="46"/>
      <c r="U32" s="46"/>
      <c r="V32" s="42"/>
      <c r="W32" s="42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7">
        <f t="shared" si="0"/>
        <v>0</v>
      </c>
      <c r="AO32" s="47">
        <f t="shared" si="1"/>
        <v>0</v>
      </c>
      <c r="AP32" s="46" t="s">
        <v>98</v>
      </c>
      <c r="AQ32" s="46">
        <f t="shared" si="32"/>
        <v>0</v>
      </c>
      <c r="AR32" s="46"/>
      <c r="AS32" s="46"/>
      <c r="AT32" s="46"/>
      <c r="AU32" s="47">
        <f t="shared" si="3"/>
        <v>0</v>
      </c>
      <c r="AV32" s="46"/>
      <c r="AW32" s="47">
        <f t="shared" si="4"/>
        <v>0</v>
      </c>
      <c r="AX32" s="46"/>
      <c r="AY32" s="46"/>
      <c r="AZ32" s="46"/>
      <c r="BA32" s="46"/>
      <c r="BB32" s="46"/>
      <c r="BC32" s="47">
        <f t="shared" si="5"/>
        <v>0</v>
      </c>
      <c r="BD32" s="46"/>
      <c r="BE32" s="47">
        <f t="shared" si="6"/>
        <v>0</v>
      </c>
      <c r="BF32" s="46"/>
      <c r="BG32" s="46"/>
      <c r="BH32" s="46"/>
      <c r="BI32" s="46"/>
      <c r="BJ32" s="46"/>
      <c r="BK32" s="46">
        <f t="shared" si="7"/>
        <v>0</v>
      </c>
      <c r="BL32" s="46"/>
      <c r="BM32" s="46">
        <f t="shared" si="33"/>
        <v>0</v>
      </c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>
        <f t="shared" si="23"/>
        <v>0</v>
      </c>
      <c r="CQ32" s="46"/>
      <c r="CR32" s="47">
        <f t="shared" si="9"/>
        <v>0</v>
      </c>
      <c r="CS32" s="46"/>
      <c r="CT32" s="46"/>
      <c r="CU32" s="46"/>
      <c r="CV32" s="46"/>
      <c r="CW32" s="47">
        <f t="shared" si="10"/>
        <v>0</v>
      </c>
      <c r="CX32" s="46"/>
      <c r="CY32" s="47">
        <f t="shared" si="34"/>
        <v>0</v>
      </c>
      <c r="CZ32" s="46"/>
      <c r="DA32" s="46"/>
      <c r="DB32" s="46"/>
      <c r="DC32" s="46"/>
      <c r="DD32" s="47">
        <f t="shared" si="36"/>
        <v>0</v>
      </c>
      <c r="DE32" s="46"/>
      <c r="DF32" s="46">
        <f t="shared" si="35"/>
        <v>0</v>
      </c>
      <c r="DG32" s="46"/>
      <c r="DH32" s="46">
        <f t="shared" si="12"/>
        <v>0</v>
      </c>
      <c r="DI32" s="46"/>
      <c r="DJ32" s="46"/>
      <c r="DK32" s="47">
        <f t="shared" si="13"/>
        <v>0</v>
      </c>
      <c r="DL32" s="47">
        <f t="shared" si="14"/>
        <v>0</v>
      </c>
      <c r="DM32" s="46"/>
      <c r="DN32" s="46">
        <f t="shared" si="37"/>
        <v>0</v>
      </c>
      <c r="DO32" s="46"/>
      <c r="DP32" s="46">
        <f t="shared" si="15"/>
        <v>0</v>
      </c>
      <c r="DQ32" s="46"/>
      <c r="DR32" s="46">
        <f t="shared" si="16"/>
        <v>0</v>
      </c>
      <c r="DS32" s="46"/>
      <c r="DT32" s="46">
        <f t="shared" si="31"/>
        <v>0</v>
      </c>
      <c r="DU32" s="46"/>
      <c r="DV32" s="46"/>
      <c r="DW32" s="46"/>
      <c r="DX32" s="47">
        <f t="shared" si="18"/>
        <v>0</v>
      </c>
      <c r="DY32" s="46"/>
      <c r="DZ32" s="46"/>
      <c r="EA32" s="46"/>
      <c r="EB32" s="46"/>
      <c r="EC32" s="46"/>
      <c r="ED32" s="46"/>
      <c r="EE32" s="47">
        <f t="shared" si="29"/>
        <v>0</v>
      </c>
      <c r="EF32" s="46"/>
      <c r="EG32" s="46"/>
      <c r="EH32" s="46"/>
      <c r="EI32" s="46"/>
      <c r="EJ32" s="46"/>
      <c r="EK32" s="47">
        <f t="shared" si="20"/>
        <v>0</v>
      </c>
      <c r="EL32" s="46">
        <f t="shared" si="21"/>
        <v>0</v>
      </c>
      <c r="EM32" s="46"/>
      <c r="EN32" s="46">
        <f t="shared" si="22"/>
        <v>0</v>
      </c>
      <c r="EQ32" s="63"/>
    </row>
    <row r="33" spans="1:144" s="48" customFormat="1" ht="15" customHeight="1" x14ac:dyDescent="0.25">
      <c r="B33" s="41">
        <v>27</v>
      </c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1"/>
      <c r="O33" s="41"/>
      <c r="P33" s="42"/>
      <c r="Q33" s="45"/>
      <c r="R33" s="45"/>
      <c r="S33" s="42"/>
      <c r="T33" s="46"/>
      <c r="U33" s="46"/>
      <c r="V33" s="42"/>
      <c r="W33" s="42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7">
        <f t="shared" si="0"/>
        <v>0</v>
      </c>
      <c r="AO33" s="47">
        <f t="shared" si="1"/>
        <v>0</v>
      </c>
      <c r="AP33" s="46" t="s">
        <v>98</v>
      </c>
      <c r="AQ33" s="46">
        <f t="shared" si="32"/>
        <v>0</v>
      </c>
      <c r="AR33" s="46"/>
      <c r="AS33" s="46"/>
      <c r="AT33" s="46"/>
      <c r="AU33" s="47">
        <f t="shared" si="3"/>
        <v>0</v>
      </c>
      <c r="AV33" s="46"/>
      <c r="AW33" s="47">
        <f t="shared" si="4"/>
        <v>0</v>
      </c>
      <c r="AX33" s="46"/>
      <c r="AY33" s="46"/>
      <c r="AZ33" s="46"/>
      <c r="BA33" s="46"/>
      <c r="BB33" s="46"/>
      <c r="BC33" s="47">
        <f t="shared" si="5"/>
        <v>0</v>
      </c>
      <c r="BD33" s="46"/>
      <c r="BE33" s="47">
        <f t="shared" si="6"/>
        <v>0</v>
      </c>
      <c r="BF33" s="46"/>
      <c r="BG33" s="46"/>
      <c r="BH33" s="46"/>
      <c r="BI33" s="46"/>
      <c r="BJ33" s="46"/>
      <c r="BK33" s="46">
        <f t="shared" si="7"/>
        <v>0</v>
      </c>
      <c r="BL33" s="46"/>
      <c r="BM33" s="46">
        <f t="shared" si="33"/>
        <v>0</v>
      </c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>
        <f t="shared" si="23"/>
        <v>0</v>
      </c>
      <c r="CQ33" s="46"/>
      <c r="CR33" s="47">
        <f t="shared" si="9"/>
        <v>0</v>
      </c>
      <c r="CS33" s="46"/>
      <c r="CT33" s="46"/>
      <c r="CU33" s="46"/>
      <c r="CV33" s="46"/>
      <c r="CW33" s="47">
        <f t="shared" si="10"/>
        <v>0</v>
      </c>
      <c r="CX33" s="46"/>
      <c r="CY33" s="47">
        <f t="shared" si="34"/>
        <v>0</v>
      </c>
      <c r="CZ33" s="46"/>
      <c r="DA33" s="46"/>
      <c r="DB33" s="46"/>
      <c r="DC33" s="46"/>
      <c r="DD33" s="47">
        <f t="shared" si="36"/>
        <v>0</v>
      </c>
      <c r="DE33" s="46"/>
      <c r="DF33" s="46">
        <f t="shared" si="35"/>
        <v>0</v>
      </c>
      <c r="DG33" s="46"/>
      <c r="DH33" s="46">
        <f t="shared" si="12"/>
        <v>0</v>
      </c>
      <c r="DI33" s="46"/>
      <c r="DJ33" s="46"/>
      <c r="DK33" s="47">
        <f t="shared" si="13"/>
        <v>0</v>
      </c>
      <c r="DL33" s="47">
        <f t="shared" si="14"/>
        <v>0</v>
      </c>
      <c r="DM33" s="46"/>
      <c r="DN33" s="46">
        <f t="shared" si="37"/>
        <v>0</v>
      </c>
      <c r="DO33" s="46"/>
      <c r="DP33" s="46">
        <f t="shared" si="15"/>
        <v>0</v>
      </c>
      <c r="DQ33" s="46"/>
      <c r="DR33" s="46">
        <f t="shared" si="16"/>
        <v>0</v>
      </c>
      <c r="DS33" s="46"/>
      <c r="DT33" s="46">
        <f t="shared" si="31"/>
        <v>0</v>
      </c>
      <c r="DU33" s="46"/>
      <c r="DV33" s="46"/>
      <c r="DW33" s="46"/>
      <c r="DX33" s="47">
        <f t="shared" si="18"/>
        <v>0</v>
      </c>
      <c r="DY33" s="46"/>
      <c r="DZ33" s="46"/>
      <c r="EA33" s="46"/>
      <c r="EB33" s="46"/>
      <c r="EC33" s="46"/>
      <c r="ED33" s="46"/>
      <c r="EE33" s="47">
        <f t="shared" si="29"/>
        <v>0</v>
      </c>
      <c r="EF33" s="46"/>
      <c r="EG33" s="46"/>
      <c r="EH33" s="46"/>
      <c r="EI33" s="46"/>
      <c r="EJ33" s="46"/>
      <c r="EK33" s="47">
        <f t="shared" si="20"/>
        <v>0</v>
      </c>
      <c r="EL33" s="46">
        <f t="shared" si="21"/>
        <v>0</v>
      </c>
      <c r="EM33" s="46"/>
      <c r="EN33" s="46">
        <f t="shared" si="22"/>
        <v>0</v>
      </c>
    </row>
    <row r="34" spans="1:144" s="48" customFormat="1" ht="15" customHeight="1" x14ac:dyDescent="0.25">
      <c r="B34" s="41">
        <v>28</v>
      </c>
      <c r="C34" s="42"/>
      <c r="D34" s="43"/>
      <c r="E34" s="42"/>
      <c r="F34" s="42"/>
      <c r="G34" s="42"/>
      <c r="H34" s="42"/>
      <c r="I34" s="42"/>
      <c r="J34" s="42"/>
      <c r="K34" s="42"/>
      <c r="L34" s="42"/>
      <c r="M34" s="42"/>
      <c r="N34" s="41"/>
      <c r="O34" s="41"/>
      <c r="P34" s="42"/>
      <c r="Q34" s="45"/>
      <c r="R34" s="45"/>
      <c r="S34" s="42"/>
      <c r="T34" s="46"/>
      <c r="U34" s="46"/>
      <c r="V34" s="42"/>
      <c r="W34" s="42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7">
        <f t="shared" si="0"/>
        <v>0</v>
      </c>
      <c r="AO34" s="47">
        <f t="shared" si="1"/>
        <v>0</v>
      </c>
      <c r="AP34" s="46" t="s">
        <v>98</v>
      </c>
      <c r="AQ34" s="46">
        <f t="shared" si="32"/>
        <v>0</v>
      </c>
      <c r="AR34" s="46"/>
      <c r="AS34" s="46"/>
      <c r="AT34" s="46"/>
      <c r="AU34" s="47">
        <f t="shared" si="3"/>
        <v>0</v>
      </c>
      <c r="AV34" s="46"/>
      <c r="AW34" s="47">
        <f t="shared" si="4"/>
        <v>0</v>
      </c>
      <c r="AX34" s="46"/>
      <c r="AY34" s="46"/>
      <c r="AZ34" s="46"/>
      <c r="BA34" s="46"/>
      <c r="BB34" s="46"/>
      <c r="BC34" s="47">
        <f t="shared" si="5"/>
        <v>0</v>
      </c>
      <c r="BD34" s="46"/>
      <c r="BE34" s="47">
        <f t="shared" si="6"/>
        <v>0</v>
      </c>
      <c r="BF34" s="46"/>
      <c r="BG34" s="46"/>
      <c r="BH34" s="46"/>
      <c r="BI34" s="46"/>
      <c r="BJ34" s="46"/>
      <c r="BK34" s="46">
        <f t="shared" si="7"/>
        <v>0</v>
      </c>
      <c r="BL34" s="46"/>
      <c r="BM34" s="46">
        <f t="shared" si="33"/>
        <v>0</v>
      </c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>
        <f t="shared" si="23"/>
        <v>0</v>
      </c>
      <c r="CQ34" s="46"/>
      <c r="CR34" s="47">
        <f t="shared" si="9"/>
        <v>0</v>
      </c>
      <c r="CS34" s="46"/>
      <c r="CT34" s="46"/>
      <c r="CU34" s="46"/>
      <c r="CV34" s="46"/>
      <c r="CW34" s="47">
        <f t="shared" si="10"/>
        <v>0</v>
      </c>
      <c r="CX34" s="46"/>
      <c r="CY34" s="47">
        <f t="shared" si="34"/>
        <v>0</v>
      </c>
      <c r="CZ34" s="46"/>
      <c r="DA34" s="46"/>
      <c r="DB34" s="46"/>
      <c r="DC34" s="46"/>
      <c r="DD34" s="47">
        <f t="shared" si="36"/>
        <v>0</v>
      </c>
      <c r="DE34" s="46"/>
      <c r="DF34" s="46">
        <f t="shared" si="35"/>
        <v>0</v>
      </c>
      <c r="DG34" s="46"/>
      <c r="DH34" s="46">
        <f t="shared" si="12"/>
        <v>0</v>
      </c>
      <c r="DI34" s="46"/>
      <c r="DJ34" s="46"/>
      <c r="DK34" s="64">
        <f t="shared" si="13"/>
        <v>0</v>
      </c>
      <c r="DL34" s="47">
        <f t="shared" si="14"/>
        <v>0</v>
      </c>
      <c r="DM34" s="46"/>
      <c r="DN34" s="46">
        <f t="shared" si="37"/>
        <v>0</v>
      </c>
      <c r="DO34" s="46"/>
      <c r="DP34" s="46">
        <f t="shared" si="15"/>
        <v>0</v>
      </c>
      <c r="DQ34" s="46"/>
      <c r="DR34" s="46">
        <f t="shared" si="16"/>
        <v>0</v>
      </c>
      <c r="DS34" s="46"/>
      <c r="DT34" s="46">
        <f t="shared" si="31"/>
        <v>0</v>
      </c>
      <c r="DU34" s="46"/>
      <c r="DV34" s="46"/>
      <c r="DW34" s="46"/>
      <c r="DX34" s="47">
        <f t="shared" si="18"/>
        <v>0</v>
      </c>
      <c r="DY34" s="46"/>
      <c r="DZ34" s="46"/>
      <c r="EA34" s="46"/>
      <c r="EB34" s="46"/>
      <c r="EC34" s="46"/>
      <c r="ED34" s="46"/>
      <c r="EE34" s="47">
        <f t="shared" si="29"/>
        <v>0</v>
      </c>
      <c r="EF34" s="46"/>
      <c r="EG34" s="46"/>
      <c r="EH34" s="46"/>
      <c r="EI34" s="46"/>
      <c r="EJ34" s="46"/>
      <c r="EK34" s="47">
        <f t="shared" si="20"/>
        <v>0</v>
      </c>
      <c r="EL34" s="46">
        <f t="shared" si="21"/>
        <v>0</v>
      </c>
      <c r="EM34" s="46"/>
      <c r="EN34" s="46">
        <f t="shared" si="22"/>
        <v>0</v>
      </c>
    </row>
    <row r="35" spans="1:144" s="48" customFormat="1" ht="15" customHeight="1" x14ac:dyDescent="0.25">
      <c r="B35" s="41">
        <v>29</v>
      </c>
      <c r="C35" s="42"/>
      <c r="D35" s="43"/>
      <c r="E35" s="42"/>
      <c r="F35" s="42"/>
      <c r="G35" s="42"/>
      <c r="H35" s="42"/>
      <c r="I35" s="42"/>
      <c r="J35" s="42"/>
      <c r="K35" s="42"/>
      <c r="L35" s="42"/>
      <c r="M35" s="42"/>
      <c r="N35" s="41"/>
      <c r="O35" s="41"/>
      <c r="P35" s="42"/>
      <c r="Q35" s="45"/>
      <c r="R35" s="45"/>
      <c r="S35" s="42"/>
      <c r="T35" s="46"/>
      <c r="U35" s="46"/>
      <c r="V35" s="42"/>
      <c r="W35" s="42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7">
        <f t="shared" si="0"/>
        <v>0</v>
      </c>
      <c r="AO35" s="47">
        <f t="shared" si="1"/>
        <v>0</v>
      </c>
      <c r="AP35" s="46" t="s">
        <v>98</v>
      </c>
      <c r="AQ35" s="46">
        <f t="shared" si="32"/>
        <v>0</v>
      </c>
      <c r="AR35" s="46"/>
      <c r="AS35" s="46"/>
      <c r="AT35" s="46"/>
      <c r="AU35" s="47">
        <f t="shared" si="3"/>
        <v>0</v>
      </c>
      <c r="AV35" s="46"/>
      <c r="AW35" s="47">
        <f t="shared" si="4"/>
        <v>0</v>
      </c>
      <c r="AX35" s="46"/>
      <c r="AY35" s="46"/>
      <c r="AZ35" s="46"/>
      <c r="BA35" s="46"/>
      <c r="BB35" s="46"/>
      <c r="BC35" s="47">
        <f t="shared" si="5"/>
        <v>0</v>
      </c>
      <c r="BD35" s="46"/>
      <c r="BE35" s="47">
        <f t="shared" si="6"/>
        <v>0</v>
      </c>
      <c r="BF35" s="46"/>
      <c r="BG35" s="46"/>
      <c r="BH35" s="46"/>
      <c r="BI35" s="46"/>
      <c r="BJ35" s="46"/>
      <c r="BK35" s="46">
        <f t="shared" si="7"/>
        <v>0</v>
      </c>
      <c r="BL35" s="46"/>
      <c r="BM35" s="46">
        <f t="shared" si="33"/>
        <v>0</v>
      </c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7">
        <f t="shared" si="9"/>
        <v>0</v>
      </c>
      <c r="CS35" s="46"/>
      <c r="CT35" s="46"/>
      <c r="CU35" s="46"/>
      <c r="CV35" s="46"/>
      <c r="CW35" s="47">
        <f t="shared" si="10"/>
        <v>0</v>
      </c>
      <c r="CX35" s="46"/>
      <c r="CY35" s="47">
        <f t="shared" si="34"/>
        <v>0</v>
      </c>
      <c r="CZ35" s="46"/>
      <c r="DA35" s="46"/>
      <c r="DB35" s="46"/>
      <c r="DC35" s="46"/>
      <c r="DD35" s="47">
        <f t="shared" si="36"/>
        <v>0</v>
      </c>
      <c r="DE35" s="46"/>
      <c r="DF35" s="46">
        <f t="shared" si="35"/>
        <v>0</v>
      </c>
      <c r="DG35" s="46"/>
      <c r="DH35" s="46">
        <f t="shared" si="12"/>
        <v>0</v>
      </c>
      <c r="DI35" s="46"/>
      <c r="DJ35" s="46"/>
      <c r="DK35" s="64">
        <f t="shared" si="13"/>
        <v>0</v>
      </c>
      <c r="DL35" s="47">
        <f t="shared" si="14"/>
        <v>0</v>
      </c>
      <c r="DM35" s="46"/>
      <c r="DN35" s="46">
        <f t="shared" si="37"/>
        <v>0</v>
      </c>
      <c r="DO35" s="46"/>
      <c r="DP35" s="46">
        <f t="shared" si="15"/>
        <v>0</v>
      </c>
      <c r="DQ35" s="46"/>
      <c r="DR35" s="46">
        <f t="shared" si="16"/>
        <v>0</v>
      </c>
      <c r="DS35" s="46"/>
      <c r="DT35" s="46">
        <f t="shared" si="31"/>
        <v>0</v>
      </c>
      <c r="DU35" s="46"/>
      <c r="DV35" s="46"/>
      <c r="DW35" s="46"/>
      <c r="DX35" s="47">
        <f t="shared" si="18"/>
        <v>0</v>
      </c>
      <c r="DY35" s="46"/>
      <c r="DZ35" s="46"/>
      <c r="EA35" s="46"/>
      <c r="EB35" s="46"/>
      <c r="EC35" s="46"/>
      <c r="ED35" s="46"/>
      <c r="EE35" s="47">
        <f t="shared" si="29"/>
        <v>0</v>
      </c>
      <c r="EF35" s="46"/>
      <c r="EG35" s="46"/>
      <c r="EH35" s="46"/>
      <c r="EI35" s="46"/>
      <c r="EJ35" s="46"/>
      <c r="EK35" s="47">
        <f t="shared" si="20"/>
        <v>0</v>
      </c>
      <c r="EL35" s="46">
        <f t="shared" si="21"/>
        <v>0</v>
      </c>
      <c r="EM35" s="46"/>
      <c r="EN35" s="46">
        <f t="shared" si="22"/>
        <v>0</v>
      </c>
    </row>
    <row r="36" spans="1:144" s="48" customFormat="1" ht="15" customHeight="1" x14ac:dyDescent="0.25">
      <c r="B36" s="41">
        <v>30</v>
      </c>
      <c r="C36" s="42"/>
      <c r="D36" s="43"/>
      <c r="E36" s="42"/>
      <c r="F36" s="42"/>
      <c r="G36" s="42"/>
      <c r="H36" s="42"/>
      <c r="I36" s="42"/>
      <c r="J36" s="42"/>
      <c r="K36" s="42"/>
      <c r="L36" s="42"/>
      <c r="M36" s="42"/>
      <c r="N36" s="41"/>
      <c r="O36" s="41"/>
      <c r="P36" s="42"/>
      <c r="Q36" s="45"/>
      <c r="R36" s="45"/>
      <c r="S36" s="42"/>
      <c r="T36" s="46"/>
      <c r="U36" s="46"/>
      <c r="V36" s="42"/>
      <c r="W36" s="42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7">
        <f t="shared" si="0"/>
        <v>0</v>
      </c>
      <c r="AO36" s="47">
        <f t="shared" si="1"/>
        <v>0</v>
      </c>
      <c r="AP36" s="46" t="s">
        <v>98</v>
      </c>
      <c r="AQ36" s="46">
        <f t="shared" si="32"/>
        <v>0</v>
      </c>
      <c r="AR36" s="46"/>
      <c r="AS36" s="46"/>
      <c r="AT36" s="46"/>
      <c r="AU36" s="47">
        <f t="shared" si="3"/>
        <v>0</v>
      </c>
      <c r="AV36" s="46"/>
      <c r="AW36" s="47">
        <f t="shared" si="4"/>
        <v>0</v>
      </c>
      <c r="AX36" s="46"/>
      <c r="AY36" s="46"/>
      <c r="AZ36" s="46"/>
      <c r="BA36" s="46"/>
      <c r="BB36" s="46"/>
      <c r="BC36" s="47">
        <f t="shared" si="5"/>
        <v>0</v>
      </c>
      <c r="BD36" s="46"/>
      <c r="BE36" s="47">
        <f t="shared" si="6"/>
        <v>0</v>
      </c>
      <c r="BF36" s="46"/>
      <c r="BG36" s="46"/>
      <c r="BH36" s="46"/>
      <c r="BI36" s="46"/>
      <c r="BJ36" s="46"/>
      <c r="BK36" s="46">
        <f t="shared" si="7"/>
        <v>0</v>
      </c>
      <c r="BL36" s="46"/>
      <c r="BM36" s="46">
        <f t="shared" si="33"/>
        <v>0</v>
      </c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7">
        <f t="shared" si="9"/>
        <v>0</v>
      </c>
      <c r="CS36" s="46"/>
      <c r="CT36" s="46"/>
      <c r="CU36" s="46"/>
      <c r="CV36" s="46"/>
      <c r="CW36" s="47">
        <f t="shared" si="10"/>
        <v>0</v>
      </c>
      <c r="CX36" s="46"/>
      <c r="CY36" s="47">
        <f t="shared" si="34"/>
        <v>0</v>
      </c>
      <c r="CZ36" s="46"/>
      <c r="DA36" s="46"/>
      <c r="DB36" s="46"/>
      <c r="DC36" s="46"/>
      <c r="DD36" s="47">
        <f t="shared" si="36"/>
        <v>0</v>
      </c>
      <c r="DE36" s="46"/>
      <c r="DF36" s="46">
        <f t="shared" si="35"/>
        <v>0</v>
      </c>
      <c r="DG36" s="46"/>
      <c r="DH36" s="46">
        <f t="shared" si="12"/>
        <v>0</v>
      </c>
      <c r="DI36" s="46"/>
      <c r="DJ36" s="46"/>
      <c r="DK36" s="64">
        <f t="shared" si="13"/>
        <v>0</v>
      </c>
      <c r="DL36" s="47">
        <f t="shared" si="14"/>
        <v>0</v>
      </c>
      <c r="DM36" s="46"/>
      <c r="DN36" s="46">
        <f t="shared" si="37"/>
        <v>0</v>
      </c>
      <c r="DO36" s="46"/>
      <c r="DP36" s="46">
        <f t="shared" si="15"/>
        <v>0</v>
      </c>
      <c r="DQ36" s="65"/>
      <c r="DR36" s="46">
        <f t="shared" si="16"/>
        <v>0</v>
      </c>
      <c r="DS36" s="46"/>
      <c r="DT36" s="46">
        <f t="shared" si="31"/>
        <v>0</v>
      </c>
      <c r="DU36" s="46"/>
      <c r="DV36" s="46"/>
      <c r="DW36" s="46"/>
      <c r="DX36" s="47">
        <f t="shared" si="18"/>
        <v>0</v>
      </c>
      <c r="DY36" s="46"/>
      <c r="DZ36" s="46"/>
      <c r="EA36" s="46"/>
      <c r="EB36" s="46"/>
      <c r="EC36" s="46"/>
      <c r="ED36" s="46"/>
      <c r="EE36" s="47">
        <f t="shared" si="29"/>
        <v>0</v>
      </c>
      <c r="EF36" s="46"/>
      <c r="EG36" s="46"/>
      <c r="EH36" s="46"/>
      <c r="EI36" s="46"/>
      <c r="EJ36" s="46"/>
      <c r="EK36" s="47">
        <f t="shared" si="20"/>
        <v>0</v>
      </c>
      <c r="EL36" s="46">
        <f t="shared" si="21"/>
        <v>0</v>
      </c>
      <c r="EM36" s="46"/>
      <c r="EN36" s="46">
        <f t="shared" si="22"/>
        <v>0</v>
      </c>
    </row>
    <row r="37" spans="1:144" s="48" customFormat="1" ht="15" customHeight="1" x14ac:dyDescent="0.25">
      <c r="B37" s="41">
        <v>31</v>
      </c>
      <c r="C37" s="42"/>
      <c r="D37" s="43"/>
      <c r="E37" s="42"/>
      <c r="F37" s="42"/>
      <c r="G37" s="42"/>
      <c r="H37" s="42"/>
      <c r="I37" s="42"/>
      <c r="J37" s="42"/>
      <c r="K37" s="42"/>
      <c r="L37" s="42"/>
      <c r="M37" s="42"/>
      <c r="N37" s="41"/>
      <c r="O37" s="41"/>
      <c r="P37" s="42"/>
      <c r="Q37" s="45"/>
      <c r="R37" s="45"/>
      <c r="S37" s="42"/>
      <c r="T37" s="46"/>
      <c r="U37" s="46"/>
      <c r="V37" s="42"/>
      <c r="W37" s="42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7">
        <f t="shared" si="0"/>
        <v>0</v>
      </c>
      <c r="AO37" s="47">
        <f t="shared" si="1"/>
        <v>0</v>
      </c>
      <c r="AP37" s="46" t="s">
        <v>98</v>
      </c>
      <c r="AQ37" s="46">
        <f t="shared" si="32"/>
        <v>0</v>
      </c>
      <c r="AR37" s="46"/>
      <c r="AS37" s="46"/>
      <c r="AT37" s="46"/>
      <c r="AU37" s="47">
        <f t="shared" si="3"/>
        <v>0</v>
      </c>
      <c r="AV37" s="46"/>
      <c r="AW37" s="47">
        <f t="shared" si="4"/>
        <v>0</v>
      </c>
      <c r="AX37" s="46"/>
      <c r="AY37" s="46"/>
      <c r="AZ37" s="46"/>
      <c r="BA37" s="46"/>
      <c r="BB37" s="46"/>
      <c r="BC37" s="47">
        <f t="shared" si="5"/>
        <v>0</v>
      </c>
      <c r="BD37" s="46"/>
      <c r="BE37" s="47">
        <f t="shared" si="6"/>
        <v>0</v>
      </c>
      <c r="BF37" s="46"/>
      <c r="BG37" s="46"/>
      <c r="BH37" s="46"/>
      <c r="BI37" s="46"/>
      <c r="BJ37" s="46"/>
      <c r="BK37" s="46">
        <f t="shared" si="7"/>
        <v>0</v>
      </c>
      <c r="BL37" s="46"/>
      <c r="BM37" s="46">
        <f t="shared" si="33"/>
        <v>0</v>
      </c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7">
        <f t="shared" si="9"/>
        <v>0</v>
      </c>
      <c r="CS37" s="46"/>
      <c r="CT37" s="46"/>
      <c r="CU37" s="46"/>
      <c r="CV37" s="46"/>
      <c r="CW37" s="47">
        <f t="shared" si="10"/>
        <v>0</v>
      </c>
      <c r="CX37" s="46"/>
      <c r="CY37" s="47">
        <f t="shared" si="34"/>
        <v>0</v>
      </c>
      <c r="CZ37" s="46"/>
      <c r="DA37" s="46"/>
      <c r="DB37" s="46"/>
      <c r="DC37" s="46"/>
      <c r="DD37" s="47">
        <f t="shared" si="36"/>
        <v>0</v>
      </c>
      <c r="DE37" s="46"/>
      <c r="DF37" s="46">
        <f t="shared" si="35"/>
        <v>0</v>
      </c>
      <c r="DG37" s="46"/>
      <c r="DH37" s="46">
        <f t="shared" si="12"/>
        <v>0</v>
      </c>
      <c r="DI37" s="46"/>
      <c r="DJ37" s="46"/>
      <c r="DK37" s="64">
        <f t="shared" si="13"/>
        <v>0</v>
      </c>
      <c r="DL37" s="47">
        <f t="shared" si="14"/>
        <v>0</v>
      </c>
      <c r="DM37" s="46"/>
      <c r="DN37" s="46">
        <f t="shared" si="37"/>
        <v>0</v>
      </c>
      <c r="DO37" s="46"/>
      <c r="DP37" s="46">
        <f t="shared" si="15"/>
        <v>0</v>
      </c>
      <c r="DQ37" s="46"/>
      <c r="DR37" s="46">
        <f t="shared" si="16"/>
        <v>0</v>
      </c>
      <c r="DS37" s="46"/>
      <c r="DT37" s="46">
        <f t="shared" si="31"/>
        <v>0</v>
      </c>
      <c r="DU37" s="46"/>
      <c r="DV37" s="46"/>
      <c r="DW37" s="46"/>
      <c r="DX37" s="47">
        <f t="shared" si="18"/>
        <v>0</v>
      </c>
      <c r="DY37" s="46"/>
      <c r="DZ37" s="46"/>
      <c r="EA37" s="46"/>
      <c r="EB37" s="46"/>
      <c r="EC37" s="46"/>
      <c r="ED37" s="46"/>
      <c r="EE37" s="47">
        <f t="shared" si="29"/>
        <v>0</v>
      </c>
      <c r="EF37" s="46"/>
      <c r="EG37" s="46"/>
      <c r="EH37" s="46"/>
      <c r="EI37" s="46"/>
      <c r="EJ37" s="46"/>
      <c r="EK37" s="47">
        <f t="shared" si="20"/>
        <v>0</v>
      </c>
      <c r="EL37" s="46">
        <f t="shared" si="21"/>
        <v>0</v>
      </c>
      <c r="EM37" s="46"/>
      <c r="EN37" s="46">
        <f t="shared" si="22"/>
        <v>0</v>
      </c>
    </row>
    <row r="38" spans="1:144" s="48" customFormat="1" ht="15" customHeight="1" x14ac:dyDescent="0.25">
      <c r="B38" s="41">
        <v>32</v>
      </c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1"/>
      <c r="O38" s="41"/>
      <c r="P38" s="42"/>
      <c r="Q38" s="45"/>
      <c r="R38" s="45"/>
      <c r="S38" s="42"/>
      <c r="T38" s="46"/>
      <c r="U38" s="46"/>
      <c r="V38" s="42"/>
      <c r="W38" s="42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7">
        <f t="shared" si="0"/>
        <v>0</v>
      </c>
      <c r="AO38" s="47">
        <f t="shared" si="1"/>
        <v>0</v>
      </c>
      <c r="AP38" s="46" t="s">
        <v>98</v>
      </c>
      <c r="AQ38" s="46">
        <f t="shared" si="32"/>
        <v>0</v>
      </c>
      <c r="AR38" s="46"/>
      <c r="AS38" s="46"/>
      <c r="AT38" s="46"/>
      <c r="AU38" s="47">
        <f t="shared" si="3"/>
        <v>0</v>
      </c>
      <c r="AV38" s="46"/>
      <c r="AW38" s="47">
        <f t="shared" si="4"/>
        <v>0</v>
      </c>
      <c r="AX38" s="46"/>
      <c r="AY38" s="46"/>
      <c r="AZ38" s="46"/>
      <c r="BA38" s="46"/>
      <c r="BB38" s="46"/>
      <c r="BC38" s="47">
        <f t="shared" si="5"/>
        <v>0</v>
      </c>
      <c r="BD38" s="46"/>
      <c r="BE38" s="47">
        <f t="shared" si="6"/>
        <v>0</v>
      </c>
      <c r="BF38" s="46"/>
      <c r="BG38" s="46"/>
      <c r="BH38" s="46"/>
      <c r="BI38" s="46"/>
      <c r="BJ38" s="46"/>
      <c r="BK38" s="46">
        <f t="shared" si="7"/>
        <v>0</v>
      </c>
      <c r="BL38" s="46"/>
      <c r="BM38" s="46">
        <f t="shared" si="33"/>
        <v>0</v>
      </c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7">
        <f t="shared" si="9"/>
        <v>0</v>
      </c>
      <c r="CS38" s="46"/>
      <c r="CT38" s="46"/>
      <c r="CU38" s="46"/>
      <c r="CV38" s="46"/>
      <c r="CW38" s="47">
        <f t="shared" si="10"/>
        <v>0</v>
      </c>
      <c r="CX38" s="46"/>
      <c r="CY38" s="47">
        <f t="shared" si="34"/>
        <v>0</v>
      </c>
      <c r="CZ38" s="46"/>
      <c r="DA38" s="46"/>
      <c r="DB38" s="46"/>
      <c r="DC38" s="46"/>
      <c r="DD38" s="47">
        <f t="shared" si="36"/>
        <v>0</v>
      </c>
      <c r="DE38" s="46"/>
      <c r="DF38" s="46">
        <f t="shared" si="35"/>
        <v>0</v>
      </c>
      <c r="DG38" s="46"/>
      <c r="DH38" s="46">
        <f t="shared" si="12"/>
        <v>0</v>
      </c>
      <c r="DI38" s="46"/>
      <c r="DJ38" s="46"/>
      <c r="DK38" s="47">
        <f t="shared" si="13"/>
        <v>0</v>
      </c>
      <c r="DL38" s="47">
        <f t="shared" si="14"/>
        <v>0</v>
      </c>
      <c r="DM38" s="46"/>
      <c r="DN38" s="46">
        <f t="shared" si="37"/>
        <v>0</v>
      </c>
      <c r="DO38" s="46"/>
      <c r="DP38" s="46">
        <f t="shared" si="15"/>
        <v>0</v>
      </c>
      <c r="DQ38" s="46"/>
      <c r="DR38" s="46">
        <f t="shared" si="16"/>
        <v>0</v>
      </c>
      <c r="DS38" s="46"/>
      <c r="DT38" s="46">
        <f t="shared" si="31"/>
        <v>0</v>
      </c>
      <c r="DU38" s="46"/>
      <c r="DV38" s="46"/>
      <c r="DW38" s="46"/>
      <c r="DX38" s="47">
        <f t="shared" si="18"/>
        <v>0</v>
      </c>
      <c r="DY38" s="46"/>
      <c r="DZ38" s="46"/>
      <c r="EA38" s="46"/>
      <c r="EB38" s="46"/>
      <c r="EC38" s="46"/>
      <c r="ED38" s="46"/>
      <c r="EE38" s="47">
        <f t="shared" si="29"/>
        <v>0</v>
      </c>
      <c r="EF38" s="46"/>
      <c r="EG38" s="46"/>
      <c r="EH38" s="46"/>
      <c r="EI38" s="46"/>
      <c r="EJ38" s="46"/>
      <c r="EK38" s="47">
        <f t="shared" si="20"/>
        <v>0</v>
      </c>
      <c r="EL38" s="46">
        <f t="shared" si="21"/>
        <v>0</v>
      </c>
      <c r="EM38" s="46"/>
      <c r="EN38" s="46">
        <f t="shared" si="22"/>
        <v>0</v>
      </c>
    </row>
    <row r="39" spans="1:144" s="48" customFormat="1" ht="15" customHeight="1" x14ac:dyDescent="0.25">
      <c r="B39" s="41">
        <v>33</v>
      </c>
      <c r="C39" s="42"/>
      <c r="D39" s="43"/>
      <c r="E39" s="42"/>
      <c r="F39" s="42"/>
      <c r="G39" s="42"/>
      <c r="H39" s="42"/>
      <c r="I39" s="42"/>
      <c r="J39" s="42"/>
      <c r="K39" s="42"/>
      <c r="L39" s="42"/>
      <c r="M39" s="42"/>
      <c r="N39" s="41"/>
      <c r="O39" s="41"/>
      <c r="P39" s="42"/>
      <c r="Q39" s="45"/>
      <c r="R39" s="45"/>
      <c r="S39" s="42"/>
      <c r="T39" s="46"/>
      <c r="U39" s="46"/>
      <c r="V39" s="42"/>
      <c r="W39" s="42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7">
        <f t="shared" si="0"/>
        <v>0</v>
      </c>
      <c r="AO39" s="47">
        <f t="shared" si="1"/>
        <v>0</v>
      </c>
      <c r="AP39" s="46" t="s">
        <v>98</v>
      </c>
      <c r="AQ39" s="46">
        <f t="shared" si="32"/>
        <v>0</v>
      </c>
      <c r="AR39" s="46"/>
      <c r="AS39" s="46"/>
      <c r="AT39" s="46"/>
      <c r="AU39" s="47">
        <f t="shared" si="3"/>
        <v>0</v>
      </c>
      <c r="AV39" s="46"/>
      <c r="AW39" s="47">
        <f t="shared" si="4"/>
        <v>0</v>
      </c>
      <c r="AX39" s="46"/>
      <c r="AY39" s="46"/>
      <c r="AZ39" s="46"/>
      <c r="BA39" s="46"/>
      <c r="BB39" s="46"/>
      <c r="BC39" s="47">
        <f t="shared" si="5"/>
        <v>0</v>
      </c>
      <c r="BD39" s="46"/>
      <c r="BE39" s="47">
        <f t="shared" si="6"/>
        <v>0</v>
      </c>
      <c r="BF39" s="46"/>
      <c r="BG39" s="46"/>
      <c r="BH39" s="46"/>
      <c r="BI39" s="46"/>
      <c r="BJ39" s="46"/>
      <c r="BK39" s="46">
        <f t="shared" si="7"/>
        <v>0</v>
      </c>
      <c r="BL39" s="46"/>
      <c r="BM39" s="46">
        <f t="shared" si="33"/>
        <v>0</v>
      </c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7">
        <f t="shared" si="9"/>
        <v>0</v>
      </c>
      <c r="CS39" s="46"/>
      <c r="CT39" s="46"/>
      <c r="CU39" s="46"/>
      <c r="CV39" s="46"/>
      <c r="CW39" s="47">
        <f t="shared" si="10"/>
        <v>0</v>
      </c>
      <c r="CX39" s="46"/>
      <c r="CY39" s="47">
        <f t="shared" si="34"/>
        <v>0</v>
      </c>
      <c r="CZ39" s="46"/>
      <c r="DA39" s="46"/>
      <c r="DB39" s="46"/>
      <c r="DC39" s="46"/>
      <c r="DD39" s="47">
        <f t="shared" si="36"/>
        <v>0</v>
      </c>
      <c r="DE39" s="46"/>
      <c r="DF39" s="46">
        <f t="shared" si="35"/>
        <v>0</v>
      </c>
      <c r="DG39" s="46"/>
      <c r="DH39" s="46">
        <f t="shared" si="12"/>
        <v>0</v>
      </c>
      <c r="DI39" s="46"/>
      <c r="DJ39" s="46"/>
      <c r="DK39" s="47">
        <f t="shared" si="13"/>
        <v>0</v>
      </c>
      <c r="DL39" s="47">
        <f t="shared" si="14"/>
        <v>0</v>
      </c>
      <c r="DM39" s="46"/>
      <c r="DN39" s="46">
        <f t="shared" si="37"/>
        <v>0</v>
      </c>
      <c r="DO39" s="46"/>
      <c r="DP39" s="46">
        <f t="shared" si="15"/>
        <v>0</v>
      </c>
      <c r="DQ39" s="46"/>
      <c r="DR39" s="46">
        <f t="shared" si="16"/>
        <v>0</v>
      </c>
      <c r="DS39" s="46"/>
      <c r="DT39" s="46">
        <f t="shared" si="31"/>
        <v>0</v>
      </c>
      <c r="DU39" s="46"/>
      <c r="DV39" s="46"/>
      <c r="DW39" s="46"/>
      <c r="DX39" s="47">
        <f t="shared" si="18"/>
        <v>0</v>
      </c>
      <c r="DY39" s="46"/>
      <c r="DZ39" s="46"/>
      <c r="EA39" s="46"/>
      <c r="EB39" s="46"/>
      <c r="EC39" s="46"/>
      <c r="ED39" s="46"/>
      <c r="EE39" s="47">
        <f t="shared" si="29"/>
        <v>0</v>
      </c>
      <c r="EF39" s="46"/>
      <c r="EG39" s="46"/>
      <c r="EH39" s="46"/>
      <c r="EI39" s="46"/>
      <c r="EJ39" s="46"/>
      <c r="EK39" s="47">
        <f t="shared" si="20"/>
        <v>0</v>
      </c>
      <c r="EL39" s="46">
        <f t="shared" si="21"/>
        <v>0</v>
      </c>
      <c r="EM39" s="46"/>
      <c r="EN39" s="46">
        <f t="shared" si="22"/>
        <v>0</v>
      </c>
    </row>
    <row r="40" spans="1:144" s="48" customFormat="1" ht="15.75" customHeight="1" x14ac:dyDescent="0.25">
      <c r="A40" s="58"/>
      <c r="B40" s="41">
        <v>34</v>
      </c>
      <c r="C40" s="42"/>
      <c r="D40" s="59"/>
      <c r="E40" s="42"/>
      <c r="F40" s="49"/>
      <c r="G40" s="49"/>
      <c r="H40" s="49"/>
      <c r="I40" s="49"/>
      <c r="J40" s="49"/>
      <c r="K40" s="49"/>
      <c r="L40" s="49"/>
      <c r="M40" s="42"/>
      <c r="N40" s="41"/>
      <c r="O40" s="41"/>
      <c r="P40" s="42"/>
      <c r="Q40" s="45"/>
      <c r="R40" s="45"/>
      <c r="S40" s="42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7">
        <f t="shared" si="0"/>
        <v>0</v>
      </c>
      <c r="AO40" s="46">
        <f t="shared" si="1"/>
        <v>0</v>
      </c>
      <c r="AP40" s="46" t="s">
        <v>98</v>
      </c>
      <c r="AQ40" s="46">
        <f t="shared" si="32"/>
        <v>0</v>
      </c>
      <c r="AR40" s="46"/>
      <c r="AS40" s="46"/>
      <c r="AT40" s="46"/>
      <c r="AU40" s="47">
        <f t="shared" si="3"/>
        <v>0</v>
      </c>
      <c r="AV40" s="46"/>
      <c r="AW40" s="47">
        <f t="shared" si="4"/>
        <v>0</v>
      </c>
      <c r="AX40" s="46"/>
      <c r="AY40" s="46"/>
      <c r="AZ40" s="46"/>
      <c r="BA40" s="46"/>
      <c r="BB40" s="46"/>
      <c r="BC40" s="47">
        <f t="shared" si="5"/>
        <v>0</v>
      </c>
      <c r="BD40" s="46"/>
      <c r="BE40" s="47">
        <f t="shared" si="6"/>
        <v>0</v>
      </c>
      <c r="BF40" s="46"/>
      <c r="BG40" s="46"/>
      <c r="BH40" s="46"/>
      <c r="BI40" s="46"/>
      <c r="BJ40" s="46"/>
      <c r="BK40" s="47">
        <f>+BI40*BJ40</f>
        <v>0</v>
      </c>
      <c r="BL40" s="46"/>
      <c r="BM40" s="47">
        <f>+BG40+BH40+BK40+BL40</f>
        <v>0</v>
      </c>
      <c r="BN40" s="46"/>
      <c r="BO40" s="46"/>
      <c r="BP40" s="46"/>
      <c r="BQ40" s="46"/>
      <c r="BR40" s="46"/>
      <c r="BS40" s="47">
        <f>+BQ40*BR40</f>
        <v>0</v>
      </c>
      <c r="BT40" s="46"/>
      <c r="BU40" s="46">
        <f>BS40</f>
        <v>0</v>
      </c>
      <c r="BV40" s="46"/>
      <c r="BW40" s="46"/>
      <c r="BX40" s="46"/>
      <c r="BY40" s="46"/>
      <c r="BZ40" s="46"/>
      <c r="CA40" s="47">
        <f>+BY40*BZ40</f>
        <v>0</v>
      </c>
      <c r="CB40" s="46"/>
      <c r="CC40" s="47">
        <f>+BW40+BX40+CA40+CB40</f>
        <v>0</v>
      </c>
      <c r="CD40" s="46"/>
      <c r="CE40" s="46"/>
      <c r="CF40" s="46"/>
      <c r="CG40" s="46"/>
      <c r="CH40" s="46"/>
      <c r="CI40" s="47">
        <f>+CG40*CH40</f>
        <v>0</v>
      </c>
      <c r="CJ40" s="46"/>
      <c r="CK40" s="47">
        <f>+CE40+CF40+CI40+CJ40</f>
        <v>0</v>
      </c>
      <c r="CL40" s="46"/>
      <c r="CM40" s="46"/>
      <c r="CN40" s="46"/>
      <c r="CO40" s="46"/>
      <c r="CP40" s="46">
        <f>CN40*CO40</f>
        <v>0</v>
      </c>
      <c r="CQ40" s="46"/>
      <c r="CR40" s="47">
        <f t="shared" si="9"/>
        <v>0</v>
      </c>
      <c r="CS40" s="46"/>
      <c r="CT40" s="46"/>
      <c r="CU40" s="46"/>
      <c r="CV40" s="46"/>
      <c r="CW40" s="47">
        <f t="shared" si="10"/>
        <v>0</v>
      </c>
      <c r="CX40" s="46"/>
      <c r="CY40" s="47">
        <f t="shared" si="34"/>
        <v>0</v>
      </c>
      <c r="CZ40" s="46"/>
      <c r="DA40" s="46"/>
      <c r="DB40" s="46"/>
      <c r="DC40" s="46"/>
      <c r="DD40" s="47">
        <f t="shared" si="36"/>
        <v>0</v>
      </c>
      <c r="DE40" s="46"/>
      <c r="DF40" s="46">
        <f t="shared" si="35"/>
        <v>0</v>
      </c>
      <c r="DG40" s="46"/>
      <c r="DH40" s="46">
        <f t="shared" si="12"/>
        <v>0</v>
      </c>
      <c r="DI40" s="46"/>
      <c r="DJ40" s="46"/>
      <c r="DK40" s="47">
        <f t="shared" si="13"/>
        <v>0</v>
      </c>
      <c r="DL40" s="47">
        <f t="shared" si="14"/>
        <v>0</v>
      </c>
      <c r="DM40" s="46"/>
      <c r="DN40" s="46">
        <f>7%*AQ40</f>
        <v>0</v>
      </c>
      <c r="DO40" s="46"/>
      <c r="DP40" s="46">
        <f t="shared" si="15"/>
        <v>0</v>
      </c>
      <c r="DQ40" s="46"/>
      <c r="DR40" s="46">
        <f t="shared" si="16"/>
        <v>0</v>
      </c>
      <c r="DS40" s="46"/>
      <c r="DT40" s="46">
        <f t="shared" si="31"/>
        <v>0</v>
      </c>
      <c r="DU40" s="46"/>
      <c r="DV40" s="46"/>
      <c r="DW40" s="46"/>
      <c r="DX40" s="47">
        <f t="shared" si="18"/>
        <v>0</v>
      </c>
      <c r="DY40" s="46"/>
      <c r="DZ40" s="46"/>
      <c r="EA40" s="46"/>
      <c r="EB40" s="46"/>
      <c r="EC40" s="46"/>
      <c r="ED40" s="46"/>
      <c r="EE40" s="47">
        <f t="shared" si="29"/>
        <v>0</v>
      </c>
      <c r="EF40" s="46"/>
      <c r="EG40" s="46"/>
      <c r="EH40" s="46"/>
      <c r="EI40" s="46"/>
      <c r="EJ40" s="46"/>
      <c r="EK40" s="47">
        <f t="shared" si="20"/>
        <v>0</v>
      </c>
      <c r="EL40" s="46">
        <f t="shared" si="21"/>
        <v>0</v>
      </c>
      <c r="EM40" s="46"/>
      <c r="EN40" s="46">
        <f t="shared" si="22"/>
        <v>0</v>
      </c>
    </row>
    <row r="41" spans="1:144" s="48" customFormat="1" ht="15" customHeight="1" x14ac:dyDescent="0.25">
      <c r="B41" s="41">
        <v>35</v>
      </c>
      <c r="C41" s="42"/>
      <c r="D41" s="43"/>
      <c r="E41" s="42"/>
      <c r="F41" s="42"/>
      <c r="G41" s="42"/>
      <c r="H41" s="42"/>
      <c r="I41" s="42"/>
      <c r="J41" s="42"/>
      <c r="K41" s="42"/>
      <c r="L41" s="42"/>
      <c r="M41" s="42"/>
      <c r="N41" s="41"/>
      <c r="O41" s="41"/>
      <c r="P41" s="42"/>
      <c r="Q41" s="45"/>
      <c r="R41" s="45"/>
      <c r="S41" s="42"/>
      <c r="T41" s="46"/>
      <c r="U41" s="46"/>
      <c r="V41" s="42"/>
      <c r="W41" s="42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7">
        <f t="shared" si="0"/>
        <v>0</v>
      </c>
      <c r="AO41" s="47">
        <f t="shared" si="1"/>
        <v>0</v>
      </c>
      <c r="AP41" s="46" t="s">
        <v>98</v>
      </c>
      <c r="AQ41" s="46">
        <f t="shared" si="32"/>
        <v>0</v>
      </c>
      <c r="AR41" s="46"/>
      <c r="AS41" s="46"/>
      <c r="AT41" s="46"/>
      <c r="AU41" s="47">
        <f t="shared" si="3"/>
        <v>0</v>
      </c>
      <c r="AV41" s="46"/>
      <c r="AW41" s="47">
        <f t="shared" si="4"/>
        <v>0</v>
      </c>
      <c r="AX41" s="46"/>
      <c r="AY41" s="46"/>
      <c r="AZ41" s="46"/>
      <c r="BA41" s="46"/>
      <c r="BB41" s="46"/>
      <c r="BC41" s="47">
        <f t="shared" si="5"/>
        <v>0</v>
      </c>
      <c r="BD41" s="46"/>
      <c r="BE41" s="47">
        <f t="shared" si="6"/>
        <v>0</v>
      </c>
      <c r="BF41" s="46"/>
      <c r="BG41" s="46"/>
      <c r="BH41" s="46"/>
      <c r="BI41" s="46"/>
      <c r="BJ41" s="46"/>
      <c r="BK41" s="46">
        <f t="shared" ref="BK41:BK54" si="38">BI41*BJ41</f>
        <v>0</v>
      </c>
      <c r="BL41" s="46"/>
      <c r="BM41" s="46">
        <f t="shared" ref="BM41:BM64" si="39">BK41</f>
        <v>0</v>
      </c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7">
        <f t="shared" si="9"/>
        <v>0</v>
      </c>
      <c r="CS41" s="46"/>
      <c r="CT41" s="46"/>
      <c r="CU41" s="46"/>
      <c r="CV41" s="46"/>
      <c r="CW41" s="47">
        <f t="shared" si="10"/>
        <v>0</v>
      </c>
      <c r="CX41" s="46"/>
      <c r="CY41" s="47">
        <f t="shared" si="34"/>
        <v>0</v>
      </c>
      <c r="CZ41" s="46"/>
      <c r="DA41" s="46"/>
      <c r="DB41" s="46"/>
      <c r="DC41" s="46"/>
      <c r="DD41" s="47">
        <f t="shared" si="36"/>
        <v>0</v>
      </c>
      <c r="DE41" s="46"/>
      <c r="DF41" s="46">
        <f t="shared" ref="DF41:DF54" si="40">DA41+DD41+DE41</f>
        <v>0</v>
      </c>
      <c r="DG41" s="46"/>
      <c r="DH41" s="46">
        <f t="shared" si="12"/>
        <v>0</v>
      </c>
      <c r="DI41" s="46"/>
      <c r="DJ41" s="46"/>
      <c r="DK41" s="47">
        <f t="shared" si="13"/>
        <v>0</v>
      </c>
      <c r="DL41" s="47">
        <f t="shared" si="14"/>
        <v>0</v>
      </c>
      <c r="DM41" s="46"/>
      <c r="DN41" s="46">
        <f t="shared" ref="DN41:DN57" si="41">7.5%*AQ41</f>
        <v>0</v>
      </c>
      <c r="DO41" s="46"/>
      <c r="DP41" s="46">
        <f t="shared" ref="DP41:DP54" si="42">DN41</f>
        <v>0</v>
      </c>
      <c r="DQ41" s="46"/>
      <c r="DR41" s="46">
        <f t="shared" si="16"/>
        <v>0</v>
      </c>
      <c r="DS41" s="46"/>
      <c r="DT41" s="46">
        <f t="shared" si="31"/>
        <v>0</v>
      </c>
      <c r="DU41" s="46"/>
      <c r="DV41" s="46"/>
      <c r="DW41" s="46"/>
      <c r="DX41" s="47">
        <f t="shared" si="18"/>
        <v>0</v>
      </c>
      <c r="DY41" s="46"/>
      <c r="DZ41" s="46"/>
      <c r="EA41" s="46"/>
      <c r="EB41" s="46"/>
      <c r="EC41" s="46"/>
      <c r="ED41" s="46"/>
      <c r="EE41" s="47">
        <f t="shared" si="29"/>
        <v>0</v>
      </c>
      <c r="EF41" s="46"/>
      <c r="EG41" s="46"/>
      <c r="EH41" s="46"/>
      <c r="EI41" s="46"/>
      <c r="EJ41" s="46"/>
      <c r="EK41" s="47">
        <f t="shared" si="20"/>
        <v>0</v>
      </c>
      <c r="EL41" s="46">
        <f t="shared" si="21"/>
        <v>0</v>
      </c>
      <c r="EM41" s="46"/>
      <c r="EN41" s="46">
        <f t="shared" si="22"/>
        <v>0</v>
      </c>
    </row>
    <row r="42" spans="1:144" s="48" customFormat="1" ht="15" customHeight="1" x14ac:dyDescent="0.25">
      <c r="B42" s="41">
        <v>36</v>
      </c>
      <c r="C42" s="42"/>
      <c r="D42" s="43"/>
      <c r="E42" s="42"/>
      <c r="F42" s="42"/>
      <c r="G42" s="42"/>
      <c r="H42" s="42"/>
      <c r="I42" s="42"/>
      <c r="J42" s="42"/>
      <c r="K42" s="42"/>
      <c r="L42" s="42"/>
      <c r="M42" s="42"/>
      <c r="N42" s="41"/>
      <c r="O42" s="41"/>
      <c r="P42" s="42"/>
      <c r="Q42" s="45"/>
      <c r="R42" s="45"/>
      <c r="S42" s="42"/>
      <c r="T42" s="46"/>
      <c r="U42" s="46"/>
      <c r="V42" s="42"/>
      <c r="W42" s="42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7">
        <f t="shared" si="0"/>
        <v>0</v>
      </c>
      <c r="AO42" s="47">
        <f t="shared" si="1"/>
        <v>0</v>
      </c>
      <c r="AP42" s="46" t="s">
        <v>98</v>
      </c>
      <c r="AQ42" s="46">
        <f t="shared" si="32"/>
        <v>0</v>
      </c>
      <c r="AR42" s="46"/>
      <c r="AS42" s="46"/>
      <c r="AT42" s="46"/>
      <c r="AU42" s="47">
        <f t="shared" si="3"/>
        <v>0</v>
      </c>
      <c r="AV42" s="46"/>
      <c r="AW42" s="47">
        <f t="shared" si="4"/>
        <v>0</v>
      </c>
      <c r="AX42" s="46"/>
      <c r="AY42" s="46"/>
      <c r="AZ42" s="46"/>
      <c r="BA42" s="46"/>
      <c r="BB42" s="46"/>
      <c r="BC42" s="47">
        <f t="shared" si="5"/>
        <v>0</v>
      </c>
      <c r="BD42" s="46"/>
      <c r="BE42" s="47">
        <f t="shared" si="6"/>
        <v>0</v>
      </c>
      <c r="BF42" s="46"/>
      <c r="BG42" s="46"/>
      <c r="BH42" s="46"/>
      <c r="BI42" s="46"/>
      <c r="BJ42" s="46"/>
      <c r="BK42" s="46">
        <f t="shared" si="38"/>
        <v>0</v>
      </c>
      <c r="BL42" s="46"/>
      <c r="BM42" s="46">
        <f t="shared" si="39"/>
        <v>0</v>
      </c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7">
        <f t="shared" si="9"/>
        <v>0</v>
      </c>
      <c r="CS42" s="46"/>
      <c r="CT42" s="46"/>
      <c r="CU42" s="46"/>
      <c r="CV42" s="46"/>
      <c r="CW42" s="47">
        <f t="shared" si="10"/>
        <v>0</v>
      </c>
      <c r="CX42" s="46"/>
      <c r="CY42" s="47">
        <f t="shared" si="34"/>
        <v>0</v>
      </c>
      <c r="CZ42" s="46"/>
      <c r="DA42" s="46"/>
      <c r="DB42" s="46"/>
      <c r="DC42" s="46"/>
      <c r="DD42" s="47">
        <f t="shared" si="36"/>
        <v>0</v>
      </c>
      <c r="DE42" s="46"/>
      <c r="DF42" s="46">
        <f t="shared" si="40"/>
        <v>0</v>
      </c>
      <c r="DG42" s="46"/>
      <c r="DH42" s="46">
        <f t="shared" si="12"/>
        <v>0</v>
      </c>
      <c r="DI42" s="46"/>
      <c r="DJ42" s="46"/>
      <c r="DK42" s="64">
        <f t="shared" si="13"/>
        <v>0</v>
      </c>
      <c r="DL42" s="47">
        <f t="shared" si="14"/>
        <v>0</v>
      </c>
      <c r="DM42" s="46"/>
      <c r="DN42" s="46">
        <f t="shared" si="41"/>
        <v>0</v>
      </c>
      <c r="DO42" s="46"/>
      <c r="DP42" s="46">
        <f t="shared" si="42"/>
        <v>0</v>
      </c>
      <c r="DQ42" s="46"/>
      <c r="DR42" s="46">
        <f t="shared" si="16"/>
        <v>0</v>
      </c>
      <c r="DS42" s="46"/>
      <c r="DT42" s="46">
        <f t="shared" si="31"/>
        <v>0</v>
      </c>
      <c r="DU42" s="46"/>
      <c r="DV42" s="46"/>
      <c r="DW42" s="46"/>
      <c r="DX42" s="47">
        <f t="shared" si="18"/>
        <v>0</v>
      </c>
      <c r="DY42" s="46"/>
      <c r="DZ42" s="46"/>
      <c r="EA42" s="46"/>
      <c r="EB42" s="46"/>
      <c r="EC42" s="46"/>
      <c r="ED42" s="46"/>
      <c r="EE42" s="47">
        <f t="shared" si="29"/>
        <v>0</v>
      </c>
      <c r="EF42" s="46"/>
      <c r="EG42" s="46"/>
      <c r="EH42" s="46"/>
      <c r="EI42" s="46"/>
      <c r="EJ42" s="46"/>
      <c r="EK42" s="47">
        <f t="shared" si="20"/>
        <v>0</v>
      </c>
      <c r="EL42" s="46">
        <f t="shared" si="21"/>
        <v>0</v>
      </c>
      <c r="EM42" s="46"/>
      <c r="EN42" s="46">
        <f t="shared" si="22"/>
        <v>0</v>
      </c>
    </row>
    <row r="43" spans="1:144" s="48" customFormat="1" ht="15" customHeight="1" x14ac:dyDescent="0.25">
      <c r="B43" s="41">
        <v>37</v>
      </c>
      <c r="C43" s="42"/>
      <c r="D43" s="43"/>
      <c r="E43" s="42"/>
      <c r="F43" s="42"/>
      <c r="G43" s="42"/>
      <c r="H43" s="42"/>
      <c r="I43" s="42"/>
      <c r="J43" s="42"/>
      <c r="K43" s="42"/>
      <c r="L43" s="42"/>
      <c r="M43" s="42"/>
      <c r="N43" s="41"/>
      <c r="O43" s="41"/>
      <c r="P43" s="42"/>
      <c r="Q43" s="45"/>
      <c r="R43" s="45"/>
      <c r="S43" s="42"/>
      <c r="T43" s="46"/>
      <c r="U43" s="46"/>
      <c r="V43" s="42"/>
      <c r="W43" s="42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7">
        <f t="shared" si="0"/>
        <v>0</v>
      </c>
      <c r="AO43" s="47">
        <f t="shared" si="1"/>
        <v>0</v>
      </c>
      <c r="AP43" s="46" t="s">
        <v>98</v>
      </c>
      <c r="AQ43" s="46">
        <f t="shared" si="32"/>
        <v>0</v>
      </c>
      <c r="AR43" s="46"/>
      <c r="AS43" s="46"/>
      <c r="AT43" s="46"/>
      <c r="AU43" s="47">
        <f t="shared" si="3"/>
        <v>0</v>
      </c>
      <c r="AV43" s="46"/>
      <c r="AW43" s="47">
        <f t="shared" si="4"/>
        <v>0</v>
      </c>
      <c r="AX43" s="46"/>
      <c r="AY43" s="46"/>
      <c r="AZ43" s="46"/>
      <c r="BA43" s="46"/>
      <c r="BB43" s="46"/>
      <c r="BC43" s="47">
        <f t="shared" si="5"/>
        <v>0</v>
      </c>
      <c r="BD43" s="46"/>
      <c r="BE43" s="47">
        <f t="shared" si="6"/>
        <v>0</v>
      </c>
      <c r="BF43" s="46"/>
      <c r="BG43" s="46"/>
      <c r="BH43" s="46"/>
      <c r="BI43" s="46"/>
      <c r="BJ43" s="46"/>
      <c r="BK43" s="46">
        <f t="shared" si="38"/>
        <v>0</v>
      </c>
      <c r="BL43" s="46"/>
      <c r="BM43" s="46">
        <f t="shared" si="39"/>
        <v>0</v>
      </c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7">
        <f t="shared" si="9"/>
        <v>0</v>
      </c>
      <c r="CS43" s="46"/>
      <c r="CT43" s="46"/>
      <c r="CU43" s="46"/>
      <c r="CV43" s="46"/>
      <c r="CW43" s="47">
        <f t="shared" si="10"/>
        <v>0</v>
      </c>
      <c r="CX43" s="46"/>
      <c r="CY43" s="47">
        <f t="shared" si="34"/>
        <v>0</v>
      </c>
      <c r="CZ43" s="46"/>
      <c r="DA43" s="46"/>
      <c r="DB43" s="46"/>
      <c r="DC43" s="46"/>
      <c r="DD43" s="47">
        <f t="shared" si="36"/>
        <v>0</v>
      </c>
      <c r="DE43" s="46"/>
      <c r="DF43" s="46">
        <f t="shared" si="40"/>
        <v>0</v>
      </c>
      <c r="DG43" s="46"/>
      <c r="DH43" s="46">
        <f t="shared" si="12"/>
        <v>0</v>
      </c>
      <c r="DI43" s="46"/>
      <c r="DJ43" s="46"/>
      <c r="DK43" s="64">
        <f t="shared" si="13"/>
        <v>0</v>
      </c>
      <c r="DL43" s="47">
        <f t="shared" si="14"/>
        <v>0</v>
      </c>
      <c r="DM43" s="46"/>
      <c r="DN43" s="46">
        <f t="shared" si="41"/>
        <v>0</v>
      </c>
      <c r="DO43" s="46"/>
      <c r="DP43" s="46">
        <f t="shared" si="42"/>
        <v>0</v>
      </c>
      <c r="DQ43" s="46"/>
      <c r="DR43" s="46">
        <f t="shared" si="16"/>
        <v>0</v>
      </c>
      <c r="DS43" s="46"/>
      <c r="DT43" s="46">
        <f t="shared" si="31"/>
        <v>0</v>
      </c>
      <c r="DU43" s="46"/>
      <c r="DV43" s="46"/>
      <c r="DW43" s="46"/>
      <c r="DX43" s="47">
        <f t="shared" si="18"/>
        <v>0</v>
      </c>
      <c r="DY43" s="46"/>
      <c r="DZ43" s="46"/>
      <c r="EA43" s="46"/>
      <c r="EB43" s="46"/>
      <c r="EC43" s="46"/>
      <c r="ED43" s="46"/>
      <c r="EE43" s="47">
        <f t="shared" si="29"/>
        <v>0</v>
      </c>
      <c r="EF43" s="46"/>
      <c r="EG43" s="46"/>
      <c r="EH43" s="46"/>
      <c r="EI43" s="46"/>
      <c r="EJ43" s="46"/>
      <c r="EK43" s="47">
        <f t="shared" si="20"/>
        <v>0</v>
      </c>
      <c r="EL43" s="46">
        <f t="shared" si="21"/>
        <v>0</v>
      </c>
      <c r="EM43" s="46"/>
      <c r="EN43" s="46">
        <f t="shared" si="22"/>
        <v>0</v>
      </c>
    </row>
    <row r="44" spans="1:144" s="48" customFormat="1" ht="15" customHeight="1" x14ac:dyDescent="0.25">
      <c r="B44" s="41">
        <v>38</v>
      </c>
      <c r="C44" s="42"/>
      <c r="D44" s="43"/>
      <c r="E44" s="42"/>
      <c r="F44" s="42"/>
      <c r="G44" s="42"/>
      <c r="H44" s="42"/>
      <c r="I44" s="42"/>
      <c r="J44" s="42"/>
      <c r="K44" s="42"/>
      <c r="L44" s="42"/>
      <c r="M44" s="42"/>
      <c r="N44" s="41"/>
      <c r="O44" s="41"/>
      <c r="P44" s="42"/>
      <c r="Q44" s="45"/>
      <c r="R44" s="45"/>
      <c r="S44" s="42"/>
      <c r="T44" s="46"/>
      <c r="U44" s="46"/>
      <c r="V44" s="42"/>
      <c r="W44" s="42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7">
        <f t="shared" si="0"/>
        <v>0</v>
      </c>
      <c r="AO44" s="47">
        <f t="shared" si="1"/>
        <v>0</v>
      </c>
      <c r="AP44" s="46" t="s">
        <v>98</v>
      </c>
      <c r="AQ44" s="46">
        <f t="shared" si="32"/>
        <v>0</v>
      </c>
      <c r="AR44" s="46"/>
      <c r="AS44" s="46"/>
      <c r="AT44" s="46"/>
      <c r="AU44" s="47">
        <f t="shared" si="3"/>
        <v>0</v>
      </c>
      <c r="AV44" s="46"/>
      <c r="AW44" s="47">
        <f t="shared" si="4"/>
        <v>0</v>
      </c>
      <c r="AX44" s="46"/>
      <c r="AY44" s="46"/>
      <c r="AZ44" s="46"/>
      <c r="BA44" s="46"/>
      <c r="BB44" s="46"/>
      <c r="BC44" s="47">
        <f t="shared" si="5"/>
        <v>0</v>
      </c>
      <c r="BD44" s="46"/>
      <c r="BE44" s="47">
        <f t="shared" si="6"/>
        <v>0</v>
      </c>
      <c r="BF44" s="46"/>
      <c r="BG44" s="46"/>
      <c r="BH44" s="46"/>
      <c r="BI44" s="46"/>
      <c r="BJ44" s="46"/>
      <c r="BK44" s="46">
        <f t="shared" si="38"/>
        <v>0</v>
      </c>
      <c r="BL44" s="46"/>
      <c r="BM44" s="46">
        <f t="shared" si="39"/>
        <v>0</v>
      </c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7">
        <f t="shared" si="9"/>
        <v>0</v>
      </c>
      <c r="CS44" s="46"/>
      <c r="CT44" s="46"/>
      <c r="CU44" s="46"/>
      <c r="CV44" s="46"/>
      <c r="CW44" s="47">
        <f t="shared" si="10"/>
        <v>0</v>
      </c>
      <c r="CX44" s="46"/>
      <c r="CY44" s="47">
        <f t="shared" si="34"/>
        <v>0</v>
      </c>
      <c r="CZ44" s="46"/>
      <c r="DA44" s="46"/>
      <c r="DB44" s="46"/>
      <c r="DC44" s="46"/>
      <c r="DD44" s="47">
        <f t="shared" si="36"/>
        <v>0</v>
      </c>
      <c r="DE44" s="46"/>
      <c r="DF44" s="46">
        <f t="shared" si="40"/>
        <v>0</v>
      </c>
      <c r="DG44" s="46"/>
      <c r="DH44" s="46">
        <f t="shared" si="12"/>
        <v>0</v>
      </c>
      <c r="DI44" s="46"/>
      <c r="DJ44" s="46"/>
      <c r="DK44" s="64">
        <f t="shared" si="13"/>
        <v>0</v>
      </c>
      <c r="DL44" s="47">
        <f t="shared" si="14"/>
        <v>0</v>
      </c>
      <c r="DM44" s="46"/>
      <c r="DN44" s="46">
        <f t="shared" si="41"/>
        <v>0</v>
      </c>
      <c r="DO44" s="46"/>
      <c r="DP44" s="46">
        <f t="shared" si="42"/>
        <v>0</v>
      </c>
      <c r="DQ44" s="46"/>
      <c r="DR44" s="46">
        <f t="shared" si="16"/>
        <v>0</v>
      </c>
      <c r="DS44" s="46"/>
      <c r="DT44" s="46">
        <f t="shared" si="31"/>
        <v>0</v>
      </c>
      <c r="DU44" s="46"/>
      <c r="DV44" s="46"/>
      <c r="DW44" s="46"/>
      <c r="DX44" s="47">
        <f t="shared" si="18"/>
        <v>0</v>
      </c>
      <c r="DY44" s="46"/>
      <c r="DZ44" s="46"/>
      <c r="EA44" s="46"/>
      <c r="EB44" s="46"/>
      <c r="EC44" s="46"/>
      <c r="ED44" s="46"/>
      <c r="EE44" s="47">
        <f t="shared" si="29"/>
        <v>0</v>
      </c>
      <c r="EF44" s="46"/>
      <c r="EG44" s="46"/>
      <c r="EH44" s="46"/>
      <c r="EI44" s="46"/>
      <c r="EJ44" s="46"/>
      <c r="EK44" s="47">
        <f t="shared" si="20"/>
        <v>0</v>
      </c>
      <c r="EL44" s="46">
        <f t="shared" si="21"/>
        <v>0</v>
      </c>
      <c r="EM44" s="46"/>
      <c r="EN44" s="46">
        <f t="shared" si="22"/>
        <v>0</v>
      </c>
    </row>
    <row r="45" spans="1:144" s="48" customFormat="1" ht="15" customHeight="1" x14ac:dyDescent="0.25">
      <c r="B45" s="41">
        <v>40</v>
      </c>
      <c r="C45" s="42"/>
      <c r="D45" s="43"/>
      <c r="E45" s="42"/>
      <c r="F45" s="42"/>
      <c r="G45" s="42"/>
      <c r="H45" s="42"/>
      <c r="I45" s="42"/>
      <c r="J45" s="42"/>
      <c r="K45" s="42"/>
      <c r="L45" s="42"/>
      <c r="M45" s="42"/>
      <c r="N45" s="41"/>
      <c r="O45" s="41"/>
      <c r="P45" s="42"/>
      <c r="Q45" s="45"/>
      <c r="R45" s="45"/>
      <c r="S45" s="42"/>
      <c r="T45" s="46"/>
      <c r="U45" s="46"/>
      <c r="V45" s="42"/>
      <c r="W45" s="42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>
        <f t="shared" si="0"/>
        <v>0</v>
      </c>
      <c r="AO45" s="47">
        <f t="shared" si="1"/>
        <v>0</v>
      </c>
      <c r="AP45" s="46" t="s">
        <v>98</v>
      </c>
      <c r="AQ45" s="46">
        <f>20%*AO45</f>
        <v>0</v>
      </c>
      <c r="AR45" s="42"/>
      <c r="AS45" s="46"/>
      <c r="AT45" s="46"/>
      <c r="AU45" s="47">
        <f t="shared" si="3"/>
        <v>0</v>
      </c>
      <c r="AV45" s="46"/>
      <c r="AW45" s="47">
        <f t="shared" si="4"/>
        <v>0</v>
      </c>
      <c r="AX45" s="46"/>
      <c r="AY45" s="46"/>
      <c r="AZ45" s="46"/>
      <c r="BA45" s="46"/>
      <c r="BB45" s="46"/>
      <c r="BC45" s="47">
        <f t="shared" si="5"/>
        <v>0</v>
      </c>
      <c r="BD45" s="46"/>
      <c r="BE45" s="47">
        <f t="shared" si="6"/>
        <v>0</v>
      </c>
      <c r="BF45" s="46"/>
      <c r="BG45" s="46"/>
      <c r="BH45" s="46"/>
      <c r="BI45" s="46"/>
      <c r="BJ45" s="46"/>
      <c r="BK45" s="46">
        <f t="shared" si="38"/>
        <v>0</v>
      </c>
      <c r="BL45" s="46"/>
      <c r="BM45" s="46">
        <f t="shared" si="39"/>
        <v>0</v>
      </c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>
        <f>CN45*CO45</f>
        <v>0</v>
      </c>
      <c r="CQ45" s="46"/>
      <c r="CR45" s="47">
        <f t="shared" si="9"/>
        <v>0</v>
      </c>
      <c r="CS45" s="46"/>
      <c r="CT45" s="46"/>
      <c r="CU45" s="46"/>
      <c r="CV45" s="46"/>
      <c r="CW45" s="47">
        <f t="shared" si="10"/>
        <v>0</v>
      </c>
      <c r="CX45" s="46"/>
      <c r="CY45" s="47">
        <f t="shared" si="34"/>
        <v>0</v>
      </c>
      <c r="CZ45" s="46"/>
      <c r="DA45" s="46"/>
      <c r="DB45" s="46"/>
      <c r="DC45" s="46"/>
      <c r="DD45" s="47">
        <f t="shared" si="36"/>
        <v>0</v>
      </c>
      <c r="DE45" s="46"/>
      <c r="DF45" s="46">
        <f t="shared" si="40"/>
        <v>0</v>
      </c>
      <c r="DG45" s="46"/>
      <c r="DH45" s="46">
        <f t="shared" si="12"/>
        <v>0</v>
      </c>
      <c r="DI45" s="46"/>
      <c r="DJ45" s="46"/>
      <c r="DK45" s="47">
        <f t="shared" si="13"/>
        <v>0</v>
      </c>
      <c r="DL45" s="47">
        <f t="shared" si="14"/>
        <v>0</v>
      </c>
      <c r="DM45" s="42"/>
      <c r="DN45" s="46">
        <f t="shared" si="41"/>
        <v>0</v>
      </c>
      <c r="DO45" s="46"/>
      <c r="DP45" s="46">
        <f t="shared" si="42"/>
        <v>0</v>
      </c>
      <c r="DQ45" s="46"/>
      <c r="DR45" s="46">
        <f t="shared" si="16"/>
        <v>0</v>
      </c>
      <c r="DS45" s="46"/>
      <c r="DT45" s="46">
        <f>75%*DR45</f>
        <v>0</v>
      </c>
      <c r="DU45" s="46"/>
      <c r="DV45" s="46"/>
      <c r="DW45" s="46"/>
      <c r="DX45" s="47">
        <f t="shared" si="18"/>
        <v>0</v>
      </c>
      <c r="DY45" s="46"/>
      <c r="DZ45" s="46"/>
      <c r="EA45" s="46"/>
      <c r="EB45" s="46"/>
      <c r="EC45" s="46"/>
      <c r="ED45" s="46"/>
      <c r="EE45" s="47">
        <f t="shared" si="29"/>
        <v>0</v>
      </c>
      <c r="EF45" s="46"/>
      <c r="EG45" s="46"/>
      <c r="EH45" s="46"/>
      <c r="EI45" s="46"/>
      <c r="EJ45" s="46"/>
      <c r="EK45" s="47">
        <f t="shared" si="20"/>
        <v>0</v>
      </c>
      <c r="EL45" s="46">
        <f t="shared" si="21"/>
        <v>0</v>
      </c>
      <c r="EM45" s="46"/>
      <c r="EN45" s="46">
        <f t="shared" si="22"/>
        <v>0</v>
      </c>
    </row>
    <row r="46" spans="1:144" s="48" customFormat="1" ht="15" customHeight="1" x14ac:dyDescent="0.25">
      <c r="B46" s="41">
        <v>41</v>
      </c>
      <c r="C46" s="42"/>
      <c r="D46" s="43"/>
      <c r="E46" s="42"/>
      <c r="F46" s="42"/>
      <c r="G46" s="42"/>
      <c r="H46" s="42"/>
      <c r="I46" s="42"/>
      <c r="J46" s="42"/>
      <c r="K46" s="42"/>
      <c r="L46" s="42"/>
      <c r="M46" s="42"/>
      <c r="N46" s="41"/>
      <c r="O46" s="41"/>
      <c r="P46" s="42"/>
      <c r="Q46" s="45"/>
      <c r="R46" s="45"/>
      <c r="S46" s="42"/>
      <c r="T46" s="46"/>
      <c r="U46" s="46"/>
      <c r="V46" s="42"/>
      <c r="W46" s="42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7">
        <f t="shared" si="0"/>
        <v>0</v>
      </c>
      <c r="AO46" s="47">
        <f t="shared" si="1"/>
        <v>0</v>
      </c>
      <c r="AP46" s="46" t="s">
        <v>102</v>
      </c>
      <c r="AQ46" s="46"/>
      <c r="AR46" s="46"/>
      <c r="AS46" s="46"/>
      <c r="AT46" s="46"/>
      <c r="AU46" s="47">
        <f t="shared" si="3"/>
        <v>0</v>
      </c>
      <c r="AV46" s="46"/>
      <c r="AW46" s="47">
        <f t="shared" si="4"/>
        <v>0</v>
      </c>
      <c r="AX46" s="46"/>
      <c r="AY46" s="46"/>
      <c r="AZ46" s="46"/>
      <c r="BA46" s="46"/>
      <c r="BB46" s="46"/>
      <c r="BC46" s="47">
        <f t="shared" si="5"/>
        <v>0</v>
      </c>
      <c r="BD46" s="46"/>
      <c r="BE46" s="47">
        <f t="shared" si="6"/>
        <v>0</v>
      </c>
      <c r="BF46" s="46"/>
      <c r="BG46" s="46"/>
      <c r="BH46" s="46"/>
      <c r="BI46" s="46"/>
      <c r="BJ46" s="46"/>
      <c r="BK46" s="46">
        <f t="shared" si="38"/>
        <v>0</v>
      </c>
      <c r="BL46" s="46"/>
      <c r="BM46" s="46">
        <f t="shared" si="39"/>
        <v>0</v>
      </c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7">
        <f t="shared" si="9"/>
        <v>0</v>
      </c>
      <c r="CS46" s="46"/>
      <c r="CT46" s="46"/>
      <c r="CU46" s="46"/>
      <c r="CV46" s="46"/>
      <c r="CW46" s="47">
        <f t="shared" si="10"/>
        <v>0</v>
      </c>
      <c r="CX46" s="46"/>
      <c r="CY46" s="47">
        <f t="shared" si="34"/>
        <v>0</v>
      </c>
      <c r="CZ46" s="46"/>
      <c r="DA46" s="46"/>
      <c r="DB46" s="46"/>
      <c r="DC46" s="46"/>
      <c r="DD46" s="47">
        <f t="shared" si="36"/>
        <v>0</v>
      </c>
      <c r="DE46" s="46"/>
      <c r="DF46" s="46">
        <f t="shared" si="40"/>
        <v>0</v>
      </c>
      <c r="DG46" s="46"/>
      <c r="DH46" s="46">
        <f t="shared" si="12"/>
        <v>0</v>
      </c>
      <c r="DI46" s="46"/>
      <c r="DJ46" s="46"/>
      <c r="DK46" s="64">
        <f t="shared" si="13"/>
        <v>0</v>
      </c>
      <c r="DL46" s="47">
        <f t="shared" si="14"/>
        <v>0</v>
      </c>
      <c r="DM46" s="46"/>
      <c r="DN46" s="46">
        <f t="shared" si="41"/>
        <v>0</v>
      </c>
      <c r="DO46" s="46"/>
      <c r="DP46" s="46">
        <f t="shared" si="42"/>
        <v>0</v>
      </c>
      <c r="DQ46" s="46"/>
      <c r="DR46" s="46">
        <f t="shared" si="16"/>
        <v>0</v>
      </c>
      <c r="DS46" s="46"/>
      <c r="DT46" s="46">
        <f t="shared" ref="DT46:DT54" si="43">75%*DP46</f>
        <v>0</v>
      </c>
      <c r="DU46" s="46"/>
      <c r="DV46" s="46"/>
      <c r="DW46" s="46"/>
      <c r="DX46" s="47">
        <f t="shared" si="18"/>
        <v>0</v>
      </c>
      <c r="DY46" s="46"/>
      <c r="DZ46" s="46"/>
      <c r="EA46" s="46"/>
      <c r="EB46" s="46"/>
      <c r="EC46" s="46"/>
      <c r="ED46" s="46"/>
      <c r="EE46" s="47">
        <f t="shared" si="29"/>
        <v>0</v>
      </c>
      <c r="EF46" s="46"/>
      <c r="EG46" s="46"/>
      <c r="EH46" s="46"/>
      <c r="EI46" s="46"/>
      <c r="EJ46" s="46"/>
      <c r="EK46" s="47">
        <f t="shared" si="20"/>
        <v>0</v>
      </c>
      <c r="EL46" s="46">
        <f t="shared" si="21"/>
        <v>0</v>
      </c>
      <c r="EM46" s="46"/>
      <c r="EN46" s="46">
        <f t="shared" si="22"/>
        <v>0</v>
      </c>
    </row>
    <row r="47" spans="1:144" s="48" customFormat="1" ht="15" customHeight="1" x14ac:dyDescent="0.25">
      <c r="B47" s="41">
        <v>42</v>
      </c>
      <c r="C47" s="42"/>
      <c r="D47" s="43"/>
      <c r="E47" s="42"/>
      <c r="F47" s="42"/>
      <c r="G47" s="42"/>
      <c r="H47" s="42"/>
      <c r="I47" s="42"/>
      <c r="J47" s="42"/>
      <c r="K47" s="42"/>
      <c r="L47" s="42"/>
      <c r="M47" s="42"/>
      <c r="N47" s="41"/>
      <c r="O47" s="41"/>
      <c r="P47" s="42"/>
      <c r="Q47" s="45"/>
      <c r="R47" s="45"/>
      <c r="S47" s="42"/>
      <c r="T47" s="46"/>
      <c r="U47" s="46"/>
      <c r="V47" s="42"/>
      <c r="W47" s="42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7">
        <f t="shared" si="0"/>
        <v>0</v>
      </c>
      <c r="AO47" s="47">
        <f t="shared" si="1"/>
        <v>0</v>
      </c>
      <c r="AP47" s="46" t="s">
        <v>98</v>
      </c>
      <c r="AQ47" s="46">
        <f t="shared" ref="AQ47:AQ54" si="44">18%*AO47</f>
        <v>0</v>
      </c>
      <c r="AR47" s="46"/>
      <c r="AS47" s="46"/>
      <c r="AT47" s="46"/>
      <c r="AU47" s="47">
        <f t="shared" si="3"/>
        <v>0</v>
      </c>
      <c r="AV47" s="46"/>
      <c r="AW47" s="47">
        <f t="shared" si="4"/>
        <v>0</v>
      </c>
      <c r="AX47" s="46"/>
      <c r="AY47" s="46"/>
      <c r="AZ47" s="46"/>
      <c r="BA47" s="46"/>
      <c r="BB47" s="46"/>
      <c r="BC47" s="47">
        <f t="shared" si="5"/>
        <v>0</v>
      </c>
      <c r="BD47" s="46"/>
      <c r="BE47" s="47">
        <f t="shared" si="6"/>
        <v>0</v>
      </c>
      <c r="BF47" s="46"/>
      <c r="BG47" s="46"/>
      <c r="BH47" s="46"/>
      <c r="BI47" s="46"/>
      <c r="BJ47" s="46"/>
      <c r="BK47" s="46">
        <f t="shared" si="38"/>
        <v>0</v>
      </c>
      <c r="BL47" s="46"/>
      <c r="BM47" s="46">
        <f t="shared" si="39"/>
        <v>0</v>
      </c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7">
        <f t="shared" si="9"/>
        <v>0</v>
      </c>
      <c r="CS47" s="46"/>
      <c r="CT47" s="46"/>
      <c r="CU47" s="46"/>
      <c r="CV47" s="46"/>
      <c r="CW47" s="47">
        <f t="shared" si="10"/>
        <v>0</v>
      </c>
      <c r="CX47" s="46"/>
      <c r="CY47" s="47">
        <f t="shared" si="34"/>
        <v>0</v>
      </c>
      <c r="CZ47" s="46"/>
      <c r="DA47" s="46"/>
      <c r="DB47" s="46"/>
      <c r="DC47" s="46"/>
      <c r="DD47" s="47">
        <f t="shared" si="36"/>
        <v>0</v>
      </c>
      <c r="DE47" s="46"/>
      <c r="DF47" s="46">
        <f t="shared" si="40"/>
        <v>0</v>
      </c>
      <c r="DG47" s="46"/>
      <c r="DH47" s="46">
        <f t="shared" si="12"/>
        <v>0</v>
      </c>
      <c r="DI47" s="46"/>
      <c r="DJ47" s="46"/>
      <c r="DK47" s="64">
        <f t="shared" si="13"/>
        <v>0</v>
      </c>
      <c r="DL47" s="47">
        <f t="shared" si="14"/>
        <v>0</v>
      </c>
      <c r="DM47" s="46"/>
      <c r="DN47" s="46">
        <f t="shared" si="41"/>
        <v>0</v>
      </c>
      <c r="DO47" s="46"/>
      <c r="DP47" s="46">
        <f t="shared" si="42"/>
        <v>0</v>
      </c>
      <c r="DQ47" s="46"/>
      <c r="DR47" s="46">
        <f t="shared" si="16"/>
        <v>0</v>
      </c>
      <c r="DS47" s="46"/>
      <c r="DT47" s="46">
        <f t="shared" si="43"/>
        <v>0</v>
      </c>
      <c r="DU47" s="46"/>
      <c r="DV47" s="46"/>
      <c r="DW47" s="46"/>
      <c r="DX47" s="47">
        <f t="shared" si="18"/>
        <v>0</v>
      </c>
      <c r="DY47" s="46"/>
      <c r="DZ47" s="46"/>
      <c r="EA47" s="46"/>
      <c r="EB47" s="46"/>
      <c r="EC47" s="46"/>
      <c r="ED47" s="46"/>
      <c r="EE47" s="47">
        <f t="shared" si="29"/>
        <v>0</v>
      </c>
      <c r="EF47" s="46"/>
      <c r="EG47" s="46"/>
      <c r="EH47" s="46"/>
      <c r="EI47" s="46"/>
      <c r="EJ47" s="46"/>
      <c r="EK47" s="47">
        <f t="shared" si="20"/>
        <v>0</v>
      </c>
      <c r="EL47" s="46">
        <f t="shared" si="21"/>
        <v>0</v>
      </c>
      <c r="EM47" s="46"/>
      <c r="EN47" s="46">
        <f t="shared" si="22"/>
        <v>0</v>
      </c>
    </row>
    <row r="48" spans="1:144" s="48" customFormat="1" ht="15" customHeight="1" x14ac:dyDescent="0.25">
      <c r="B48" s="41">
        <v>43</v>
      </c>
      <c r="C48" s="42"/>
      <c r="D48" s="43"/>
      <c r="E48" s="42"/>
      <c r="F48" s="42"/>
      <c r="G48" s="42"/>
      <c r="H48" s="42"/>
      <c r="I48" s="42"/>
      <c r="J48" s="42"/>
      <c r="K48" s="42"/>
      <c r="L48" s="42"/>
      <c r="M48" s="42"/>
      <c r="N48" s="41"/>
      <c r="O48" s="41"/>
      <c r="P48" s="42"/>
      <c r="Q48" s="45"/>
      <c r="R48" s="45"/>
      <c r="S48" s="42"/>
      <c r="T48" s="46"/>
      <c r="U48" s="46"/>
      <c r="V48" s="42"/>
      <c r="W48" s="42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7">
        <f t="shared" si="0"/>
        <v>0</v>
      </c>
      <c r="AO48" s="47">
        <f t="shared" si="1"/>
        <v>0</v>
      </c>
      <c r="AP48" s="46" t="s">
        <v>98</v>
      </c>
      <c r="AQ48" s="46">
        <f t="shared" si="44"/>
        <v>0</v>
      </c>
      <c r="AR48" s="46"/>
      <c r="AS48" s="46"/>
      <c r="AT48" s="46"/>
      <c r="AU48" s="47">
        <f t="shared" si="3"/>
        <v>0</v>
      </c>
      <c r="AV48" s="46"/>
      <c r="AW48" s="47">
        <f t="shared" si="4"/>
        <v>0</v>
      </c>
      <c r="AX48" s="46"/>
      <c r="AY48" s="46"/>
      <c r="AZ48" s="46"/>
      <c r="BA48" s="46"/>
      <c r="BB48" s="46"/>
      <c r="BC48" s="47">
        <f t="shared" si="5"/>
        <v>0</v>
      </c>
      <c r="BD48" s="46"/>
      <c r="BE48" s="47">
        <f t="shared" si="6"/>
        <v>0</v>
      </c>
      <c r="BF48" s="46"/>
      <c r="BG48" s="46"/>
      <c r="BH48" s="46"/>
      <c r="BI48" s="46"/>
      <c r="BJ48" s="46"/>
      <c r="BK48" s="46">
        <f t="shared" si="38"/>
        <v>0</v>
      </c>
      <c r="BL48" s="46"/>
      <c r="BM48" s="46">
        <f t="shared" si="39"/>
        <v>0</v>
      </c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7">
        <f t="shared" si="9"/>
        <v>0</v>
      </c>
      <c r="CS48" s="46"/>
      <c r="CT48" s="46"/>
      <c r="CU48" s="46"/>
      <c r="CV48" s="46"/>
      <c r="CW48" s="47">
        <f t="shared" si="10"/>
        <v>0</v>
      </c>
      <c r="CX48" s="46"/>
      <c r="CY48" s="47">
        <f t="shared" si="34"/>
        <v>0</v>
      </c>
      <c r="CZ48" s="46"/>
      <c r="DA48" s="46"/>
      <c r="DB48" s="46"/>
      <c r="DC48" s="46"/>
      <c r="DD48" s="47">
        <f t="shared" si="36"/>
        <v>0</v>
      </c>
      <c r="DE48" s="46"/>
      <c r="DF48" s="46">
        <f t="shared" si="40"/>
        <v>0</v>
      </c>
      <c r="DG48" s="46"/>
      <c r="DH48" s="46">
        <f t="shared" si="12"/>
        <v>0</v>
      </c>
      <c r="DI48" s="46"/>
      <c r="DJ48" s="46"/>
      <c r="DK48" s="64">
        <f t="shared" si="13"/>
        <v>0</v>
      </c>
      <c r="DL48" s="47">
        <f t="shared" si="14"/>
        <v>0</v>
      </c>
      <c r="DM48" s="46"/>
      <c r="DN48" s="46">
        <f t="shared" si="41"/>
        <v>0</v>
      </c>
      <c r="DO48" s="46"/>
      <c r="DP48" s="46">
        <f t="shared" si="42"/>
        <v>0</v>
      </c>
      <c r="DQ48" s="46"/>
      <c r="DR48" s="46">
        <f t="shared" si="16"/>
        <v>0</v>
      </c>
      <c r="DS48" s="46"/>
      <c r="DT48" s="46">
        <f t="shared" si="43"/>
        <v>0</v>
      </c>
      <c r="DU48" s="46"/>
      <c r="DV48" s="46"/>
      <c r="DW48" s="46"/>
      <c r="DX48" s="47">
        <f t="shared" si="18"/>
        <v>0</v>
      </c>
      <c r="DY48" s="46"/>
      <c r="DZ48" s="46"/>
      <c r="EA48" s="46"/>
      <c r="EB48" s="46"/>
      <c r="EC48" s="46"/>
      <c r="ED48" s="46"/>
      <c r="EE48" s="47">
        <f t="shared" si="29"/>
        <v>0</v>
      </c>
      <c r="EF48" s="46"/>
      <c r="EG48" s="46"/>
      <c r="EH48" s="46"/>
      <c r="EI48" s="46"/>
      <c r="EJ48" s="46"/>
      <c r="EK48" s="47">
        <f t="shared" si="20"/>
        <v>0</v>
      </c>
      <c r="EL48" s="46">
        <f t="shared" si="21"/>
        <v>0</v>
      </c>
      <c r="EM48" s="46"/>
      <c r="EN48" s="46">
        <f t="shared" si="22"/>
        <v>0</v>
      </c>
    </row>
    <row r="49" spans="2:144" s="48" customFormat="1" ht="15" customHeight="1" x14ac:dyDescent="0.25">
      <c r="B49" s="41">
        <v>44</v>
      </c>
      <c r="C49" s="42"/>
      <c r="D49" s="43"/>
      <c r="E49" s="42"/>
      <c r="F49" s="42"/>
      <c r="G49" s="42"/>
      <c r="H49" s="42"/>
      <c r="I49" s="42"/>
      <c r="J49" s="42"/>
      <c r="K49" s="42"/>
      <c r="L49" s="42"/>
      <c r="M49" s="42"/>
      <c r="N49" s="41"/>
      <c r="O49" s="41"/>
      <c r="P49" s="42"/>
      <c r="Q49" s="45"/>
      <c r="R49" s="45"/>
      <c r="S49" s="42"/>
      <c r="T49" s="46"/>
      <c r="U49" s="46"/>
      <c r="V49" s="42"/>
      <c r="W49" s="42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7">
        <f t="shared" si="0"/>
        <v>0</v>
      </c>
      <c r="AO49" s="47">
        <f t="shared" si="1"/>
        <v>0</v>
      </c>
      <c r="AP49" s="46" t="s">
        <v>98</v>
      </c>
      <c r="AQ49" s="46">
        <f t="shared" si="44"/>
        <v>0</v>
      </c>
      <c r="AR49" s="46"/>
      <c r="AS49" s="46"/>
      <c r="AT49" s="46"/>
      <c r="AU49" s="47">
        <f t="shared" si="3"/>
        <v>0</v>
      </c>
      <c r="AV49" s="46"/>
      <c r="AW49" s="47">
        <f t="shared" si="4"/>
        <v>0</v>
      </c>
      <c r="AX49" s="46"/>
      <c r="AY49" s="46"/>
      <c r="AZ49" s="46"/>
      <c r="BA49" s="46"/>
      <c r="BB49" s="46"/>
      <c r="BC49" s="47">
        <f t="shared" si="5"/>
        <v>0</v>
      </c>
      <c r="BD49" s="46"/>
      <c r="BE49" s="47">
        <f t="shared" si="6"/>
        <v>0</v>
      </c>
      <c r="BF49" s="46"/>
      <c r="BG49" s="46"/>
      <c r="BH49" s="46"/>
      <c r="BI49" s="46"/>
      <c r="BJ49" s="46"/>
      <c r="BK49" s="46">
        <f t="shared" si="38"/>
        <v>0</v>
      </c>
      <c r="BL49" s="46"/>
      <c r="BM49" s="46">
        <f t="shared" si="39"/>
        <v>0</v>
      </c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7">
        <f t="shared" si="9"/>
        <v>0</v>
      </c>
      <c r="CS49" s="46"/>
      <c r="CT49" s="46"/>
      <c r="CU49" s="46"/>
      <c r="CV49" s="46"/>
      <c r="CW49" s="47">
        <f t="shared" si="10"/>
        <v>0</v>
      </c>
      <c r="CX49" s="46"/>
      <c r="CY49" s="47">
        <f t="shared" si="34"/>
        <v>0</v>
      </c>
      <c r="CZ49" s="46"/>
      <c r="DA49" s="46"/>
      <c r="DB49" s="46"/>
      <c r="DC49" s="46"/>
      <c r="DD49" s="47">
        <f t="shared" si="36"/>
        <v>0</v>
      </c>
      <c r="DE49" s="46"/>
      <c r="DF49" s="46">
        <f t="shared" si="40"/>
        <v>0</v>
      </c>
      <c r="DG49" s="46"/>
      <c r="DH49" s="46">
        <f t="shared" si="12"/>
        <v>0</v>
      </c>
      <c r="DI49" s="46"/>
      <c r="DJ49" s="46"/>
      <c r="DK49" s="64">
        <f t="shared" si="13"/>
        <v>0</v>
      </c>
      <c r="DL49" s="47">
        <f t="shared" si="14"/>
        <v>0</v>
      </c>
      <c r="DM49" s="46"/>
      <c r="DN49" s="46">
        <f t="shared" si="41"/>
        <v>0</v>
      </c>
      <c r="DO49" s="46"/>
      <c r="DP49" s="46">
        <f t="shared" si="42"/>
        <v>0</v>
      </c>
      <c r="DQ49" s="46"/>
      <c r="DR49" s="46">
        <f t="shared" si="16"/>
        <v>0</v>
      </c>
      <c r="DS49" s="46"/>
      <c r="DT49" s="46">
        <f t="shared" si="43"/>
        <v>0</v>
      </c>
      <c r="DU49" s="46"/>
      <c r="DV49" s="46"/>
      <c r="DW49" s="46"/>
      <c r="DX49" s="47">
        <f t="shared" si="18"/>
        <v>0</v>
      </c>
      <c r="DY49" s="46"/>
      <c r="DZ49" s="46"/>
      <c r="EA49" s="46"/>
      <c r="EB49" s="46"/>
      <c r="EC49" s="46"/>
      <c r="ED49" s="46"/>
      <c r="EE49" s="47">
        <f t="shared" si="29"/>
        <v>0</v>
      </c>
      <c r="EF49" s="46"/>
      <c r="EG49" s="46"/>
      <c r="EH49" s="46"/>
      <c r="EI49" s="46"/>
      <c r="EJ49" s="46"/>
      <c r="EK49" s="47">
        <f t="shared" si="20"/>
        <v>0</v>
      </c>
      <c r="EL49" s="46">
        <f t="shared" si="21"/>
        <v>0</v>
      </c>
      <c r="EM49" s="46"/>
      <c r="EN49" s="46">
        <f t="shared" si="22"/>
        <v>0</v>
      </c>
    </row>
    <row r="50" spans="2:144" s="48" customFormat="1" ht="15" customHeight="1" x14ac:dyDescent="0.25">
      <c r="B50" s="41">
        <v>45</v>
      </c>
      <c r="C50" s="42"/>
      <c r="D50" s="43"/>
      <c r="E50" s="42"/>
      <c r="F50" s="42"/>
      <c r="G50" s="42"/>
      <c r="H50" s="42"/>
      <c r="I50" s="42"/>
      <c r="J50" s="42"/>
      <c r="K50" s="42"/>
      <c r="L50" s="42"/>
      <c r="M50" s="42"/>
      <c r="N50" s="41"/>
      <c r="O50" s="41"/>
      <c r="P50" s="42"/>
      <c r="Q50" s="45"/>
      <c r="R50" s="45"/>
      <c r="S50" s="42"/>
      <c r="T50" s="46"/>
      <c r="U50" s="46"/>
      <c r="V50" s="42"/>
      <c r="W50" s="42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7">
        <f t="shared" si="0"/>
        <v>0</v>
      </c>
      <c r="AO50" s="47">
        <f t="shared" si="1"/>
        <v>0</v>
      </c>
      <c r="AP50" s="46" t="s">
        <v>98</v>
      </c>
      <c r="AQ50" s="46">
        <f t="shared" si="44"/>
        <v>0</v>
      </c>
      <c r="AR50" s="46"/>
      <c r="AS50" s="46"/>
      <c r="AT50" s="46"/>
      <c r="AU50" s="47">
        <f t="shared" si="3"/>
        <v>0</v>
      </c>
      <c r="AV50" s="46"/>
      <c r="AW50" s="47">
        <f t="shared" si="4"/>
        <v>0</v>
      </c>
      <c r="AX50" s="46"/>
      <c r="AY50" s="46"/>
      <c r="AZ50" s="46"/>
      <c r="BA50" s="46"/>
      <c r="BB50" s="46"/>
      <c r="BC50" s="47">
        <f t="shared" si="5"/>
        <v>0</v>
      </c>
      <c r="BD50" s="46"/>
      <c r="BE50" s="47">
        <f t="shared" si="6"/>
        <v>0</v>
      </c>
      <c r="BF50" s="46"/>
      <c r="BG50" s="46"/>
      <c r="BH50" s="46"/>
      <c r="BI50" s="46"/>
      <c r="BJ50" s="46"/>
      <c r="BK50" s="46">
        <f t="shared" si="38"/>
        <v>0</v>
      </c>
      <c r="BL50" s="46"/>
      <c r="BM50" s="46">
        <f t="shared" si="39"/>
        <v>0</v>
      </c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7">
        <f t="shared" si="9"/>
        <v>0</v>
      </c>
      <c r="CS50" s="46"/>
      <c r="CT50" s="46"/>
      <c r="CU50" s="46"/>
      <c r="CV50" s="46"/>
      <c r="CW50" s="47">
        <f t="shared" si="10"/>
        <v>0</v>
      </c>
      <c r="CX50" s="46"/>
      <c r="CY50" s="47">
        <f t="shared" si="34"/>
        <v>0</v>
      </c>
      <c r="CZ50" s="46"/>
      <c r="DA50" s="46"/>
      <c r="DB50" s="46"/>
      <c r="DC50" s="46"/>
      <c r="DD50" s="47">
        <f t="shared" si="36"/>
        <v>0</v>
      </c>
      <c r="DE50" s="46"/>
      <c r="DF50" s="46">
        <f t="shared" si="40"/>
        <v>0</v>
      </c>
      <c r="DG50" s="46"/>
      <c r="DH50" s="46">
        <f t="shared" si="12"/>
        <v>0</v>
      </c>
      <c r="DI50" s="46"/>
      <c r="DJ50" s="46"/>
      <c r="DK50" s="64">
        <f t="shared" si="13"/>
        <v>0</v>
      </c>
      <c r="DL50" s="47">
        <f t="shared" si="14"/>
        <v>0</v>
      </c>
      <c r="DM50" s="46"/>
      <c r="DN50" s="46">
        <f t="shared" si="41"/>
        <v>0</v>
      </c>
      <c r="DO50" s="46"/>
      <c r="DP50" s="46">
        <f t="shared" si="42"/>
        <v>0</v>
      </c>
      <c r="DQ50" s="46"/>
      <c r="DR50" s="46">
        <f t="shared" si="16"/>
        <v>0</v>
      </c>
      <c r="DS50" s="46"/>
      <c r="DT50" s="46">
        <f t="shared" si="43"/>
        <v>0</v>
      </c>
      <c r="DU50" s="46"/>
      <c r="DV50" s="46"/>
      <c r="DW50" s="46"/>
      <c r="DX50" s="47">
        <f t="shared" si="18"/>
        <v>0</v>
      </c>
      <c r="DY50" s="46"/>
      <c r="DZ50" s="46"/>
      <c r="EA50" s="46"/>
      <c r="EB50" s="46"/>
      <c r="EC50" s="46"/>
      <c r="ED50" s="46"/>
      <c r="EE50" s="47">
        <f t="shared" si="29"/>
        <v>0</v>
      </c>
      <c r="EF50" s="46"/>
      <c r="EG50" s="46"/>
      <c r="EH50" s="46"/>
      <c r="EI50" s="46"/>
      <c r="EJ50" s="46"/>
      <c r="EK50" s="47">
        <f t="shared" si="20"/>
        <v>0</v>
      </c>
      <c r="EL50" s="46">
        <f t="shared" si="21"/>
        <v>0</v>
      </c>
      <c r="EM50" s="46"/>
      <c r="EN50" s="46">
        <f t="shared" si="22"/>
        <v>0</v>
      </c>
    </row>
    <row r="51" spans="2:144" s="48" customFormat="1" ht="15" customHeight="1" x14ac:dyDescent="0.25">
      <c r="B51" s="41">
        <v>46</v>
      </c>
      <c r="C51" s="42"/>
      <c r="D51" s="43"/>
      <c r="E51" s="42"/>
      <c r="F51" s="42"/>
      <c r="G51" s="42"/>
      <c r="H51" s="42"/>
      <c r="I51" s="42"/>
      <c r="J51" s="42"/>
      <c r="K51" s="42"/>
      <c r="L51" s="42"/>
      <c r="M51" s="42"/>
      <c r="N51" s="41"/>
      <c r="O51" s="41"/>
      <c r="P51" s="42"/>
      <c r="Q51" s="45"/>
      <c r="R51" s="45"/>
      <c r="S51" s="42"/>
      <c r="T51" s="46"/>
      <c r="U51" s="46"/>
      <c r="V51" s="42"/>
      <c r="W51" s="42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7">
        <f t="shared" si="0"/>
        <v>0</v>
      </c>
      <c r="AO51" s="47">
        <f t="shared" si="1"/>
        <v>0</v>
      </c>
      <c r="AP51" s="46" t="s">
        <v>98</v>
      </c>
      <c r="AQ51" s="46">
        <f t="shared" si="44"/>
        <v>0</v>
      </c>
      <c r="AR51" s="46"/>
      <c r="AS51" s="46"/>
      <c r="AT51" s="46"/>
      <c r="AU51" s="47">
        <f t="shared" si="3"/>
        <v>0</v>
      </c>
      <c r="AV51" s="46"/>
      <c r="AW51" s="47">
        <f t="shared" si="4"/>
        <v>0</v>
      </c>
      <c r="AX51" s="46"/>
      <c r="AY51" s="46"/>
      <c r="AZ51" s="46"/>
      <c r="BA51" s="46"/>
      <c r="BB51" s="46"/>
      <c r="BC51" s="47">
        <f t="shared" si="5"/>
        <v>0</v>
      </c>
      <c r="BD51" s="46"/>
      <c r="BE51" s="47">
        <f t="shared" si="6"/>
        <v>0</v>
      </c>
      <c r="BF51" s="46"/>
      <c r="BG51" s="46"/>
      <c r="BH51" s="46"/>
      <c r="BI51" s="46"/>
      <c r="BJ51" s="46"/>
      <c r="BK51" s="46">
        <f t="shared" si="38"/>
        <v>0</v>
      </c>
      <c r="BL51" s="46"/>
      <c r="BM51" s="46">
        <f t="shared" si="39"/>
        <v>0</v>
      </c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7">
        <f t="shared" si="9"/>
        <v>0</v>
      </c>
      <c r="CS51" s="46"/>
      <c r="CT51" s="46"/>
      <c r="CU51" s="46"/>
      <c r="CV51" s="46"/>
      <c r="CW51" s="47">
        <f t="shared" si="10"/>
        <v>0</v>
      </c>
      <c r="CX51" s="46"/>
      <c r="CY51" s="47">
        <f t="shared" si="34"/>
        <v>0</v>
      </c>
      <c r="CZ51" s="46"/>
      <c r="DA51" s="46"/>
      <c r="DB51" s="46"/>
      <c r="DC51" s="46"/>
      <c r="DD51" s="47">
        <f t="shared" si="36"/>
        <v>0</v>
      </c>
      <c r="DE51" s="46"/>
      <c r="DF51" s="46">
        <f t="shared" si="40"/>
        <v>0</v>
      </c>
      <c r="DG51" s="46"/>
      <c r="DH51" s="46">
        <f t="shared" si="12"/>
        <v>0</v>
      </c>
      <c r="DI51" s="46"/>
      <c r="DJ51" s="46"/>
      <c r="DK51" s="64">
        <f t="shared" si="13"/>
        <v>0</v>
      </c>
      <c r="DL51" s="47">
        <f t="shared" si="14"/>
        <v>0</v>
      </c>
      <c r="DM51" s="46"/>
      <c r="DN51" s="46">
        <f t="shared" si="41"/>
        <v>0</v>
      </c>
      <c r="DO51" s="46"/>
      <c r="DP51" s="46">
        <f t="shared" si="42"/>
        <v>0</v>
      </c>
      <c r="DQ51" s="46"/>
      <c r="DR51" s="46">
        <f t="shared" si="16"/>
        <v>0</v>
      </c>
      <c r="DS51" s="46"/>
      <c r="DT51" s="46">
        <f t="shared" si="43"/>
        <v>0</v>
      </c>
      <c r="DU51" s="46"/>
      <c r="DV51" s="46"/>
      <c r="DW51" s="46"/>
      <c r="DX51" s="47">
        <f t="shared" si="18"/>
        <v>0</v>
      </c>
      <c r="DY51" s="46"/>
      <c r="DZ51" s="46"/>
      <c r="EA51" s="46"/>
      <c r="EB51" s="46"/>
      <c r="EC51" s="46"/>
      <c r="ED51" s="46"/>
      <c r="EE51" s="47">
        <f t="shared" si="29"/>
        <v>0</v>
      </c>
      <c r="EF51" s="46"/>
      <c r="EG51" s="46"/>
      <c r="EH51" s="46"/>
      <c r="EI51" s="46"/>
      <c r="EJ51" s="46"/>
      <c r="EK51" s="47">
        <f t="shared" si="20"/>
        <v>0</v>
      </c>
      <c r="EL51" s="46">
        <f t="shared" si="21"/>
        <v>0</v>
      </c>
      <c r="EM51" s="46"/>
      <c r="EN51" s="46">
        <f t="shared" si="22"/>
        <v>0</v>
      </c>
    </row>
    <row r="52" spans="2:144" s="48" customFormat="1" ht="15" customHeight="1" x14ac:dyDescent="0.25">
      <c r="B52" s="41">
        <v>47</v>
      </c>
      <c r="C52" s="42"/>
      <c r="D52" s="43"/>
      <c r="E52" s="42"/>
      <c r="F52" s="42"/>
      <c r="G52" s="42"/>
      <c r="H52" s="42"/>
      <c r="I52" s="42"/>
      <c r="J52" s="42"/>
      <c r="K52" s="42"/>
      <c r="L52" s="42"/>
      <c r="M52" s="42"/>
      <c r="N52" s="41"/>
      <c r="O52" s="41"/>
      <c r="P52" s="42"/>
      <c r="Q52" s="45"/>
      <c r="R52" s="45"/>
      <c r="S52" s="42"/>
      <c r="T52" s="46"/>
      <c r="U52" s="46"/>
      <c r="V52" s="42"/>
      <c r="W52" s="42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7">
        <f t="shared" si="0"/>
        <v>0</v>
      </c>
      <c r="AO52" s="47">
        <f t="shared" si="1"/>
        <v>0</v>
      </c>
      <c r="AP52" s="46" t="s">
        <v>98</v>
      </c>
      <c r="AQ52" s="46">
        <f t="shared" si="44"/>
        <v>0</v>
      </c>
      <c r="AR52" s="46"/>
      <c r="AS52" s="46"/>
      <c r="AT52" s="46"/>
      <c r="AU52" s="47">
        <f t="shared" si="3"/>
        <v>0</v>
      </c>
      <c r="AV52" s="46"/>
      <c r="AW52" s="47">
        <f t="shared" si="4"/>
        <v>0</v>
      </c>
      <c r="AX52" s="46"/>
      <c r="AY52" s="46"/>
      <c r="AZ52" s="46"/>
      <c r="BA52" s="46"/>
      <c r="BB52" s="46"/>
      <c r="BC52" s="47">
        <f t="shared" si="5"/>
        <v>0</v>
      </c>
      <c r="BD52" s="46"/>
      <c r="BE52" s="47">
        <f t="shared" si="6"/>
        <v>0</v>
      </c>
      <c r="BF52" s="46"/>
      <c r="BG52" s="46"/>
      <c r="BH52" s="46"/>
      <c r="BI52" s="46"/>
      <c r="BJ52" s="46"/>
      <c r="BK52" s="46">
        <f t="shared" si="38"/>
        <v>0</v>
      </c>
      <c r="BL52" s="46"/>
      <c r="BM52" s="46">
        <f t="shared" si="39"/>
        <v>0</v>
      </c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7">
        <f t="shared" si="9"/>
        <v>0</v>
      </c>
      <c r="CS52" s="46"/>
      <c r="CT52" s="46"/>
      <c r="CU52" s="46"/>
      <c r="CV52" s="46"/>
      <c r="CW52" s="47">
        <f t="shared" si="10"/>
        <v>0</v>
      </c>
      <c r="CX52" s="46"/>
      <c r="CY52" s="47">
        <f t="shared" si="34"/>
        <v>0</v>
      </c>
      <c r="CZ52" s="46"/>
      <c r="DA52" s="46"/>
      <c r="DB52" s="46"/>
      <c r="DC52" s="46"/>
      <c r="DD52" s="47">
        <f t="shared" si="36"/>
        <v>0</v>
      </c>
      <c r="DE52" s="46"/>
      <c r="DF52" s="46">
        <f t="shared" si="40"/>
        <v>0</v>
      </c>
      <c r="DG52" s="46"/>
      <c r="DH52" s="46">
        <f t="shared" si="12"/>
        <v>0</v>
      </c>
      <c r="DI52" s="46"/>
      <c r="DJ52" s="46"/>
      <c r="DK52" s="64">
        <f t="shared" si="13"/>
        <v>0</v>
      </c>
      <c r="DL52" s="47">
        <f t="shared" si="14"/>
        <v>0</v>
      </c>
      <c r="DM52" s="46"/>
      <c r="DN52" s="46">
        <f t="shared" si="41"/>
        <v>0</v>
      </c>
      <c r="DO52" s="46"/>
      <c r="DP52" s="46">
        <f t="shared" si="42"/>
        <v>0</v>
      </c>
      <c r="DQ52" s="46"/>
      <c r="DR52" s="46">
        <f t="shared" si="16"/>
        <v>0</v>
      </c>
      <c r="DS52" s="46"/>
      <c r="DT52" s="46">
        <f t="shared" si="43"/>
        <v>0</v>
      </c>
      <c r="DU52" s="46"/>
      <c r="DV52" s="46"/>
      <c r="DW52" s="46"/>
      <c r="DX52" s="47">
        <f t="shared" si="18"/>
        <v>0</v>
      </c>
      <c r="DY52" s="46"/>
      <c r="DZ52" s="46"/>
      <c r="EA52" s="46"/>
      <c r="EB52" s="46"/>
      <c r="EC52" s="46"/>
      <c r="ED52" s="46"/>
      <c r="EE52" s="47">
        <f t="shared" si="29"/>
        <v>0</v>
      </c>
      <c r="EF52" s="46"/>
      <c r="EG52" s="46"/>
      <c r="EH52" s="46"/>
      <c r="EI52" s="46"/>
      <c r="EJ52" s="46"/>
      <c r="EK52" s="47">
        <f t="shared" si="20"/>
        <v>0</v>
      </c>
      <c r="EL52" s="46">
        <f t="shared" si="21"/>
        <v>0</v>
      </c>
      <c r="EM52" s="46"/>
      <c r="EN52" s="46">
        <f t="shared" si="22"/>
        <v>0</v>
      </c>
    </row>
    <row r="53" spans="2:144" s="48" customFormat="1" ht="15" customHeight="1" x14ac:dyDescent="0.25">
      <c r="B53" s="41">
        <v>48</v>
      </c>
      <c r="C53" s="42"/>
      <c r="D53" s="43"/>
      <c r="E53" s="42"/>
      <c r="F53" s="42"/>
      <c r="G53" s="42"/>
      <c r="H53" s="42"/>
      <c r="I53" s="42"/>
      <c r="J53" s="42"/>
      <c r="K53" s="42"/>
      <c r="L53" s="42"/>
      <c r="M53" s="42"/>
      <c r="N53" s="66"/>
      <c r="O53" s="66"/>
      <c r="P53" s="42"/>
      <c r="Q53" s="45"/>
      <c r="R53" s="45"/>
      <c r="S53" s="42"/>
      <c r="T53" s="46"/>
      <c r="U53" s="46"/>
      <c r="V53" s="42"/>
      <c r="W53" s="42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7">
        <f t="shared" si="0"/>
        <v>0</v>
      </c>
      <c r="AO53" s="47">
        <f t="shared" si="1"/>
        <v>0</v>
      </c>
      <c r="AP53" s="46" t="s">
        <v>98</v>
      </c>
      <c r="AQ53" s="46">
        <f t="shared" si="44"/>
        <v>0</v>
      </c>
      <c r="AR53" s="46"/>
      <c r="AS53" s="46"/>
      <c r="AT53" s="46"/>
      <c r="AU53" s="47">
        <f t="shared" si="3"/>
        <v>0</v>
      </c>
      <c r="AV53" s="46"/>
      <c r="AW53" s="47">
        <f t="shared" si="4"/>
        <v>0</v>
      </c>
      <c r="AX53" s="46"/>
      <c r="AY53" s="46"/>
      <c r="AZ53" s="46"/>
      <c r="BA53" s="46"/>
      <c r="BB53" s="46"/>
      <c r="BC53" s="47">
        <f t="shared" si="5"/>
        <v>0</v>
      </c>
      <c r="BD53" s="46"/>
      <c r="BE53" s="47">
        <f t="shared" si="6"/>
        <v>0</v>
      </c>
      <c r="BF53" s="46"/>
      <c r="BG53" s="46"/>
      <c r="BH53" s="46"/>
      <c r="BI53" s="46"/>
      <c r="BJ53" s="46"/>
      <c r="BK53" s="46">
        <f t="shared" si="38"/>
        <v>0</v>
      </c>
      <c r="BL53" s="46"/>
      <c r="BM53" s="46">
        <f t="shared" si="39"/>
        <v>0</v>
      </c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7">
        <f t="shared" si="9"/>
        <v>0</v>
      </c>
      <c r="CS53" s="46"/>
      <c r="CT53" s="46"/>
      <c r="CU53" s="46"/>
      <c r="CV53" s="46"/>
      <c r="CW53" s="47">
        <f t="shared" si="10"/>
        <v>0</v>
      </c>
      <c r="CX53" s="46"/>
      <c r="CY53" s="47">
        <f t="shared" si="34"/>
        <v>0</v>
      </c>
      <c r="CZ53" s="46"/>
      <c r="DA53" s="46"/>
      <c r="DB53" s="46"/>
      <c r="DC53" s="46"/>
      <c r="DD53" s="47">
        <f t="shared" si="36"/>
        <v>0</v>
      </c>
      <c r="DE53" s="46"/>
      <c r="DF53" s="46">
        <f t="shared" si="40"/>
        <v>0</v>
      </c>
      <c r="DG53" s="46"/>
      <c r="DH53" s="46">
        <f t="shared" si="12"/>
        <v>0</v>
      </c>
      <c r="DI53" s="46"/>
      <c r="DJ53" s="46"/>
      <c r="DK53" s="64">
        <f t="shared" si="13"/>
        <v>0</v>
      </c>
      <c r="DL53" s="47">
        <f t="shared" si="14"/>
        <v>0</v>
      </c>
      <c r="DM53" s="46"/>
      <c r="DN53" s="46">
        <f t="shared" si="41"/>
        <v>0</v>
      </c>
      <c r="DO53" s="46"/>
      <c r="DP53" s="46">
        <f t="shared" si="42"/>
        <v>0</v>
      </c>
      <c r="DQ53" s="46"/>
      <c r="DR53" s="46">
        <f t="shared" si="16"/>
        <v>0</v>
      </c>
      <c r="DS53" s="46"/>
      <c r="DT53" s="46">
        <f t="shared" si="43"/>
        <v>0</v>
      </c>
      <c r="DU53" s="46"/>
      <c r="DV53" s="46"/>
      <c r="DW53" s="46"/>
      <c r="DX53" s="47">
        <f t="shared" si="18"/>
        <v>0</v>
      </c>
      <c r="DY53" s="46"/>
      <c r="DZ53" s="46"/>
      <c r="EA53" s="46"/>
      <c r="EB53" s="46"/>
      <c r="EC53" s="46"/>
      <c r="ED53" s="46"/>
      <c r="EE53" s="47">
        <f t="shared" si="29"/>
        <v>0</v>
      </c>
      <c r="EF53" s="46"/>
      <c r="EG53" s="46"/>
      <c r="EH53" s="46"/>
      <c r="EI53" s="46"/>
      <c r="EJ53" s="46"/>
      <c r="EK53" s="47">
        <f t="shared" si="20"/>
        <v>0</v>
      </c>
      <c r="EL53" s="46">
        <f t="shared" si="21"/>
        <v>0</v>
      </c>
      <c r="EM53" s="46"/>
      <c r="EN53" s="46">
        <f t="shared" si="22"/>
        <v>0</v>
      </c>
    </row>
    <row r="54" spans="2:144" s="48" customFormat="1" ht="15" customHeight="1" x14ac:dyDescent="0.25">
      <c r="B54" s="41">
        <v>49</v>
      </c>
      <c r="C54" s="42"/>
      <c r="D54" s="43"/>
      <c r="E54" s="42"/>
      <c r="F54" s="42"/>
      <c r="G54" s="42"/>
      <c r="H54" s="42"/>
      <c r="I54" s="42"/>
      <c r="J54" s="42"/>
      <c r="K54" s="42"/>
      <c r="L54" s="42"/>
      <c r="M54" s="42"/>
      <c r="N54" s="41"/>
      <c r="O54" s="41"/>
      <c r="P54" s="42"/>
      <c r="Q54" s="45"/>
      <c r="R54" s="45"/>
      <c r="S54" s="42"/>
      <c r="T54" s="46"/>
      <c r="U54" s="46"/>
      <c r="V54" s="42"/>
      <c r="W54" s="42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7">
        <f t="shared" si="0"/>
        <v>0</v>
      </c>
      <c r="AO54" s="47">
        <f t="shared" si="1"/>
        <v>0</v>
      </c>
      <c r="AP54" s="46" t="s">
        <v>98</v>
      </c>
      <c r="AQ54" s="46">
        <f t="shared" si="44"/>
        <v>0</v>
      </c>
      <c r="AR54" s="46"/>
      <c r="AS54" s="46"/>
      <c r="AT54" s="46"/>
      <c r="AU54" s="47">
        <f t="shared" si="3"/>
        <v>0</v>
      </c>
      <c r="AV54" s="46"/>
      <c r="AW54" s="47">
        <f t="shared" si="4"/>
        <v>0</v>
      </c>
      <c r="AX54" s="46"/>
      <c r="AY54" s="46"/>
      <c r="AZ54" s="46"/>
      <c r="BA54" s="46"/>
      <c r="BB54" s="46"/>
      <c r="BC54" s="47">
        <f t="shared" si="5"/>
        <v>0</v>
      </c>
      <c r="BD54" s="46"/>
      <c r="BE54" s="47">
        <f t="shared" si="6"/>
        <v>0</v>
      </c>
      <c r="BF54" s="46"/>
      <c r="BG54" s="46"/>
      <c r="BH54" s="46"/>
      <c r="BI54" s="46"/>
      <c r="BJ54" s="46"/>
      <c r="BK54" s="46">
        <f t="shared" si="38"/>
        <v>0</v>
      </c>
      <c r="BL54" s="46"/>
      <c r="BM54" s="46">
        <f t="shared" si="39"/>
        <v>0</v>
      </c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7">
        <f t="shared" si="9"/>
        <v>0</v>
      </c>
      <c r="CS54" s="46"/>
      <c r="CT54" s="46"/>
      <c r="CU54" s="46"/>
      <c r="CV54" s="46"/>
      <c r="CW54" s="47">
        <f t="shared" si="10"/>
        <v>0</v>
      </c>
      <c r="CX54" s="46"/>
      <c r="CY54" s="47">
        <f t="shared" si="34"/>
        <v>0</v>
      </c>
      <c r="CZ54" s="46"/>
      <c r="DA54" s="46"/>
      <c r="DB54" s="46"/>
      <c r="DC54" s="46"/>
      <c r="DD54" s="47">
        <f t="shared" si="36"/>
        <v>0</v>
      </c>
      <c r="DE54" s="46"/>
      <c r="DF54" s="46">
        <f t="shared" si="40"/>
        <v>0</v>
      </c>
      <c r="DG54" s="46"/>
      <c r="DH54" s="46">
        <f t="shared" si="12"/>
        <v>0</v>
      </c>
      <c r="DI54" s="46"/>
      <c r="DJ54" s="46"/>
      <c r="DK54" s="64">
        <f t="shared" si="13"/>
        <v>0</v>
      </c>
      <c r="DL54" s="47">
        <f t="shared" si="14"/>
        <v>0</v>
      </c>
      <c r="DM54" s="46"/>
      <c r="DN54" s="46">
        <f t="shared" si="41"/>
        <v>0</v>
      </c>
      <c r="DO54" s="46"/>
      <c r="DP54" s="46">
        <f t="shared" si="42"/>
        <v>0</v>
      </c>
      <c r="DQ54" s="46"/>
      <c r="DR54" s="46">
        <f t="shared" si="16"/>
        <v>0</v>
      </c>
      <c r="DS54" s="46"/>
      <c r="DT54" s="46">
        <f t="shared" si="43"/>
        <v>0</v>
      </c>
      <c r="DU54" s="46"/>
      <c r="DV54" s="46"/>
      <c r="DW54" s="46"/>
      <c r="DX54" s="47">
        <f t="shared" si="18"/>
        <v>0</v>
      </c>
      <c r="DY54" s="46"/>
      <c r="DZ54" s="46"/>
      <c r="EA54" s="46"/>
      <c r="EB54" s="46"/>
      <c r="EC54" s="46"/>
      <c r="ED54" s="46"/>
      <c r="EE54" s="47">
        <f t="shared" si="29"/>
        <v>0</v>
      </c>
      <c r="EF54" s="46"/>
      <c r="EG54" s="46"/>
      <c r="EH54" s="46"/>
      <c r="EI54" s="46"/>
      <c r="EJ54" s="46"/>
      <c r="EK54" s="47">
        <f t="shared" si="20"/>
        <v>0</v>
      </c>
      <c r="EL54" s="46">
        <f t="shared" si="21"/>
        <v>0</v>
      </c>
      <c r="EM54" s="46"/>
      <c r="EN54" s="46">
        <f t="shared" si="22"/>
        <v>0</v>
      </c>
    </row>
    <row r="55" spans="2:144" s="51" customFormat="1" x14ac:dyDescent="0.25">
      <c r="B55" s="41">
        <v>50</v>
      </c>
      <c r="C55" s="52"/>
      <c r="D55" s="53"/>
      <c r="E55" s="42"/>
      <c r="F55" s="52"/>
      <c r="G55" s="52"/>
      <c r="H55" s="52"/>
      <c r="I55" s="52"/>
      <c r="J55" s="52"/>
      <c r="K55" s="52"/>
      <c r="L55" s="52"/>
      <c r="M55" s="52"/>
      <c r="N55" s="54"/>
      <c r="O55" s="54"/>
      <c r="P55" s="52"/>
      <c r="Q55" s="55"/>
      <c r="R55" s="55"/>
      <c r="S55" s="55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47">
        <f t="shared" si="0"/>
        <v>0</v>
      </c>
      <c r="AO55" s="46">
        <f t="shared" si="1"/>
        <v>0</v>
      </c>
      <c r="AP55" s="56" t="s">
        <v>104</v>
      </c>
      <c r="AQ55" s="46">
        <f>20%*AO55</f>
        <v>0</v>
      </c>
      <c r="AR55" s="56"/>
      <c r="AS55" s="56"/>
      <c r="AT55" s="56"/>
      <c r="AU55" s="47">
        <f t="shared" si="3"/>
        <v>0</v>
      </c>
      <c r="AV55" s="56"/>
      <c r="AW55" s="47">
        <f>AQ55+AR55+AU55+AV55</f>
        <v>0</v>
      </c>
      <c r="AX55" s="56"/>
      <c r="AY55" s="56"/>
      <c r="AZ55" s="56"/>
      <c r="BA55" s="56"/>
      <c r="BB55" s="56"/>
      <c r="BC55" s="47">
        <f t="shared" si="5"/>
        <v>0</v>
      </c>
      <c r="BD55" s="56"/>
      <c r="BE55" s="47">
        <f t="shared" si="6"/>
        <v>0</v>
      </c>
      <c r="BF55" s="56"/>
      <c r="BG55" s="56"/>
      <c r="BH55" s="56"/>
      <c r="BI55" s="56"/>
      <c r="BJ55" s="56"/>
      <c r="BK55" s="56"/>
      <c r="BL55" s="56"/>
      <c r="BM55" s="46">
        <f t="shared" si="39"/>
        <v>0</v>
      </c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7">
        <f>CN55*CO55</f>
        <v>0</v>
      </c>
      <c r="CQ55" s="56"/>
      <c r="CR55" s="47">
        <f t="shared" si="9"/>
        <v>0</v>
      </c>
      <c r="CS55" s="56"/>
      <c r="CT55" s="56"/>
      <c r="CU55" s="56"/>
      <c r="CV55" s="56"/>
      <c r="CW55" s="47">
        <f t="shared" si="10"/>
        <v>0</v>
      </c>
      <c r="CX55" s="46"/>
      <c r="CY55" s="47">
        <f t="shared" si="34"/>
        <v>0</v>
      </c>
      <c r="CZ55" s="56"/>
      <c r="DA55" s="56"/>
      <c r="DB55" s="56"/>
      <c r="DC55" s="56"/>
      <c r="DD55" s="47">
        <f t="shared" si="36"/>
        <v>0</v>
      </c>
      <c r="DE55" s="56"/>
      <c r="DF55" s="46">
        <f>DC55</f>
        <v>0</v>
      </c>
      <c r="DG55" s="56"/>
      <c r="DH55" s="57">
        <f t="shared" si="12"/>
        <v>0</v>
      </c>
      <c r="DI55" s="56"/>
      <c r="DJ55" s="56"/>
      <c r="DK55" s="47">
        <f t="shared" si="13"/>
        <v>0</v>
      </c>
      <c r="DL55" s="47">
        <f t="shared" si="14"/>
        <v>0</v>
      </c>
      <c r="DM55" s="56"/>
      <c r="DN55" s="46">
        <f t="shared" si="41"/>
        <v>0</v>
      </c>
      <c r="DO55" s="56"/>
      <c r="DP55" s="46">
        <f>10%*AQ55</f>
        <v>0</v>
      </c>
      <c r="DQ55" s="56"/>
      <c r="DR55" s="46">
        <f t="shared" si="16"/>
        <v>0</v>
      </c>
      <c r="DS55" s="56"/>
      <c r="DT55" s="46">
        <f>75%*DR55</f>
        <v>0</v>
      </c>
      <c r="DU55" s="56"/>
      <c r="DV55" s="46"/>
      <c r="DW55" s="56"/>
      <c r="DX55" s="47">
        <f t="shared" si="18"/>
        <v>0</v>
      </c>
      <c r="DY55" s="56"/>
      <c r="DZ55" s="56"/>
      <c r="EA55" s="56"/>
      <c r="EB55" s="56"/>
      <c r="EC55" s="56"/>
      <c r="ED55" s="56"/>
      <c r="EE55" s="47">
        <f t="shared" si="29"/>
        <v>0</v>
      </c>
      <c r="EF55" s="56"/>
      <c r="EG55" s="56"/>
      <c r="EH55" s="56"/>
      <c r="EI55" s="56"/>
      <c r="EJ55" s="56"/>
      <c r="EK55" s="47">
        <f t="shared" si="20"/>
        <v>0</v>
      </c>
      <c r="EL55" s="46">
        <f t="shared" si="21"/>
        <v>0</v>
      </c>
      <c r="EM55" s="56"/>
      <c r="EN55" s="61">
        <f t="shared" si="22"/>
        <v>0</v>
      </c>
    </row>
    <row r="56" spans="2:144" s="48" customFormat="1" ht="15" customHeight="1" x14ac:dyDescent="0.25">
      <c r="B56" s="41">
        <v>51</v>
      </c>
      <c r="C56" s="42"/>
      <c r="D56" s="43"/>
      <c r="E56" s="42"/>
      <c r="F56" s="42"/>
      <c r="G56" s="42"/>
      <c r="H56" s="42"/>
      <c r="I56" s="42"/>
      <c r="J56" s="42"/>
      <c r="K56" s="42"/>
      <c r="L56" s="42"/>
      <c r="M56" s="42"/>
      <c r="N56" s="41"/>
      <c r="O56" s="41"/>
      <c r="P56" s="42"/>
      <c r="Q56" s="45"/>
      <c r="R56" s="45"/>
      <c r="S56" s="42"/>
      <c r="T56" s="46"/>
      <c r="U56" s="46"/>
      <c r="V56" s="42"/>
      <c r="W56" s="42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7">
        <f t="shared" si="0"/>
        <v>0</v>
      </c>
      <c r="AO56" s="47">
        <f t="shared" si="1"/>
        <v>0</v>
      </c>
      <c r="AP56" s="46" t="s">
        <v>98</v>
      </c>
      <c r="AQ56" s="46">
        <f>18%*AO56</f>
        <v>0</v>
      </c>
      <c r="AR56" s="46"/>
      <c r="AS56" s="46"/>
      <c r="AT56" s="46"/>
      <c r="AU56" s="47">
        <f t="shared" si="3"/>
        <v>0</v>
      </c>
      <c r="AV56" s="46"/>
      <c r="AW56" s="47">
        <f t="shared" ref="AW56:AW63" si="45">AQ56+AU56+AV56+AR56</f>
        <v>0</v>
      </c>
      <c r="AX56" s="46"/>
      <c r="AY56" s="46"/>
      <c r="AZ56" s="46"/>
      <c r="BA56" s="46"/>
      <c r="BB56" s="46"/>
      <c r="BC56" s="47">
        <f t="shared" si="5"/>
        <v>0</v>
      </c>
      <c r="BD56" s="46"/>
      <c r="BE56" s="47">
        <f t="shared" si="6"/>
        <v>0</v>
      </c>
      <c r="BF56" s="46"/>
      <c r="BG56" s="46"/>
      <c r="BH56" s="46"/>
      <c r="BI56" s="46"/>
      <c r="BJ56" s="46"/>
      <c r="BK56" s="46">
        <f t="shared" ref="BK56:BK64" si="46">BI56*BJ56</f>
        <v>0</v>
      </c>
      <c r="BL56" s="46"/>
      <c r="BM56" s="46">
        <f t="shared" si="39"/>
        <v>0</v>
      </c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7">
        <f t="shared" si="9"/>
        <v>0</v>
      </c>
      <c r="CS56" s="46"/>
      <c r="CT56" s="46"/>
      <c r="CU56" s="46"/>
      <c r="CV56" s="46"/>
      <c r="CW56" s="47">
        <f t="shared" si="10"/>
        <v>0</v>
      </c>
      <c r="CX56" s="46"/>
      <c r="CY56" s="47">
        <f t="shared" si="34"/>
        <v>0</v>
      </c>
      <c r="CZ56" s="46"/>
      <c r="DA56" s="46"/>
      <c r="DB56" s="46"/>
      <c r="DC56" s="46"/>
      <c r="DD56" s="47">
        <f t="shared" si="36"/>
        <v>0</v>
      </c>
      <c r="DE56" s="46"/>
      <c r="DF56" s="46">
        <f>DA56+DD56+DE56</f>
        <v>0</v>
      </c>
      <c r="DG56" s="46"/>
      <c r="DH56" s="46">
        <f t="shared" si="12"/>
        <v>0</v>
      </c>
      <c r="DI56" s="46"/>
      <c r="DJ56" s="46"/>
      <c r="DK56" s="64">
        <f t="shared" si="13"/>
        <v>0</v>
      </c>
      <c r="DL56" s="47">
        <f t="shared" si="14"/>
        <v>0</v>
      </c>
      <c r="DM56" s="46"/>
      <c r="DN56" s="46">
        <f t="shared" si="41"/>
        <v>0</v>
      </c>
      <c r="DO56" s="46"/>
      <c r="DP56" s="46">
        <f t="shared" ref="DP56:DP86" si="47">DN56</f>
        <v>0</v>
      </c>
      <c r="DQ56" s="46"/>
      <c r="DR56" s="46">
        <f t="shared" si="16"/>
        <v>0</v>
      </c>
      <c r="DS56" s="46"/>
      <c r="DT56" s="46">
        <f t="shared" ref="DT56:DT102" si="48">75%*DP56</f>
        <v>0</v>
      </c>
      <c r="DU56" s="46"/>
      <c r="DV56" s="46"/>
      <c r="DW56" s="46"/>
      <c r="DX56" s="47">
        <f t="shared" si="18"/>
        <v>0</v>
      </c>
      <c r="DY56" s="46"/>
      <c r="DZ56" s="46"/>
      <c r="EA56" s="46"/>
      <c r="EB56" s="46"/>
      <c r="EC56" s="46"/>
      <c r="ED56" s="46"/>
      <c r="EE56" s="47">
        <f t="shared" si="29"/>
        <v>0</v>
      </c>
      <c r="EF56" s="46"/>
      <c r="EG56" s="46"/>
      <c r="EH56" s="46"/>
      <c r="EI56" s="46"/>
      <c r="EJ56" s="46"/>
      <c r="EK56" s="47">
        <f t="shared" si="20"/>
        <v>0</v>
      </c>
      <c r="EL56" s="46">
        <f t="shared" si="21"/>
        <v>0</v>
      </c>
      <c r="EM56" s="46"/>
      <c r="EN56" s="46">
        <f t="shared" si="22"/>
        <v>0</v>
      </c>
    </row>
    <row r="57" spans="2:144" s="48" customFormat="1" ht="15" customHeight="1" x14ac:dyDescent="0.25">
      <c r="B57" s="41">
        <v>52</v>
      </c>
      <c r="C57" s="42"/>
      <c r="D57" s="43"/>
      <c r="E57" s="42"/>
      <c r="F57" s="42"/>
      <c r="G57" s="42"/>
      <c r="H57" s="42"/>
      <c r="I57" s="42"/>
      <c r="J57" s="42"/>
      <c r="K57" s="42"/>
      <c r="L57" s="42"/>
      <c r="M57" s="42"/>
      <c r="N57" s="41"/>
      <c r="O57" s="41"/>
      <c r="P57" s="42"/>
      <c r="Q57" s="45"/>
      <c r="R57" s="45"/>
      <c r="S57" s="42"/>
      <c r="T57" s="46"/>
      <c r="U57" s="46"/>
      <c r="V57" s="42"/>
      <c r="W57" s="42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7">
        <f t="shared" si="0"/>
        <v>0</v>
      </c>
      <c r="AO57" s="47">
        <f t="shared" si="1"/>
        <v>0</v>
      </c>
      <c r="AP57" s="46" t="s">
        <v>98</v>
      </c>
      <c r="AQ57" s="46">
        <f>18%*AO57</f>
        <v>0</v>
      </c>
      <c r="AR57" s="46"/>
      <c r="AS57" s="46"/>
      <c r="AT57" s="46"/>
      <c r="AU57" s="47">
        <f t="shared" si="3"/>
        <v>0</v>
      </c>
      <c r="AV57" s="46"/>
      <c r="AW57" s="47">
        <f t="shared" si="45"/>
        <v>0</v>
      </c>
      <c r="AX57" s="46"/>
      <c r="AY57" s="46"/>
      <c r="AZ57" s="46"/>
      <c r="BA57" s="46"/>
      <c r="BB57" s="46"/>
      <c r="BC57" s="47">
        <f t="shared" si="5"/>
        <v>0</v>
      </c>
      <c r="BD57" s="46"/>
      <c r="BE57" s="47">
        <f t="shared" si="6"/>
        <v>0</v>
      </c>
      <c r="BF57" s="46"/>
      <c r="BG57" s="46"/>
      <c r="BH57" s="46"/>
      <c r="BI57" s="46"/>
      <c r="BJ57" s="46"/>
      <c r="BK57" s="46">
        <f t="shared" si="46"/>
        <v>0</v>
      </c>
      <c r="BL57" s="46"/>
      <c r="BM57" s="46">
        <f t="shared" si="39"/>
        <v>0</v>
      </c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7">
        <f t="shared" si="9"/>
        <v>0</v>
      </c>
      <c r="CS57" s="46"/>
      <c r="CT57" s="46"/>
      <c r="CU57" s="46"/>
      <c r="CV57" s="46"/>
      <c r="CW57" s="47">
        <f t="shared" si="10"/>
        <v>0</v>
      </c>
      <c r="CX57" s="46"/>
      <c r="CY57" s="47">
        <f t="shared" si="34"/>
        <v>0</v>
      </c>
      <c r="CZ57" s="46"/>
      <c r="DA57" s="46"/>
      <c r="DB57" s="46"/>
      <c r="DC57" s="46"/>
      <c r="DD57" s="47">
        <f t="shared" si="36"/>
        <v>0</v>
      </c>
      <c r="DE57" s="46"/>
      <c r="DF57" s="46">
        <f>DA57+DD57+DE57</f>
        <v>0</v>
      </c>
      <c r="DG57" s="46"/>
      <c r="DH57" s="46">
        <f t="shared" si="12"/>
        <v>0</v>
      </c>
      <c r="DI57" s="46"/>
      <c r="DJ57" s="46"/>
      <c r="DK57" s="64">
        <f t="shared" si="13"/>
        <v>0</v>
      </c>
      <c r="DL57" s="47">
        <f t="shared" si="14"/>
        <v>0</v>
      </c>
      <c r="DM57" s="46"/>
      <c r="DN57" s="46">
        <f t="shared" si="41"/>
        <v>0</v>
      </c>
      <c r="DO57" s="46"/>
      <c r="DP57" s="46">
        <f t="shared" si="47"/>
        <v>0</v>
      </c>
      <c r="DQ57" s="46"/>
      <c r="DR57" s="46">
        <f t="shared" si="16"/>
        <v>0</v>
      </c>
      <c r="DS57" s="46"/>
      <c r="DT57" s="46">
        <f t="shared" si="48"/>
        <v>0</v>
      </c>
      <c r="DU57" s="46"/>
      <c r="DV57" s="46"/>
      <c r="DW57" s="46"/>
      <c r="DX57" s="47">
        <f t="shared" si="18"/>
        <v>0</v>
      </c>
      <c r="DY57" s="46"/>
      <c r="DZ57" s="46"/>
      <c r="EA57" s="46"/>
      <c r="EB57" s="46"/>
      <c r="EC57" s="46"/>
      <c r="ED57" s="46"/>
      <c r="EE57" s="47">
        <f t="shared" si="29"/>
        <v>0</v>
      </c>
      <c r="EF57" s="46"/>
      <c r="EG57" s="46"/>
      <c r="EH57" s="46"/>
      <c r="EI57" s="46"/>
      <c r="EJ57" s="46"/>
      <c r="EK57" s="47">
        <f t="shared" si="20"/>
        <v>0</v>
      </c>
      <c r="EL57" s="46">
        <f t="shared" si="21"/>
        <v>0</v>
      </c>
      <c r="EM57" s="46"/>
      <c r="EN57" s="46">
        <f t="shared" si="22"/>
        <v>0</v>
      </c>
    </row>
    <row r="58" spans="2:144" s="73" customFormat="1" ht="15.75" customHeight="1" x14ac:dyDescent="0.25">
      <c r="B58" s="67">
        <v>21</v>
      </c>
      <c r="C58" s="68"/>
      <c r="D58" s="69"/>
      <c r="E58" s="68"/>
      <c r="F58" s="68"/>
      <c r="G58" s="68"/>
      <c r="H58" s="68"/>
      <c r="I58" s="68"/>
      <c r="J58" s="68"/>
      <c r="K58" s="68"/>
      <c r="L58" s="68"/>
      <c r="M58" s="68"/>
      <c r="N58" s="67"/>
      <c r="O58" s="67"/>
      <c r="P58" s="68"/>
      <c r="Q58" s="70"/>
      <c r="R58" s="70"/>
      <c r="S58" s="68"/>
      <c r="T58" s="71"/>
      <c r="U58" s="71"/>
      <c r="V58" s="68"/>
      <c r="W58" s="68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2">
        <f t="shared" si="0"/>
        <v>0</v>
      </c>
      <c r="AO58" s="72">
        <f t="shared" si="1"/>
        <v>0</v>
      </c>
      <c r="AP58" s="71" t="s">
        <v>98</v>
      </c>
      <c r="AQ58" s="71">
        <f>18%*AO58</f>
        <v>0</v>
      </c>
      <c r="AR58" s="71"/>
      <c r="AS58" s="71"/>
      <c r="AT58" s="71"/>
      <c r="AU58" s="72">
        <f t="shared" si="3"/>
        <v>0</v>
      </c>
      <c r="AV58" s="71"/>
      <c r="AW58" s="72">
        <f t="shared" si="45"/>
        <v>0</v>
      </c>
      <c r="AX58" s="71"/>
      <c r="AY58" s="71"/>
      <c r="AZ58" s="71"/>
      <c r="BA58" s="71"/>
      <c r="BB58" s="71"/>
      <c r="BC58" s="72">
        <f t="shared" si="5"/>
        <v>0</v>
      </c>
      <c r="BD58" s="71"/>
      <c r="BE58" s="72">
        <f t="shared" si="6"/>
        <v>0</v>
      </c>
      <c r="BF58" s="71"/>
      <c r="BG58" s="71"/>
      <c r="BH58" s="71"/>
      <c r="BI58" s="71"/>
      <c r="BJ58" s="71"/>
      <c r="BK58" s="71">
        <f t="shared" si="46"/>
        <v>0</v>
      </c>
      <c r="BL58" s="71"/>
      <c r="BM58" s="71">
        <f t="shared" si="39"/>
        <v>0</v>
      </c>
      <c r="BN58" s="71"/>
      <c r="BO58" s="71"/>
      <c r="BP58" s="71"/>
      <c r="BQ58" s="71"/>
      <c r="BR58" s="71"/>
      <c r="BS58" s="71">
        <f>BQ58*BR58</f>
        <v>0</v>
      </c>
      <c r="BT58" s="71"/>
      <c r="BU58" s="71">
        <f>BS58</f>
        <v>0</v>
      </c>
      <c r="BV58" s="71"/>
      <c r="BW58" s="71"/>
      <c r="BX58" s="71"/>
      <c r="BY58" s="71"/>
      <c r="BZ58" s="71"/>
      <c r="CA58" s="71">
        <f>BY58*BZ58</f>
        <v>0</v>
      </c>
      <c r="CB58" s="71"/>
      <c r="CC58" s="71">
        <f>CA58</f>
        <v>0</v>
      </c>
      <c r="CD58" s="71"/>
      <c r="CE58" s="71"/>
      <c r="CF58" s="71"/>
      <c r="CG58" s="71"/>
      <c r="CH58" s="71"/>
      <c r="CI58" s="71">
        <f>CG58*CH58</f>
        <v>0</v>
      </c>
      <c r="CJ58" s="71"/>
      <c r="CK58" s="71">
        <f>CI58</f>
        <v>0</v>
      </c>
      <c r="CL58" s="71"/>
      <c r="CM58" s="71"/>
      <c r="CN58" s="71"/>
      <c r="CO58" s="71"/>
      <c r="CP58" s="71">
        <f>CN58*CO58</f>
        <v>0</v>
      </c>
      <c r="CQ58" s="71"/>
      <c r="CR58" s="72">
        <f t="shared" si="9"/>
        <v>0</v>
      </c>
      <c r="CS58" s="71"/>
      <c r="CT58" s="71"/>
      <c r="CU58" s="71"/>
      <c r="CV58" s="71"/>
      <c r="CW58" s="72">
        <f t="shared" si="10"/>
        <v>0</v>
      </c>
      <c r="CX58" s="71"/>
      <c r="CY58" s="72">
        <f t="shared" si="34"/>
        <v>0</v>
      </c>
      <c r="CZ58" s="71"/>
      <c r="DA58" s="71"/>
      <c r="DB58" s="71"/>
      <c r="DC58" s="71"/>
      <c r="DD58" s="72">
        <f t="shared" si="36"/>
        <v>0</v>
      </c>
      <c r="DE58" s="71"/>
      <c r="DF58" s="71">
        <f>DC58</f>
        <v>0</v>
      </c>
      <c r="DG58" s="71"/>
      <c r="DH58" s="71">
        <f t="shared" si="12"/>
        <v>0</v>
      </c>
      <c r="DI58" s="71"/>
      <c r="DJ58" s="71"/>
      <c r="DK58" s="72">
        <f t="shared" si="13"/>
        <v>0</v>
      </c>
      <c r="DL58" s="72">
        <f t="shared" si="14"/>
        <v>0</v>
      </c>
      <c r="DM58" s="71"/>
      <c r="DN58" s="71">
        <f>7%*AQ58</f>
        <v>0</v>
      </c>
      <c r="DO58" s="71"/>
      <c r="DP58" s="46">
        <f t="shared" si="47"/>
        <v>0</v>
      </c>
      <c r="DQ58" s="71"/>
      <c r="DR58" s="71">
        <f t="shared" si="16"/>
        <v>0</v>
      </c>
      <c r="DS58" s="71"/>
      <c r="DT58" s="71">
        <f t="shared" si="48"/>
        <v>0</v>
      </c>
      <c r="DU58" s="71"/>
      <c r="DV58" s="71"/>
      <c r="DW58" s="71"/>
      <c r="DX58" s="72">
        <f t="shared" si="18"/>
        <v>0</v>
      </c>
      <c r="DY58" s="71"/>
      <c r="DZ58" s="71"/>
      <c r="EA58" s="71"/>
      <c r="EB58" s="71"/>
      <c r="EC58" s="71"/>
      <c r="ED58" s="71"/>
      <c r="EE58" s="72">
        <f t="shared" si="29"/>
        <v>0</v>
      </c>
      <c r="EF58" s="71"/>
      <c r="EG58" s="71"/>
      <c r="EH58" s="71"/>
      <c r="EI58" s="71"/>
      <c r="EJ58" s="71"/>
      <c r="EK58" s="72">
        <f t="shared" si="20"/>
        <v>0</v>
      </c>
      <c r="EL58" s="71">
        <f t="shared" si="21"/>
        <v>0</v>
      </c>
      <c r="EM58" s="71"/>
      <c r="EN58" s="71">
        <f t="shared" si="22"/>
        <v>0</v>
      </c>
    </row>
    <row r="59" spans="2:144" s="48" customFormat="1" ht="15" customHeight="1" x14ac:dyDescent="0.25">
      <c r="B59" s="41">
        <v>39</v>
      </c>
      <c r="C59" s="42"/>
      <c r="D59" s="43"/>
      <c r="E59" s="42"/>
      <c r="F59" s="42"/>
      <c r="G59" s="42"/>
      <c r="H59" s="42"/>
      <c r="I59" s="42"/>
      <c r="J59" s="42"/>
      <c r="K59" s="42"/>
      <c r="L59" s="42"/>
      <c r="M59" s="42"/>
      <c r="N59" s="41"/>
      <c r="O59" s="41"/>
      <c r="P59" s="42"/>
      <c r="Q59" s="45"/>
      <c r="R59" s="45"/>
      <c r="S59" s="42"/>
      <c r="T59" s="46"/>
      <c r="U59" s="46"/>
      <c r="V59" s="42"/>
      <c r="W59" s="42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7">
        <f t="shared" si="0"/>
        <v>0</v>
      </c>
      <c r="AO59" s="47">
        <f t="shared" si="1"/>
        <v>0</v>
      </c>
      <c r="AP59" s="46" t="s">
        <v>102</v>
      </c>
      <c r="AQ59" s="46"/>
      <c r="AR59" s="46"/>
      <c r="AS59" s="46"/>
      <c r="AT59" s="46"/>
      <c r="AU59" s="47">
        <f t="shared" si="3"/>
        <v>0</v>
      </c>
      <c r="AV59" s="46"/>
      <c r="AW59" s="47">
        <f t="shared" si="45"/>
        <v>0</v>
      </c>
      <c r="AX59" s="46"/>
      <c r="AY59" s="46"/>
      <c r="AZ59" s="46"/>
      <c r="BA59" s="46"/>
      <c r="BB59" s="46"/>
      <c r="BC59" s="47">
        <f t="shared" si="5"/>
        <v>0</v>
      </c>
      <c r="BD59" s="46"/>
      <c r="BE59" s="47">
        <f t="shared" si="6"/>
        <v>0</v>
      </c>
      <c r="BF59" s="46"/>
      <c r="BG59" s="46"/>
      <c r="BH59" s="46"/>
      <c r="BI59" s="46"/>
      <c r="BJ59" s="46"/>
      <c r="BK59" s="46">
        <f t="shared" si="46"/>
        <v>0</v>
      </c>
      <c r="BL59" s="46"/>
      <c r="BM59" s="46">
        <f t="shared" si="39"/>
        <v>0</v>
      </c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7">
        <f t="shared" si="9"/>
        <v>0</v>
      </c>
      <c r="CS59" s="46"/>
      <c r="CT59" s="46"/>
      <c r="CU59" s="46"/>
      <c r="CV59" s="46"/>
      <c r="CW59" s="47">
        <f t="shared" si="10"/>
        <v>0</v>
      </c>
      <c r="CX59" s="46"/>
      <c r="CY59" s="47">
        <f t="shared" si="34"/>
        <v>0</v>
      </c>
      <c r="CZ59" s="46"/>
      <c r="DA59" s="46"/>
      <c r="DB59" s="46"/>
      <c r="DC59" s="46"/>
      <c r="DD59" s="47">
        <f t="shared" si="36"/>
        <v>0</v>
      </c>
      <c r="DE59" s="46"/>
      <c r="DF59" s="46">
        <f>DA59+DD59+DE59</f>
        <v>0</v>
      </c>
      <c r="DG59" s="46"/>
      <c r="DH59" s="46">
        <f t="shared" si="12"/>
        <v>0</v>
      </c>
      <c r="DI59" s="46"/>
      <c r="DJ59" s="46"/>
      <c r="DK59" s="64">
        <f t="shared" si="13"/>
        <v>0</v>
      </c>
      <c r="DL59" s="47">
        <f t="shared" si="14"/>
        <v>0</v>
      </c>
      <c r="DM59" s="46"/>
      <c r="DN59" s="46">
        <f t="shared" ref="DN59:DN86" si="49">7.5%*AQ59</f>
        <v>0</v>
      </c>
      <c r="DO59" s="46"/>
      <c r="DP59" s="46">
        <f t="shared" si="47"/>
        <v>0</v>
      </c>
      <c r="DQ59" s="46"/>
      <c r="DR59" s="46">
        <f t="shared" si="16"/>
        <v>0</v>
      </c>
      <c r="DS59" s="46"/>
      <c r="DT59" s="46">
        <f t="shared" si="48"/>
        <v>0</v>
      </c>
      <c r="DU59" s="46"/>
      <c r="DV59" s="46"/>
      <c r="DW59" s="46"/>
      <c r="DX59" s="47">
        <f t="shared" si="18"/>
        <v>0</v>
      </c>
      <c r="DY59" s="46"/>
      <c r="DZ59" s="46"/>
      <c r="EA59" s="46"/>
      <c r="EB59" s="46"/>
      <c r="EC59" s="46"/>
      <c r="ED59" s="46"/>
      <c r="EE59" s="47">
        <f t="shared" si="29"/>
        <v>0</v>
      </c>
      <c r="EF59" s="46"/>
      <c r="EG59" s="46"/>
      <c r="EH59" s="46"/>
      <c r="EI59" s="46"/>
      <c r="EJ59" s="46"/>
      <c r="EK59" s="47">
        <f t="shared" si="20"/>
        <v>0</v>
      </c>
      <c r="EL59" s="46">
        <f t="shared" si="21"/>
        <v>0</v>
      </c>
      <c r="EM59" s="46"/>
      <c r="EN59" s="46">
        <f t="shared" si="22"/>
        <v>0</v>
      </c>
    </row>
    <row r="60" spans="2:144" s="48" customFormat="1" ht="15" customHeight="1" x14ac:dyDescent="0.25">
      <c r="B60" s="41">
        <v>53</v>
      </c>
      <c r="C60" s="42"/>
      <c r="D60" s="43"/>
      <c r="E60" s="42"/>
      <c r="F60" s="42"/>
      <c r="G60" s="42"/>
      <c r="H60" s="42"/>
      <c r="I60" s="42"/>
      <c r="J60" s="42"/>
      <c r="K60" s="42"/>
      <c r="L60" s="42"/>
      <c r="M60" s="42"/>
      <c r="N60" s="41"/>
      <c r="O60" s="41"/>
      <c r="P60" s="42"/>
      <c r="Q60" s="45"/>
      <c r="R60" s="45"/>
      <c r="S60" s="42"/>
      <c r="T60" s="46"/>
      <c r="U60" s="46"/>
      <c r="V60" s="42"/>
      <c r="W60" s="42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7">
        <f t="shared" si="0"/>
        <v>0</v>
      </c>
      <c r="AO60" s="47">
        <f t="shared" si="1"/>
        <v>0</v>
      </c>
      <c r="AP60" s="46" t="s">
        <v>102</v>
      </c>
      <c r="AQ60" s="46"/>
      <c r="AR60" s="46"/>
      <c r="AS60" s="46"/>
      <c r="AT60" s="46"/>
      <c r="AU60" s="47">
        <f t="shared" si="3"/>
        <v>0</v>
      </c>
      <c r="AV60" s="46"/>
      <c r="AW60" s="47">
        <f t="shared" si="45"/>
        <v>0</v>
      </c>
      <c r="AX60" s="46"/>
      <c r="AY60" s="46"/>
      <c r="AZ60" s="46"/>
      <c r="BA60" s="46"/>
      <c r="BB60" s="46"/>
      <c r="BC60" s="47">
        <f t="shared" si="5"/>
        <v>0</v>
      </c>
      <c r="BD60" s="46"/>
      <c r="BE60" s="47">
        <f t="shared" si="6"/>
        <v>0</v>
      </c>
      <c r="BF60" s="46"/>
      <c r="BG60" s="46"/>
      <c r="BH60" s="46"/>
      <c r="BI60" s="46"/>
      <c r="BJ60" s="46"/>
      <c r="BK60" s="46">
        <f t="shared" si="46"/>
        <v>0</v>
      </c>
      <c r="BL60" s="46"/>
      <c r="BM60" s="46">
        <f t="shared" si="39"/>
        <v>0</v>
      </c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7">
        <f t="shared" si="9"/>
        <v>0</v>
      </c>
      <c r="CS60" s="46"/>
      <c r="CT60" s="46"/>
      <c r="CU60" s="46"/>
      <c r="CV60" s="46"/>
      <c r="CW60" s="47">
        <f t="shared" si="10"/>
        <v>0</v>
      </c>
      <c r="CX60" s="46"/>
      <c r="CY60" s="47">
        <f t="shared" si="34"/>
        <v>0</v>
      </c>
      <c r="CZ60" s="46"/>
      <c r="DA60" s="46"/>
      <c r="DB60" s="46"/>
      <c r="DC60" s="46"/>
      <c r="DD60" s="47">
        <f t="shared" si="36"/>
        <v>0</v>
      </c>
      <c r="DE60" s="46"/>
      <c r="DF60" s="46">
        <f>DA60+DD60+DE60</f>
        <v>0</v>
      </c>
      <c r="DG60" s="46"/>
      <c r="DH60" s="46">
        <f t="shared" si="12"/>
        <v>0</v>
      </c>
      <c r="DI60" s="46"/>
      <c r="DJ60" s="46"/>
      <c r="DK60" s="64">
        <f t="shared" si="13"/>
        <v>0</v>
      </c>
      <c r="DL60" s="47">
        <f t="shared" si="14"/>
        <v>0</v>
      </c>
      <c r="DM60" s="46"/>
      <c r="DN60" s="46">
        <f t="shared" si="49"/>
        <v>0</v>
      </c>
      <c r="DO60" s="46"/>
      <c r="DP60" s="46">
        <f t="shared" si="47"/>
        <v>0</v>
      </c>
      <c r="DQ60" s="46"/>
      <c r="DR60" s="46">
        <f t="shared" si="16"/>
        <v>0</v>
      </c>
      <c r="DS60" s="46"/>
      <c r="DT60" s="46">
        <f t="shared" si="48"/>
        <v>0</v>
      </c>
      <c r="DU60" s="46"/>
      <c r="DV60" s="46"/>
      <c r="DW60" s="46"/>
      <c r="DX60" s="47">
        <f t="shared" si="18"/>
        <v>0</v>
      </c>
      <c r="DY60" s="46"/>
      <c r="DZ60" s="46"/>
      <c r="EA60" s="46"/>
      <c r="EB60" s="46"/>
      <c r="EC60" s="46"/>
      <c r="ED60" s="46"/>
      <c r="EE60" s="47">
        <f t="shared" si="29"/>
        <v>0</v>
      </c>
      <c r="EF60" s="46"/>
      <c r="EG60" s="46"/>
      <c r="EH60" s="46"/>
      <c r="EI60" s="46"/>
      <c r="EJ60" s="46"/>
      <c r="EK60" s="47">
        <f t="shared" si="20"/>
        <v>0</v>
      </c>
      <c r="EL60" s="46">
        <f t="shared" si="21"/>
        <v>0</v>
      </c>
      <c r="EM60" s="46"/>
      <c r="EN60" s="46">
        <f t="shared" si="22"/>
        <v>0</v>
      </c>
    </row>
    <row r="61" spans="2:144" s="48" customFormat="1" ht="15" customHeight="1" x14ac:dyDescent="0.25">
      <c r="B61" s="41">
        <v>54</v>
      </c>
      <c r="C61" s="42"/>
      <c r="D61" s="43"/>
      <c r="E61" s="42"/>
      <c r="F61" s="42"/>
      <c r="G61" s="42"/>
      <c r="H61" s="42"/>
      <c r="I61" s="42"/>
      <c r="J61" s="42"/>
      <c r="K61" s="42"/>
      <c r="L61" s="42"/>
      <c r="M61" s="42"/>
      <c r="N61" s="41"/>
      <c r="O61" s="41"/>
      <c r="P61" s="42"/>
      <c r="Q61" s="45"/>
      <c r="R61" s="45"/>
      <c r="S61" s="42"/>
      <c r="T61" s="46"/>
      <c r="U61" s="46"/>
      <c r="V61" s="42"/>
      <c r="W61" s="42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7">
        <f t="shared" si="0"/>
        <v>0</v>
      </c>
      <c r="AO61" s="47">
        <f t="shared" si="1"/>
        <v>0</v>
      </c>
      <c r="AP61" s="46" t="s">
        <v>98</v>
      </c>
      <c r="AQ61" s="46">
        <f t="shared" ref="AQ61:AQ73" si="50">18%*AO61</f>
        <v>0</v>
      </c>
      <c r="AR61" s="46"/>
      <c r="AS61" s="46"/>
      <c r="AT61" s="46"/>
      <c r="AU61" s="47">
        <f t="shared" si="3"/>
        <v>0</v>
      </c>
      <c r="AV61" s="46"/>
      <c r="AW61" s="47">
        <f t="shared" si="45"/>
        <v>0</v>
      </c>
      <c r="AX61" s="46"/>
      <c r="AY61" s="46"/>
      <c r="AZ61" s="46"/>
      <c r="BA61" s="46"/>
      <c r="BB61" s="46"/>
      <c r="BC61" s="47">
        <f t="shared" si="5"/>
        <v>0</v>
      </c>
      <c r="BD61" s="46"/>
      <c r="BE61" s="47">
        <f t="shared" si="6"/>
        <v>0</v>
      </c>
      <c r="BF61" s="46"/>
      <c r="BG61" s="46"/>
      <c r="BH61" s="46"/>
      <c r="BI61" s="46"/>
      <c r="BJ61" s="46"/>
      <c r="BK61" s="46">
        <f t="shared" si="46"/>
        <v>0</v>
      </c>
      <c r="BL61" s="46"/>
      <c r="BM61" s="46">
        <f t="shared" si="39"/>
        <v>0</v>
      </c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7">
        <f t="shared" si="9"/>
        <v>0</v>
      </c>
      <c r="CS61" s="46"/>
      <c r="CT61" s="46"/>
      <c r="CU61" s="46"/>
      <c r="CV61" s="46"/>
      <c r="CW61" s="47">
        <f t="shared" si="10"/>
        <v>0</v>
      </c>
      <c r="CX61" s="46"/>
      <c r="CY61" s="47">
        <f t="shared" si="34"/>
        <v>0</v>
      </c>
      <c r="CZ61" s="46"/>
      <c r="DA61" s="46"/>
      <c r="DB61" s="46"/>
      <c r="DC61" s="46"/>
      <c r="DD61" s="47">
        <f t="shared" si="36"/>
        <v>0</v>
      </c>
      <c r="DE61" s="46"/>
      <c r="DF61" s="46">
        <f>DA61+DD61+DE61</f>
        <v>0</v>
      </c>
      <c r="DG61" s="46"/>
      <c r="DH61" s="46">
        <f t="shared" si="12"/>
        <v>0</v>
      </c>
      <c r="DI61" s="46"/>
      <c r="DJ61" s="46"/>
      <c r="DK61" s="64">
        <f t="shared" si="13"/>
        <v>0</v>
      </c>
      <c r="DL61" s="47">
        <f t="shared" si="14"/>
        <v>0</v>
      </c>
      <c r="DM61" s="46"/>
      <c r="DN61" s="46">
        <f t="shared" si="49"/>
        <v>0</v>
      </c>
      <c r="DO61" s="46"/>
      <c r="DP61" s="46">
        <f t="shared" si="47"/>
        <v>0</v>
      </c>
      <c r="DQ61" s="46"/>
      <c r="DR61" s="46">
        <f t="shared" si="16"/>
        <v>0</v>
      </c>
      <c r="DS61" s="46"/>
      <c r="DT61" s="46">
        <f t="shared" si="48"/>
        <v>0</v>
      </c>
      <c r="DU61" s="46"/>
      <c r="DV61" s="46"/>
      <c r="DW61" s="46"/>
      <c r="DX61" s="47">
        <f t="shared" si="18"/>
        <v>0</v>
      </c>
      <c r="DY61" s="46"/>
      <c r="DZ61" s="46"/>
      <c r="EA61" s="46"/>
      <c r="EB61" s="46"/>
      <c r="EC61" s="46"/>
      <c r="ED61" s="46"/>
      <c r="EE61" s="47">
        <f t="shared" si="29"/>
        <v>0</v>
      </c>
      <c r="EF61" s="46"/>
      <c r="EG61" s="46"/>
      <c r="EH61" s="46"/>
      <c r="EI61" s="46"/>
      <c r="EJ61" s="46"/>
      <c r="EK61" s="47">
        <f t="shared" si="20"/>
        <v>0</v>
      </c>
      <c r="EL61" s="46">
        <f t="shared" si="21"/>
        <v>0</v>
      </c>
      <c r="EM61" s="46"/>
      <c r="EN61" s="46">
        <f t="shared" si="22"/>
        <v>0</v>
      </c>
    </row>
    <row r="62" spans="2:144" s="48" customFormat="1" ht="15" customHeight="1" x14ac:dyDescent="0.25">
      <c r="B62" s="41">
        <v>55</v>
      </c>
      <c r="C62" s="42"/>
      <c r="D62" s="43"/>
      <c r="E62" s="42"/>
      <c r="F62" s="42"/>
      <c r="G62" s="42"/>
      <c r="H62" s="42"/>
      <c r="I62" s="42"/>
      <c r="J62" s="42"/>
      <c r="K62" s="42"/>
      <c r="L62" s="42"/>
      <c r="M62" s="42"/>
      <c r="N62" s="41"/>
      <c r="O62" s="41"/>
      <c r="P62" s="42"/>
      <c r="Q62" s="45"/>
      <c r="R62" s="45"/>
      <c r="S62" s="42"/>
      <c r="T62" s="46"/>
      <c r="U62" s="46"/>
      <c r="V62" s="42"/>
      <c r="W62" s="42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7">
        <f t="shared" si="0"/>
        <v>0</v>
      </c>
      <c r="AO62" s="47">
        <f t="shared" si="1"/>
        <v>0</v>
      </c>
      <c r="AP62" s="46" t="s">
        <v>98</v>
      </c>
      <c r="AQ62" s="46">
        <f t="shared" si="50"/>
        <v>0</v>
      </c>
      <c r="AR62" s="46"/>
      <c r="AS62" s="46"/>
      <c r="AT62" s="46"/>
      <c r="AU62" s="47">
        <f t="shared" si="3"/>
        <v>0</v>
      </c>
      <c r="AV62" s="46"/>
      <c r="AW62" s="47">
        <f t="shared" si="45"/>
        <v>0</v>
      </c>
      <c r="AX62" s="46"/>
      <c r="AY62" s="46"/>
      <c r="AZ62" s="46"/>
      <c r="BA62" s="46"/>
      <c r="BB62" s="46"/>
      <c r="BC62" s="47">
        <f t="shared" si="5"/>
        <v>0</v>
      </c>
      <c r="BD62" s="46"/>
      <c r="BE62" s="47">
        <f t="shared" si="6"/>
        <v>0</v>
      </c>
      <c r="BF62" s="46"/>
      <c r="BG62" s="46"/>
      <c r="BH62" s="46"/>
      <c r="BI62" s="46"/>
      <c r="BJ62" s="46"/>
      <c r="BK62" s="46">
        <f t="shared" si="46"/>
        <v>0</v>
      </c>
      <c r="BL62" s="46"/>
      <c r="BM62" s="46">
        <f t="shared" si="39"/>
        <v>0</v>
      </c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7">
        <f t="shared" si="9"/>
        <v>0</v>
      </c>
      <c r="CS62" s="46"/>
      <c r="CT62" s="46"/>
      <c r="CU62" s="46"/>
      <c r="CV62" s="46"/>
      <c r="CW62" s="47">
        <f t="shared" si="10"/>
        <v>0</v>
      </c>
      <c r="CX62" s="46"/>
      <c r="CY62" s="47">
        <f t="shared" si="34"/>
        <v>0</v>
      </c>
      <c r="CZ62" s="46"/>
      <c r="DA62" s="46"/>
      <c r="DB62" s="46"/>
      <c r="DC62" s="46"/>
      <c r="DD62" s="47">
        <f t="shared" si="36"/>
        <v>0</v>
      </c>
      <c r="DE62" s="46"/>
      <c r="DF62" s="46">
        <f>DA62+DD62+DE62</f>
        <v>0</v>
      </c>
      <c r="DG62" s="46"/>
      <c r="DH62" s="46">
        <f t="shared" si="12"/>
        <v>0</v>
      </c>
      <c r="DI62" s="46"/>
      <c r="DJ62" s="46"/>
      <c r="DK62" s="64">
        <f t="shared" si="13"/>
        <v>0</v>
      </c>
      <c r="DL62" s="47">
        <f t="shared" si="14"/>
        <v>0</v>
      </c>
      <c r="DM62" s="46"/>
      <c r="DN62" s="46">
        <f t="shared" si="49"/>
        <v>0</v>
      </c>
      <c r="DO62" s="46"/>
      <c r="DP62" s="46">
        <f t="shared" si="47"/>
        <v>0</v>
      </c>
      <c r="DQ62" s="46"/>
      <c r="DR62" s="46">
        <f t="shared" si="16"/>
        <v>0</v>
      </c>
      <c r="DS62" s="46"/>
      <c r="DT62" s="46">
        <f t="shared" si="48"/>
        <v>0</v>
      </c>
      <c r="DU62" s="46"/>
      <c r="DV62" s="46"/>
      <c r="DW62" s="46"/>
      <c r="DX62" s="47">
        <f t="shared" si="18"/>
        <v>0</v>
      </c>
      <c r="DY62" s="46"/>
      <c r="DZ62" s="46"/>
      <c r="EA62" s="46"/>
      <c r="EB62" s="46"/>
      <c r="EC62" s="46"/>
      <c r="ED62" s="46"/>
      <c r="EE62" s="47">
        <f t="shared" si="29"/>
        <v>0</v>
      </c>
      <c r="EF62" s="46"/>
      <c r="EG62" s="46"/>
      <c r="EH62" s="46"/>
      <c r="EI62" s="46"/>
      <c r="EJ62" s="46"/>
      <c r="EK62" s="47">
        <f t="shared" si="20"/>
        <v>0</v>
      </c>
      <c r="EL62" s="46">
        <f t="shared" si="21"/>
        <v>0</v>
      </c>
      <c r="EM62" s="46"/>
      <c r="EN62" s="46">
        <f t="shared" si="22"/>
        <v>0</v>
      </c>
    </row>
    <row r="63" spans="2:144" s="48" customFormat="1" ht="15" customHeight="1" x14ac:dyDescent="0.25">
      <c r="B63" s="41">
        <v>56</v>
      </c>
      <c r="C63" s="42"/>
      <c r="D63" s="43"/>
      <c r="E63" s="42"/>
      <c r="F63" s="42"/>
      <c r="G63" s="42"/>
      <c r="H63" s="42"/>
      <c r="I63" s="42"/>
      <c r="J63" s="42"/>
      <c r="K63" s="42"/>
      <c r="L63" s="42"/>
      <c r="M63" s="42"/>
      <c r="N63" s="41"/>
      <c r="O63" s="41"/>
      <c r="P63" s="42"/>
      <c r="Q63" s="45"/>
      <c r="R63" s="45"/>
      <c r="S63" s="42"/>
      <c r="T63" s="46"/>
      <c r="U63" s="46"/>
      <c r="V63" s="42"/>
      <c r="W63" s="42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7">
        <f t="shared" si="0"/>
        <v>0</v>
      </c>
      <c r="AO63" s="47">
        <f t="shared" si="1"/>
        <v>0</v>
      </c>
      <c r="AP63" s="46" t="s">
        <v>98</v>
      </c>
      <c r="AQ63" s="46">
        <f t="shared" si="50"/>
        <v>0</v>
      </c>
      <c r="AR63" s="46"/>
      <c r="AS63" s="46"/>
      <c r="AT63" s="46"/>
      <c r="AU63" s="47">
        <f t="shared" si="3"/>
        <v>0</v>
      </c>
      <c r="AV63" s="46"/>
      <c r="AW63" s="47">
        <f t="shared" si="45"/>
        <v>0</v>
      </c>
      <c r="AX63" s="46"/>
      <c r="AY63" s="46"/>
      <c r="AZ63" s="46"/>
      <c r="BA63" s="46"/>
      <c r="BB63" s="46"/>
      <c r="BC63" s="47">
        <f t="shared" si="5"/>
        <v>0</v>
      </c>
      <c r="BD63" s="46"/>
      <c r="BE63" s="47">
        <f t="shared" si="6"/>
        <v>0</v>
      </c>
      <c r="BF63" s="46"/>
      <c r="BG63" s="46"/>
      <c r="BH63" s="46"/>
      <c r="BI63" s="46"/>
      <c r="BJ63" s="46"/>
      <c r="BK63" s="46">
        <f t="shared" si="46"/>
        <v>0</v>
      </c>
      <c r="BL63" s="46"/>
      <c r="BM63" s="46">
        <f t="shared" si="39"/>
        <v>0</v>
      </c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7">
        <f t="shared" si="9"/>
        <v>0</v>
      </c>
      <c r="CS63" s="46"/>
      <c r="CT63" s="46"/>
      <c r="CU63" s="46"/>
      <c r="CV63" s="46"/>
      <c r="CW63" s="47">
        <f t="shared" si="10"/>
        <v>0</v>
      </c>
      <c r="CX63" s="46"/>
      <c r="CY63" s="47">
        <f t="shared" si="34"/>
        <v>0</v>
      </c>
      <c r="CZ63" s="46"/>
      <c r="DA63" s="46"/>
      <c r="DB63" s="46"/>
      <c r="DC63" s="46"/>
      <c r="DD63" s="47">
        <f t="shared" si="36"/>
        <v>0</v>
      </c>
      <c r="DE63" s="46"/>
      <c r="DF63" s="46">
        <f>DC63</f>
        <v>0</v>
      </c>
      <c r="DG63" s="46"/>
      <c r="DH63" s="46">
        <f t="shared" si="12"/>
        <v>0</v>
      </c>
      <c r="DI63" s="46"/>
      <c r="DJ63" s="46"/>
      <c r="DK63" s="64">
        <f t="shared" si="13"/>
        <v>0</v>
      </c>
      <c r="DL63" s="47">
        <f t="shared" si="14"/>
        <v>0</v>
      </c>
      <c r="DM63" s="46"/>
      <c r="DN63" s="46">
        <f t="shared" si="49"/>
        <v>0</v>
      </c>
      <c r="DO63" s="46"/>
      <c r="DP63" s="46">
        <f t="shared" si="47"/>
        <v>0</v>
      </c>
      <c r="DQ63" s="46"/>
      <c r="DR63" s="46">
        <f t="shared" si="16"/>
        <v>0</v>
      </c>
      <c r="DS63" s="46"/>
      <c r="DT63" s="46">
        <f t="shared" si="48"/>
        <v>0</v>
      </c>
      <c r="DU63" s="46"/>
      <c r="DV63" s="46"/>
      <c r="DW63" s="46"/>
      <c r="DX63" s="47">
        <f t="shared" si="18"/>
        <v>0</v>
      </c>
      <c r="DY63" s="46"/>
      <c r="DZ63" s="46"/>
      <c r="EA63" s="46"/>
      <c r="EB63" s="46"/>
      <c r="EC63" s="46"/>
      <c r="ED63" s="46"/>
      <c r="EE63" s="47">
        <f t="shared" si="29"/>
        <v>0</v>
      </c>
      <c r="EF63" s="46"/>
      <c r="EG63" s="46"/>
      <c r="EH63" s="46"/>
      <c r="EI63" s="46"/>
      <c r="EJ63" s="46"/>
      <c r="EK63" s="47">
        <f t="shared" si="20"/>
        <v>0</v>
      </c>
      <c r="EL63" s="46">
        <f t="shared" si="21"/>
        <v>0</v>
      </c>
      <c r="EM63" s="46"/>
      <c r="EN63" s="46">
        <f t="shared" si="22"/>
        <v>0</v>
      </c>
    </row>
    <row r="64" spans="2:144" s="48" customFormat="1" ht="15" customHeight="1" x14ac:dyDescent="0.25">
      <c r="B64" s="41">
        <v>57</v>
      </c>
      <c r="C64" s="42"/>
      <c r="D64" s="43"/>
      <c r="E64" s="42"/>
      <c r="F64" s="42"/>
      <c r="G64" s="42"/>
      <c r="H64" s="42"/>
      <c r="I64" s="42"/>
      <c r="J64" s="42"/>
      <c r="K64" s="42"/>
      <c r="L64" s="42"/>
      <c r="M64" s="42"/>
      <c r="N64" s="41"/>
      <c r="O64" s="41"/>
      <c r="P64" s="42"/>
      <c r="Q64" s="45"/>
      <c r="R64" s="45"/>
      <c r="S64" s="42"/>
      <c r="T64" s="46"/>
      <c r="U64" s="46"/>
      <c r="V64" s="42"/>
      <c r="W64" s="42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>
        <f t="shared" si="0"/>
        <v>0</v>
      </c>
      <c r="AO64" s="46">
        <f t="shared" si="1"/>
        <v>0</v>
      </c>
      <c r="AP64" s="46" t="s">
        <v>98</v>
      </c>
      <c r="AQ64" s="46">
        <f t="shared" si="50"/>
        <v>0</v>
      </c>
      <c r="AR64" s="46"/>
      <c r="AS64" s="46"/>
      <c r="AT64" s="46"/>
      <c r="AU64" s="47">
        <f t="shared" si="3"/>
        <v>0</v>
      </c>
      <c r="AV64" s="46"/>
      <c r="AW64" s="47">
        <f>AQ64+AU64+AV64</f>
        <v>0</v>
      </c>
      <c r="AX64" s="46"/>
      <c r="AY64" s="46"/>
      <c r="AZ64" s="46"/>
      <c r="BA64" s="46"/>
      <c r="BB64" s="46"/>
      <c r="BC64" s="47">
        <f t="shared" si="5"/>
        <v>0</v>
      </c>
      <c r="BD64" s="46"/>
      <c r="BE64" s="47">
        <f t="shared" si="6"/>
        <v>0</v>
      </c>
      <c r="BF64" s="46"/>
      <c r="BG64" s="46"/>
      <c r="BH64" s="46"/>
      <c r="BI64" s="46"/>
      <c r="BJ64" s="46"/>
      <c r="BK64" s="46">
        <f t="shared" si="46"/>
        <v>0</v>
      </c>
      <c r="BL64" s="46"/>
      <c r="BM64" s="46">
        <f t="shared" si="39"/>
        <v>0</v>
      </c>
      <c r="BN64" s="46"/>
      <c r="BO64" s="46"/>
      <c r="BP64" s="46"/>
      <c r="BQ64" s="46"/>
      <c r="BR64" s="46"/>
      <c r="BS64" s="46">
        <f>BQ64*BR64</f>
        <v>0</v>
      </c>
      <c r="BT64" s="46"/>
      <c r="BU64" s="46">
        <f>BS64</f>
        <v>0</v>
      </c>
      <c r="BV64" s="46"/>
      <c r="BW64" s="46"/>
      <c r="BX64" s="46"/>
      <c r="BY64" s="46"/>
      <c r="BZ64" s="46"/>
      <c r="CA64" s="46">
        <f>BY64*BZ64</f>
        <v>0</v>
      </c>
      <c r="CB64" s="46"/>
      <c r="CC64" s="46">
        <f>CA64</f>
        <v>0</v>
      </c>
      <c r="CD64" s="46"/>
      <c r="CE64" s="46"/>
      <c r="CF64" s="46"/>
      <c r="CG64" s="46"/>
      <c r="CH64" s="46"/>
      <c r="CI64" s="46">
        <f>CG64*CH64</f>
        <v>0</v>
      </c>
      <c r="CJ64" s="46"/>
      <c r="CK64" s="46">
        <f>CI64</f>
        <v>0</v>
      </c>
      <c r="CL64" s="46"/>
      <c r="CM64" s="46"/>
      <c r="CN64" s="46"/>
      <c r="CO64" s="46"/>
      <c r="CP64" s="46">
        <f>CN64*CO64</f>
        <v>0</v>
      </c>
      <c r="CQ64" s="46"/>
      <c r="CR64" s="47">
        <f t="shared" si="9"/>
        <v>0</v>
      </c>
      <c r="CS64" s="46"/>
      <c r="CT64" s="46"/>
      <c r="CU64" s="46"/>
      <c r="CV64" s="46"/>
      <c r="CW64" s="47">
        <f t="shared" si="10"/>
        <v>0</v>
      </c>
      <c r="CX64" s="46"/>
      <c r="CY64" s="47">
        <f t="shared" si="34"/>
        <v>0</v>
      </c>
      <c r="CZ64" s="46"/>
      <c r="DA64" s="46"/>
      <c r="DB64" s="46"/>
      <c r="DC64" s="46"/>
      <c r="DD64" s="47">
        <f t="shared" si="36"/>
        <v>0</v>
      </c>
      <c r="DE64" s="46"/>
      <c r="DF64" s="46">
        <f>DC64</f>
        <v>0</v>
      </c>
      <c r="DG64" s="46"/>
      <c r="DH64" s="46">
        <f t="shared" si="12"/>
        <v>0</v>
      </c>
      <c r="DI64" s="46"/>
      <c r="DJ64" s="46"/>
      <c r="DK64" s="47">
        <f t="shared" si="13"/>
        <v>0</v>
      </c>
      <c r="DL64" s="47">
        <f t="shared" si="14"/>
        <v>0</v>
      </c>
      <c r="DM64" s="46"/>
      <c r="DN64" s="46">
        <f t="shared" si="49"/>
        <v>0</v>
      </c>
      <c r="DO64" s="46"/>
      <c r="DP64" s="46">
        <f t="shared" si="47"/>
        <v>0</v>
      </c>
      <c r="DQ64" s="46"/>
      <c r="DR64" s="46">
        <f t="shared" si="16"/>
        <v>0</v>
      </c>
      <c r="DS64" s="46"/>
      <c r="DT64" s="46">
        <f t="shared" si="48"/>
        <v>0</v>
      </c>
      <c r="DU64" s="46"/>
      <c r="DV64" s="46"/>
      <c r="DW64" s="46"/>
      <c r="DX64" s="47">
        <f t="shared" si="18"/>
        <v>0</v>
      </c>
      <c r="DY64" s="46"/>
      <c r="DZ64" s="46"/>
      <c r="EA64" s="46"/>
      <c r="EB64" s="46"/>
      <c r="EC64" s="46"/>
      <c r="ED64" s="46"/>
      <c r="EE64" s="47">
        <f t="shared" si="29"/>
        <v>0</v>
      </c>
      <c r="EF64" s="46"/>
      <c r="EG64" s="46"/>
      <c r="EH64" s="46"/>
      <c r="EI64" s="46"/>
      <c r="EJ64" s="46"/>
      <c r="EK64" s="47">
        <f t="shared" si="20"/>
        <v>0</v>
      </c>
      <c r="EL64" s="46">
        <f t="shared" si="21"/>
        <v>0</v>
      </c>
      <c r="EM64" s="46"/>
      <c r="EN64" s="46">
        <f t="shared" si="22"/>
        <v>0</v>
      </c>
    </row>
    <row r="65" spans="2:147" s="48" customFormat="1" ht="15" customHeight="1" x14ac:dyDescent="0.25">
      <c r="B65" s="41">
        <v>58</v>
      </c>
      <c r="C65" s="42"/>
      <c r="D65" s="43"/>
      <c r="E65" s="42"/>
      <c r="F65" s="42"/>
      <c r="G65" s="42"/>
      <c r="H65" s="42"/>
      <c r="I65" s="42"/>
      <c r="J65" s="42"/>
      <c r="K65" s="42"/>
      <c r="L65" s="42"/>
      <c r="M65" s="42"/>
      <c r="N65" s="41"/>
      <c r="O65" s="41"/>
      <c r="P65" s="42"/>
      <c r="Q65" s="45"/>
      <c r="R65" s="45"/>
      <c r="S65" s="42"/>
      <c r="T65" s="46"/>
      <c r="U65" s="46"/>
      <c r="V65" s="42"/>
      <c r="W65" s="42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7">
        <f t="shared" si="0"/>
        <v>0</v>
      </c>
      <c r="AO65" s="47">
        <f t="shared" si="1"/>
        <v>0</v>
      </c>
      <c r="AP65" s="46" t="s">
        <v>98</v>
      </c>
      <c r="AQ65" s="46">
        <f t="shared" si="50"/>
        <v>0</v>
      </c>
      <c r="AR65" s="46"/>
      <c r="AS65" s="46"/>
      <c r="AT65" s="46"/>
      <c r="AU65" s="47">
        <f t="shared" si="3"/>
        <v>0</v>
      </c>
      <c r="AV65" s="46"/>
      <c r="AW65" s="47">
        <f t="shared" ref="AW65:AW73" si="51">AQ65+AU65+AV65+AR65</f>
        <v>0</v>
      </c>
      <c r="AX65" s="46"/>
      <c r="AY65" s="46"/>
      <c r="AZ65" s="46"/>
      <c r="BA65" s="46"/>
      <c r="BB65" s="46"/>
      <c r="BC65" s="47">
        <f t="shared" si="5"/>
        <v>0</v>
      </c>
      <c r="BD65" s="46"/>
      <c r="BE65" s="47">
        <f t="shared" si="6"/>
        <v>0</v>
      </c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7">
        <f t="shared" si="9"/>
        <v>0</v>
      </c>
      <c r="CS65" s="46"/>
      <c r="CT65" s="46"/>
      <c r="CU65" s="46"/>
      <c r="CV65" s="46"/>
      <c r="CW65" s="47">
        <f t="shared" si="10"/>
        <v>0</v>
      </c>
      <c r="CX65" s="46"/>
      <c r="CY65" s="47">
        <f t="shared" si="34"/>
        <v>0</v>
      </c>
      <c r="CZ65" s="46"/>
      <c r="DA65" s="46"/>
      <c r="DB65" s="46"/>
      <c r="DC65" s="46"/>
      <c r="DD65" s="47"/>
      <c r="DE65" s="46"/>
      <c r="DF65" s="46"/>
      <c r="DG65" s="46"/>
      <c r="DH65" s="46">
        <f t="shared" si="12"/>
        <v>0</v>
      </c>
      <c r="DI65" s="46"/>
      <c r="DJ65" s="46"/>
      <c r="DK65" s="64">
        <f t="shared" si="13"/>
        <v>0</v>
      </c>
      <c r="DL65" s="47">
        <f t="shared" si="14"/>
        <v>0</v>
      </c>
      <c r="DM65" s="46"/>
      <c r="DN65" s="46">
        <f t="shared" si="49"/>
        <v>0</v>
      </c>
      <c r="DO65" s="46"/>
      <c r="DP65" s="46">
        <f t="shared" si="47"/>
        <v>0</v>
      </c>
      <c r="DQ65" s="46"/>
      <c r="DR65" s="46">
        <f t="shared" si="16"/>
        <v>0</v>
      </c>
      <c r="DS65" s="46"/>
      <c r="DT65" s="46">
        <f t="shared" si="48"/>
        <v>0</v>
      </c>
      <c r="DU65" s="46"/>
      <c r="DV65" s="46"/>
      <c r="DW65" s="46"/>
      <c r="DX65" s="47">
        <f t="shared" si="18"/>
        <v>0</v>
      </c>
      <c r="DY65" s="46"/>
      <c r="DZ65" s="46"/>
      <c r="EA65" s="46"/>
      <c r="EB65" s="46"/>
      <c r="EC65" s="46"/>
      <c r="ED65" s="46"/>
      <c r="EE65" s="47">
        <f t="shared" si="29"/>
        <v>0</v>
      </c>
      <c r="EF65" s="46"/>
      <c r="EG65" s="46"/>
      <c r="EH65" s="46"/>
      <c r="EI65" s="46"/>
      <c r="EJ65" s="46"/>
      <c r="EK65" s="47">
        <f t="shared" si="20"/>
        <v>0</v>
      </c>
      <c r="EL65" s="46">
        <f t="shared" si="21"/>
        <v>0</v>
      </c>
      <c r="EM65" s="46"/>
      <c r="EN65" s="46">
        <f t="shared" si="22"/>
        <v>0</v>
      </c>
    </row>
    <row r="66" spans="2:147" s="48" customFormat="1" ht="15" customHeight="1" x14ac:dyDescent="0.25">
      <c r="B66" s="41">
        <v>59</v>
      </c>
      <c r="C66" s="42"/>
      <c r="D66" s="43"/>
      <c r="E66" s="42"/>
      <c r="F66" s="42"/>
      <c r="G66" s="42"/>
      <c r="H66" s="42"/>
      <c r="I66" s="42"/>
      <c r="J66" s="42"/>
      <c r="K66" s="42"/>
      <c r="L66" s="42"/>
      <c r="M66" s="42"/>
      <c r="N66" s="41"/>
      <c r="O66" s="41"/>
      <c r="P66" s="42"/>
      <c r="Q66" s="45"/>
      <c r="R66" s="45"/>
      <c r="S66" s="42"/>
      <c r="T66" s="46"/>
      <c r="U66" s="46"/>
      <c r="V66" s="42"/>
      <c r="W66" s="42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7">
        <f t="shared" si="0"/>
        <v>0</v>
      </c>
      <c r="AO66" s="47">
        <f t="shared" si="1"/>
        <v>0</v>
      </c>
      <c r="AP66" s="46" t="s">
        <v>98</v>
      </c>
      <c r="AQ66" s="46">
        <f t="shared" si="50"/>
        <v>0</v>
      </c>
      <c r="AR66" s="46"/>
      <c r="AS66" s="46"/>
      <c r="AT66" s="46"/>
      <c r="AU66" s="47">
        <f t="shared" si="3"/>
        <v>0</v>
      </c>
      <c r="AV66" s="46"/>
      <c r="AW66" s="47">
        <f t="shared" si="51"/>
        <v>0</v>
      </c>
      <c r="AX66" s="46"/>
      <c r="AY66" s="46"/>
      <c r="AZ66" s="46"/>
      <c r="BA66" s="46"/>
      <c r="BB66" s="46"/>
      <c r="BC66" s="47">
        <f t="shared" si="5"/>
        <v>0</v>
      </c>
      <c r="BD66" s="46"/>
      <c r="BE66" s="47">
        <f t="shared" si="6"/>
        <v>0</v>
      </c>
      <c r="BF66" s="46"/>
      <c r="BG66" s="46"/>
      <c r="BH66" s="46"/>
      <c r="BI66" s="46"/>
      <c r="BJ66" s="46"/>
      <c r="BK66" s="46">
        <f t="shared" ref="BK66:BK77" si="52">BI66*BJ66</f>
        <v>0</v>
      </c>
      <c r="BL66" s="46"/>
      <c r="BM66" s="46">
        <f t="shared" ref="BM66:BM77" si="53">BK66</f>
        <v>0</v>
      </c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>
        <f>CN66*CO66</f>
        <v>0</v>
      </c>
      <c r="CQ66" s="46"/>
      <c r="CR66" s="47">
        <f t="shared" si="9"/>
        <v>0</v>
      </c>
      <c r="CS66" s="46"/>
      <c r="CT66" s="46"/>
      <c r="CU66" s="46"/>
      <c r="CV66" s="46"/>
      <c r="CW66" s="47">
        <f t="shared" si="10"/>
        <v>0</v>
      </c>
      <c r="CX66" s="46"/>
      <c r="CY66" s="47">
        <f t="shared" si="34"/>
        <v>0</v>
      </c>
      <c r="CZ66" s="46"/>
      <c r="DA66" s="46"/>
      <c r="DB66" s="46"/>
      <c r="DC66" s="46"/>
      <c r="DD66" s="47"/>
      <c r="DE66" s="46"/>
      <c r="DF66" s="46"/>
      <c r="DG66" s="46"/>
      <c r="DH66" s="46">
        <f t="shared" si="12"/>
        <v>0</v>
      </c>
      <c r="DI66" s="46"/>
      <c r="DJ66" s="46"/>
      <c r="DK66" s="64">
        <f t="shared" si="13"/>
        <v>0</v>
      </c>
      <c r="DL66" s="47">
        <f t="shared" si="14"/>
        <v>0</v>
      </c>
      <c r="DM66" s="46"/>
      <c r="DN66" s="46">
        <f t="shared" si="49"/>
        <v>0</v>
      </c>
      <c r="DO66" s="46"/>
      <c r="DP66" s="46">
        <f t="shared" si="47"/>
        <v>0</v>
      </c>
      <c r="DQ66" s="46"/>
      <c r="DR66" s="46">
        <f t="shared" si="16"/>
        <v>0</v>
      </c>
      <c r="DS66" s="46"/>
      <c r="DT66" s="46">
        <f t="shared" si="48"/>
        <v>0</v>
      </c>
      <c r="DU66" s="46"/>
      <c r="DV66" s="46"/>
      <c r="DW66" s="46"/>
      <c r="DX66" s="47">
        <f t="shared" si="18"/>
        <v>0</v>
      </c>
      <c r="DY66" s="46"/>
      <c r="DZ66" s="46"/>
      <c r="EA66" s="46"/>
      <c r="EB66" s="46"/>
      <c r="EC66" s="46"/>
      <c r="ED66" s="46"/>
      <c r="EE66" s="47">
        <f t="shared" si="29"/>
        <v>0</v>
      </c>
      <c r="EF66" s="46"/>
      <c r="EG66" s="46"/>
      <c r="EH66" s="46"/>
      <c r="EI66" s="46"/>
      <c r="EJ66" s="46"/>
      <c r="EK66" s="47">
        <f t="shared" si="20"/>
        <v>0</v>
      </c>
      <c r="EL66" s="46">
        <f t="shared" si="21"/>
        <v>0</v>
      </c>
      <c r="EM66" s="46"/>
      <c r="EN66" s="46">
        <f t="shared" si="22"/>
        <v>0</v>
      </c>
    </row>
    <row r="67" spans="2:147" s="48" customFormat="1" ht="15" customHeight="1" x14ac:dyDescent="0.25">
      <c r="B67" s="41">
        <v>60</v>
      </c>
      <c r="C67" s="42"/>
      <c r="D67" s="43"/>
      <c r="E67" s="42"/>
      <c r="F67" s="42"/>
      <c r="G67" s="42"/>
      <c r="H67" s="42"/>
      <c r="I67" s="42"/>
      <c r="J67" s="42"/>
      <c r="K67" s="42"/>
      <c r="L67" s="42"/>
      <c r="M67" s="42"/>
      <c r="N67" s="41"/>
      <c r="O67" s="41"/>
      <c r="P67" s="42"/>
      <c r="Q67" s="45"/>
      <c r="R67" s="45"/>
      <c r="S67" s="42"/>
      <c r="T67" s="46"/>
      <c r="U67" s="46"/>
      <c r="V67" s="42"/>
      <c r="W67" s="42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7">
        <f t="shared" si="0"/>
        <v>0</v>
      </c>
      <c r="AO67" s="47">
        <f t="shared" si="1"/>
        <v>0</v>
      </c>
      <c r="AP67" s="46" t="s">
        <v>98</v>
      </c>
      <c r="AQ67" s="46">
        <f t="shared" si="50"/>
        <v>0</v>
      </c>
      <c r="AR67" s="46"/>
      <c r="AS67" s="46"/>
      <c r="AT67" s="46"/>
      <c r="AU67" s="47">
        <f t="shared" si="3"/>
        <v>0</v>
      </c>
      <c r="AV67" s="46"/>
      <c r="AW67" s="47">
        <f t="shared" si="51"/>
        <v>0</v>
      </c>
      <c r="AX67" s="46"/>
      <c r="AY67" s="46"/>
      <c r="AZ67" s="46"/>
      <c r="BA67" s="46"/>
      <c r="BB67" s="46"/>
      <c r="BC67" s="47">
        <f t="shared" si="5"/>
        <v>0</v>
      </c>
      <c r="BD67" s="46"/>
      <c r="BE67" s="47">
        <f t="shared" si="6"/>
        <v>0</v>
      </c>
      <c r="BF67" s="46"/>
      <c r="BG67" s="46"/>
      <c r="BH67" s="46"/>
      <c r="BI67" s="46"/>
      <c r="BJ67" s="46"/>
      <c r="BK67" s="46">
        <f t="shared" si="52"/>
        <v>0</v>
      </c>
      <c r="BL67" s="46"/>
      <c r="BM67" s="46">
        <f t="shared" si="53"/>
        <v>0</v>
      </c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>
        <f>CN67*CO67</f>
        <v>0</v>
      </c>
      <c r="CQ67" s="46"/>
      <c r="CR67" s="47">
        <f t="shared" si="9"/>
        <v>0</v>
      </c>
      <c r="CS67" s="46"/>
      <c r="CT67" s="46"/>
      <c r="CU67" s="46"/>
      <c r="CV67" s="46"/>
      <c r="CW67" s="47">
        <f t="shared" si="10"/>
        <v>0</v>
      </c>
      <c r="CX67" s="46"/>
      <c r="CY67" s="47">
        <f t="shared" si="34"/>
        <v>0</v>
      </c>
      <c r="CZ67" s="46"/>
      <c r="DA67" s="46"/>
      <c r="DB67" s="46"/>
      <c r="DC67" s="46"/>
      <c r="DD67" s="47"/>
      <c r="DE67" s="46"/>
      <c r="DF67" s="46"/>
      <c r="DG67" s="46"/>
      <c r="DH67" s="46">
        <f t="shared" si="12"/>
        <v>0</v>
      </c>
      <c r="DI67" s="46"/>
      <c r="DJ67" s="46"/>
      <c r="DK67" s="64">
        <f t="shared" si="13"/>
        <v>0</v>
      </c>
      <c r="DL67" s="47">
        <f t="shared" si="14"/>
        <v>0</v>
      </c>
      <c r="DM67" s="46"/>
      <c r="DN67" s="46">
        <f t="shared" si="49"/>
        <v>0</v>
      </c>
      <c r="DO67" s="46"/>
      <c r="DP67" s="46">
        <f t="shared" si="47"/>
        <v>0</v>
      </c>
      <c r="DQ67" s="46"/>
      <c r="DR67" s="46">
        <f t="shared" si="16"/>
        <v>0</v>
      </c>
      <c r="DS67" s="46"/>
      <c r="DT67" s="46">
        <f t="shared" si="48"/>
        <v>0</v>
      </c>
      <c r="DU67" s="46"/>
      <c r="DV67" s="46"/>
      <c r="DW67" s="46"/>
      <c r="DX67" s="47">
        <f t="shared" si="18"/>
        <v>0</v>
      </c>
      <c r="DY67" s="46"/>
      <c r="DZ67" s="46"/>
      <c r="EA67" s="46"/>
      <c r="EB67" s="46"/>
      <c r="EC67" s="46"/>
      <c r="ED67" s="46"/>
      <c r="EE67" s="47">
        <f t="shared" si="29"/>
        <v>0</v>
      </c>
      <c r="EF67" s="46"/>
      <c r="EG67" s="46"/>
      <c r="EH67" s="46"/>
      <c r="EI67" s="46"/>
      <c r="EJ67" s="46"/>
      <c r="EK67" s="47">
        <f t="shared" si="20"/>
        <v>0</v>
      </c>
      <c r="EL67" s="46">
        <f t="shared" si="21"/>
        <v>0</v>
      </c>
      <c r="EM67" s="46"/>
      <c r="EN67" s="46">
        <f t="shared" si="22"/>
        <v>0</v>
      </c>
    </row>
    <row r="68" spans="2:147" s="48" customFormat="1" ht="15" customHeight="1" x14ac:dyDescent="0.25">
      <c r="B68" s="41">
        <v>61</v>
      </c>
      <c r="C68" s="42"/>
      <c r="D68" s="43"/>
      <c r="E68" s="42"/>
      <c r="F68" s="42"/>
      <c r="G68" s="42"/>
      <c r="H68" s="42"/>
      <c r="I68" s="42"/>
      <c r="J68" s="42"/>
      <c r="K68" s="42"/>
      <c r="L68" s="42"/>
      <c r="M68" s="42"/>
      <c r="N68" s="41"/>
      <c r="O68" s="41"/>
      <c r="P68" s="42"/>
      <c r="Q68" s="45"/>
      <c r="R68" s="45"/>
      <c r="S68" s="42"/>
      <c r="T68" s="46"/>
      <c r="U68" s="46"/>
      <c r="V68" s="42"/>
      <c r="W68" s="42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7">
        <f t="shared" si="0"/>
        <v>0</v>
      </c>
      <c r="AO68" s="47">
        <f t="shared" si="1"/>
        <v>0</v>
      </c>
      <c r="AP68" s="46" t="s">
        <v>98</v>
      </c>
      <c r="AQ68" s="46">
        <f t="shared" si="50"/>
        <v>0</v>
      </c>
      <c r="AR68" s="46"/>
      <c r="AS68" s="46"/>
      <c r="AT68" s="46"/>
      <c r="AU68" s="47">
        <f t="shared" si="3"/>
        <v>0</v>
      </c>
      <c r="AV68" s="46"/>
      <c r="AW68" s="47">
        <f t="shared" si="51"/>
        <v>0</v>
      </c>
      <c r="AX68" s="46"/>
      <c r="AY68" s="46"/>
      <c r="AZ68" s="46"/>
      <c r="BA68" s="46"/>
      <c r="BB68" s="46"/>
      <c r="BC68" s="47">
        <f t="shared" si="5"/>
        <v>0</v>
      </c>
      <c r="BD68" s="46"/>
      <c r="BE68" s="47">
        <f t="shared" si="6"/>
        <v>0</v>
      </c>
      <c r="BF68" s="46"/>
      <c r="BG68" s="46"/>
      <c r="BH68" s="46"/>
      <c r="BI68" s="46"/>
      <c r="BJ68" s="46"/>
      <c r="BK68" s="46">
        <f t="shared" si="52"/>
        <v>0</v>
      </c>
      <c r="BL68" s="46"/>
      <c r="BM68" s="46">
        <f t="shared" si="53"/>
        <v>0</v>
      </c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7">
        <f t="shared" si="9"/>
        <v>0</v>
      </c>
      <c r="CS68" s="46"/>
      <c r="CT68" s="46"/>
      <c r="CU68" s="46"/>
      <c r="CV68" s="46"/>
      <c r="CW68" s="47">
        <f t="shared" si="10"/>
        <v>0</v>
      </c>
      <c r="CX68" s="46"/>
      <c r="CY68" s="47">
        <f t="shared" si="34"/>
        <v>0</v>
      </c>
      <c r="CZ68" s="46"/>
      <c r="DA68" s="46"/>
      <c r="DB68" s="46"/>
      <c r="DC68" s="46"/>
      <c r="DD68" s="47">
        <f>+DB68*DC68</f>
        <v>0</v>
      </c>
      <c r="DE68" s="46"/>
      <c r="DF68" s="46">
        <f>DA68+DD68+DE68</f>
        <v>0</v>
      </c>
      <c r="DG68" s="46"/>
      <c r="DH68" s="46">
        <f t="shared" si="12"/>
        <v>0</v>
      </c>
      <c r="DI68" s="46"/>
      <c r="DJ68" s="46"/>
      <c r="DK68" s="47">
        <f t="shared" si="13"/>
        <v>0</v>
      </c>
      <c r="DL68" s="47">
        <f t="shared" si="14"/>
        <v>0</v>
      </c>
      <c r="DM68" s="46"/>
      <c r="DN68" s="46">
        <f t="shared" si="49"/>
        <v>0</v>
      </c>
      <c r="DO68" s="46"/>
      <c r="DP68" s="46">
        <f t="shared" si="47"/>
        <v>0</v>
      </c>
      <c r="DQ68" s="46"/>
      <c r="DR68" s="46">
        <f t="shared" si="16"/>
        <v>0</v>
      </c>
      <c r="DS68" s="46"/>
      <c r="DT68" s="46">
        <f t="shared" si="48"/>
        <v>0</v>
      </c>
      <c r="DU68" s="46"/>
      <c r="DV68" s="46"/>
      <c r="DW68" s="46"/>
      <c r="DX68" s="47">
        <f t="shared" si="18"/>
        <v>0</v>
      </c>
      <c r="DY68" s="46"/>
      <c r="DZ68" s="46"/>
      <c r="EA68" s="46"/>
      <c r="EB68" s="46"/>
      <c r="EC68" s="46"/>
      <c r="ED68" s="46"/>
      <c r="EE68" s="47">
        <f t="shared" si="29"/>
        <v>0</v>
      </c>
      <c r="EF68" s="46"/>
      <c r="EG68" s="46"/>
      <c r="EH68" s="46"/>
      <c r="EI68" s="46"/>
      <c r="EJ68" s="46"/>
      <c r="EK68" s="47">
        <f t="shared" si="20"/>
        <v>0</v>
      </c>
      <c r="EL68" s="46">
        <f t="shared" si="21"/>
        <v>0</v>
      </c>
      <c r="EM68" s="46"/>
      <c r="EN68" s="46">
        <f t="shared" si="22"/>
        <v>0</v>
      </c>
      <c r="EQ68" s="48">
        <f>EQ43-EQ42</f>
        <v>0</v>
      </c>
    </row>
    <row r="69" spans="2:147" s="48" customFormat="1" ht="15" customHeight="1" x14ac:dyDescent="0.25">
      <c r="B69" s="41">
        <v>62</v>
      </c>
      <c r="C69" s="42"/>
      <c r="D69" s="43"/>
      <c r="E69" s="42"/>
      <c r="F69" s="42"/>
      <c r="G69" s="42"/>
      <c r="H69" s="42"/>
      <c r="I69" s="42"/>
      <c r="J69" s="42"/>
      <c r="K69" s="42"/>
      <c r="L69" s="42"/>
      <c r="M69" s="42"/>
      <c r="N69" s="41"/>
      <c r="O69" s="41"/>
      <c r="P69" s="42"/>
      <c r="Q69" s="45"/>
      <c r="R69" s="45"/>
      <c r="S69" s="42"/>
      <c r="T69" s="46"/>
      <c r="U69" s="46"/>
      <c r="V69" s="42"/>
      <c r="W69" s="42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7">
        <f t="shared" si="0"/>
        <v>0</v>
      </c>
      <c r="AO69" s="47">
        <f t="shared" si="1"/>
        <v>0</v>
      </c>
      <c r="AP69" s="46" t="s">
        <v>98</v>
      </c>
      <c r="AQ69" s="46">
        <f t="shared" si="50"/>
        <v>0</v>
      </c>
      <c r="AR69" s="46"/>
      <c r="AS69" s="46"/>
      <c r="AT69" s="46"/>
      <c r="AU69" s="47">
        <f t="shared" si="3"/>
        <v>0</v>
      </c>
      <c r="AV69" s="46"/>
      <c r="AW69" s="47">
        <f t="shared" si="51"/>
        <v>0</v>
      </c>
      <c r="AX69" s="46"/>
      <c r="AY69" s="46"/>
      <c r="AZ69" s="46"/>
      <c r="BA69" s="46"/>
      <c r="BB69" s="46"/>
      <c r="BC69" s="47">
        <f t="shared" si="5"/>
        <v>0</v>
      </c>
      <c r="BD69" s="46"/>
      <c r="BE69" s="47">
        <f t="shared" si="6"/>
        <v>0</v>
      </c>
      <c r="BF69" s="46"/>
      <c r="BG69" s="46"/>
      <c r="BH69" s="46"/>
      <c r="BI69" s="46"/>
      <c r="BJ69" s="46"/>
      <c r="BK69" s="46">
        <f t="shared" si="52"/>
        <v>0</v>
      </c>
      <c r="BL69" s="46"/>
      <c r="BM69" s="46">
        <f t="shared" si="53"/>
        <v>0</v>
      </c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>
        <f>CN69*CO69</f>
        <v>0</v>
      </c>
      <c r="CQ69" s="46"/>
      <c r="CR69" s="47">
        <f t="shared" si="9"/>
        <v>0</v>
      </c>
      <c r="CS69" s="46"/>
      <c r="CT69" s="46"/>
      <c r="CU69" s="46"/>
      <c r="CV69" s="46"/>
      <c r="CW69" s="47">
        <f t="shared" si="10"/>
        <v>0</v>
      </c>
      <c r="CX69" s="46"/>
      <c r="CY69" s="47">
        <f t="shared" si="34"/>
        <v>0</v>
      </c>
      <c r="CZ69" s="46"/>
      <c r="DA69" s="46"/>
      <c r="DB69" s="46"/>
      <c r="DC69" s="46"/>
      <c r="DD69" s="47"/>
      <c r="DE69" s="46"/>
      <c r="DF69" s="46"/>
      <c r="DG69" s="46"/>
      <c r="DH69" s="46">
        <f t="shared" si="12"/>
        <v>0</v>
      </c>
      <c r="DI69" s="46"/>
      <c r="DJ69" s="46"/>
      <c r="DK69" s="47">
        <f t="shared" si="13"/>
        <v>0</v>
      </c>
      <c r="DL69" s="47">
        <f t="shared" si="14"/>
        <v>0</v>
      </c>
      <c r="DM69" s="46"/>
      <c r="DN69" s="46">
        <f t="shared" si="49"/>
        <v>0</v>
      </c>
      <c r="DO69" s="46"/>
      <c r="DP69" s="46">
        <f t="shared" si="47"/>
        <v>0</v>
      </c>
      <c r="DQ69" s="46"/>
      <c r="DR69" s="46">
        <f t="shared" si="16"/>
        <v>0</v>
      </c>
      <c r="DS69" s="46"/>
      <c r="DT69" s="46">
        <f t="shared" si="48"/>
        <v>0</v>
      </c>
      <c r="DU69" s="46"/>
      <c r="DV69" s="46"/>
      <c r="DW69" s="46"/>
      <c r="DX69" s="47">
        <f t="shared" si="18"/>
        <v>0</v>
      </c>
      <c r="DY69" s="46"/>
      <c r="DZ69" s="46"/>
      <c r="EA69" s="46"/>
      <c r="EB69" s="46"/>
      <c r="EC69" s="46"/>
      <c r="ED69" s="46"/>
      <c r="EE69" s="47">
        <f t="shared" si="29"/>
        <v>0</v>
      </c>
      <c r="EF69" s="46"/>
      <c r="EG69" s="46"/>
      <c r="EH69" s="46"/>
      <c r="EI69" s="46"/>
      <c r="EJ69" s="46"/>
      <c r="EK69" s="47">
        <f t="shared" si="20"/>
        <v>0</v>
      </c>
      <c r="EL69" s="46">
        <f t="shared" si="21"/>
        <v>0</v>
      </c>
      <c r="EM69" s="46"/>
      <c r="EN69" s="46">
        <f t="shared" si="22"/>
        <v>0</v>
      </c>
    </row>
    <row r="70" spans="2:147" s="48" customFormat="1" ht="15" customHeight="1" x14ac:dyDescent="0.25">
      <c r="B70" s="41">
        <v>63</v>
      </c>
      <c r="C70" s="42"/>
      <c r="D70" s="43"/>
      <c r="E70" s="42"/>
      <c r="F70" s="42"/>
      <c r="G70" s="42"/>
      <c r="H70" s="42"/>
      <c r="I70" s="42"/>
      <c r="J70" s="42"/>
      <c r="K70" s="42"/>
      <c r="L70" s="42"/>
      <c r="M70" s="42"/>
      <c r="N70" s="41"/>
      <c r="O70" s="41"/>
      <c r="P70" s="42"/>
      <c r="Q70" s="45"/>
      <c r="R70" s="45"/>
      <c r="S70" s="42"/>
      <c r="T70" s="46"/>
      <c r="U70" s="46"/>
      <c r="V70" s="42"/>
      <c r="W70" s="42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7">
        <f t="shared" si="0"/>
        <v>0</v>
      </c>
      <c r="AO70" s="47">
        <f t="shared" si="1"/>
        <v>0</v>
      </c>
      <c r="AP70" s="46" t="s">
        <v>98</v>
      </c>
      <c r="AQ70" s="46">
        <f t="shared" si="50"/>
        <v>0</v>
      </c>
      <c r="AR70" s="46"/>
      <c r="AS70" s="46"/>
      <c r="AT70" s="46"/>
      <c r="AU70" s="47">
        <f t="shared" si="3"/>
        <v>0</v>
      </c>
      <c r="AV70" s="46"/>
      <c r="AW70" s="47">
        <f t="shared" si="51"/>
        <v>0</v>
      </c>
      <c r="AX70" s="46"/>
      <c r="AY70" s="46"/>
      <c r="AZ70" s="46"/>
      <c r="BA70" s="46"/>
      <c r="BB70" s="46"/>
      <c r="BC70" s="47">
        <f t="shared" si="5"/>
        <v>0</v>
      </c>
      <c r="BD70" s="46"/>
      <c r="BE70" s="47">
        <f t="shared" si="6"/>
        <v>0</v>
      </c>
      <c r="BF70" s="46"/>
      <c r="BG70" s="46"/>
      <c r="BH70" s="46"/>
      <c r="BI70" s="46"/>
      <c r="BJ70" s="46"/>
      <c r="BK70" s="46">
        <f t="shared" si="52"/>
        <v>0</v>
      </c>
      <c r="BL70" s="46"/>
      <c r="BM70" s="46">
        <f t="shared" si="53"/>
        <v>0</v>
      </c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>
        <f>CN70*CO70</f>
        <v>0</v>
      </c>
      <c r="CQ70" s="46"/>
      <c r="CR70" s="47">
        <f t="shared" si="9"/>
        <v>0</v>
      </c>
      <c r="CS70" s="46"/>
      <c r="CT70" s="46"/>
      <c r="CU70" s="46"/>
      <c r="CV70" s="46"/>
      <c r="CW70" s="47">
        <f t="shared" si="10"/>
        <v>0</v>
      </c>
      <c r="CX70" s="46"/>
      <c r="CY70" s="47">
        <f t="shared" si="34"/>
        <v>0</v>
      </c>
      <c r="CZ70" s="46"/>
      <c r="DA70" s="46"/>
      <c r="DB70" s="46"/>
      <c r="DC70" s="46"/>
      <c r="DD70" s="47"/>
      <c r="DE70" s="46"/>
      <c r="DF70" s="46"/>
      <c r="DG70" s="46"/>
      <c r="DH70" s="46">
        <f t="shared" si="12"/>
        <v>0</v>
      </c>
      <c r="DI70" s="46"/>
      <c r="DJ70" s="46"/>
      <c r="DK70" s="64">
        <f t="shared" si="13"/>
        <v>0</v>
      </c>
      <c r="DL70" s="47">
        <f t="shared" si="14"/>
        <v>0</v>
      </c>
      <c r="DM70" s="46"/>
      <c r="DN70" s="46">
        <f t="shared" si="49"/>
        <v>0</v>
      </c>
      <c r="DO70" s="46"/>
      <c r="DP70" s="46">
        <f t="shared" si="47"/>
        <v>0</v>
      </c>
      <c r="DQ70" s="46"/>
      <c r="DR70" s="46">
        <f t="shared" si="16"/>
        <v>0</v>
      </c>
      <c r="DS70" s="46"/>
      <c r="DT70" s="46">
        <f t="shared" si="48"/>
        <v>0</v>
      </c>
      <c r="DU70" s="46"/>
      <c r="DV70" s="46"/>
      <c r="DW70" s="46"/>
      <c r="DX70" s="47">
        <f t="shared" si="18"/>
        <v>0</v>
      </c>
      <c r="DY70" s="46"/>
      <c r="DZ70" s="46"/>
      <c r="EA70" s="46"/>
      <c r="EB70" s="46"/>
      <c r="EC70" s="46"/>
      <c r="ED70" s="46"/>
      <c r="EE70" s="47">
        <f t="shared" si="29"/>
        <v>0</v>
      </c>
      <c r="EF70" s="46"/>
      <c r="EG70" s="46"/>
      <c r="EH70" s="46"/>
      <c r="EI70" s="46"/>
      <c r="EJ70" s="46"/>
      <c r="EK70" s="47">
        <f t="shared" si="20"/>
        <v>0</v>
      </c>
      <c r="EL70" s="46">
        <f t="shared" si="21"/>
        <v>0</v>
      </c>
      <c r="EM70" s="46"/>
      <c r="EN70" s="46">
        <f t="shared" si="22"/>
        <v>0</v>
      </c>
    </row>
    <row r="71" spans="2:147" s="48" customFormat="1" ht="15.75" customHeight="1" x14ac:dyDescent="0.25">
      <c r="B71" s="41">
        <v>64</v>
      </c>
      <c r="C71" s="42"/>
      <c r="D71" s="43"/>
      <c r="E71" s="42"/>
      <c r="F71" s="42"/>
      <c r="G71" s="42"/>
      <c r="H71" s="42"/>
      <c r="I71" s="42"/>
      <c r="J71" s="42"/>
      <c r="K71" s="42"/>
      <c r="L71" s="42"/>
      <c r="M71" s="42"/>
      <c r="N71" s="41"/>
      <c r="O71" s="41"/>
      <c r="P71" s="42"/>
      <c r="Q71" s="45"/>
      <c r="R71" s="45"/>
      <c r="S71" s="42"/>
      <c r="T71" s="46"/>
      <c r="U71" s="46"/>
      <c r="V71" s="42"/>
      <c r="W71" s="42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7">
        <f t="shared" si="0"/>
        <v>0</v>
      </c>
      <c r="AO71" s="47">
        <f t="shared" si="1"/>
        <v>0</v>
      </c>
      <c r="AP71" s="46" t="s">
        <v>98</v>
      </c>
      <c r="AQ71" s="46">
        <f t="shared" si="50"/>
        <v>0</v>
      </c>
      <c r="AR71" s="46"/>
      <c r="AS71" s="46"/>
      <c r="AT71" s="46"/>
      <c r="AU71" s="47">
        <f t="shared" si="3"/>
        <v>0</v>
      </c>
      <c r="AV71" s="46"/>
      <c r="AW71" s="47">
        <f t="shared" si="51"/>
        <v>0</v>
      </c>
      <c r="AX71" s="46"/>
      <c r="AY71" s="46"/>
      <c r="AZ71" s="46"/>
      <c r="BA71" s="46"/>
      <c r="BB71" s="46"/>
      <c r="BC71" s="47">
        <f t="shared" si="5"/>
        <v>0</v>
      </c>
      <c r="BD71" s="46"/>
      <c r="BE71" s="47">
        <f t="shared" si="6"/>
        <v>0</v>
      </c>
      <c r="BF71" s="46"/>
      <c r="BG71" s="46"/>
      <c r="BH71" s="46"/>
      <c r="BI71" s="46"/>
      <c r="BJ71" s="46"/>
      <c r="BK71" s="46">
        <f t="shared" si="52"/>
        <v>0</v>
      </c>
      <c r="BL71" s="46"/>
      <c r="BM71" s="46">
        <f t="shared" si="53"/>
        <v>0</v>
      </c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7">
        <f t="shared" si="9"/>
        <v>0</v>
      </c>
      <c r="CS71" s="46"/>
      <c r="CT71" s="46"/>
      <c r="CU71" s="46"/>
      <c r="CV71" s="46"/>
      <c r="CW71" s="47">
        <f t="shared" si="10"/>
        <v>0</v>
      </c>
      <c r="CX71" s="46"/>
      <c r="CY71" s="47">
        <f t="shared" si="34"/>
        <v>0</v>
      </c>
      <c r="CZ71" s="46"/>
      <c r="DA71" s="46"/>
      <c r="DB71" s="46"/>
      <c r="DC71" s="46"/>
      <c r="DD71" s="47">
        <f>+DB71*DC71</f>
        <v>0</v>
      </c>
      <c r="DE71" s="46"/>
      <c r="DF71" s="46">
        <f>DA71+DD71+DE71</f>
        <v>0</v>
      </c>
      <c r="DG71" s="46"/>
      <c r="DH71" s="46">
        <f t="shared" si="12"/>
        <v>0</v>
      </c>
      <c r="DI71" s="46"/>
      <c r="DJ71" s="46"/>
      <c r="DK71" s="64">
        <f t="shared" si="13"/>
        <v>0</v>
      </c>
      <c r="DL71" s="47">
        <f t="shared" si="14"/>
        <v>0</v>
      </c>
      <c r="DM71" s="46"/>
      <c r="DN71" s="46">
        <f t="shared" si="49"/>
        <v>0</v>
      </c>
      <c r="DO71" s="46"/>
      <c r="DP71" s="46">
        <f t="shared" si="47"/>
        <v>0</v>
      </c>
      <c r="DQ71" s="46"/>
      <c r="DR71" s="46">
        <f t="shared" si="16"/>
        <v>0</v>
      </c>
      <c r="DS71" s="46"/>
      <c r="DT71" s="46">
        <f t="shared" si="48"/>
        <v>0</v>
      </c>
      <c r="DU71" s="46"/>
      <c r="DV71" s="46"/>
      <c r="DW71" s="46"/>
      <c r="DX71" s="47">
        <f t="shared" si="18"/>
        <v>0</v>
      </c>
      <c r="DY71" s="46"/>
      <c r="DZ71" s="46"/>
      <c r="EA71" s="46"/>
      <c r="EB71" s="46"/>
      <c r="EC71" s="46"/>
      <c r="ED71" s="46"/>
      <c r="EE71" s="47">
        <f t="shared" si="29"/>
        <v>0</v>
      </c>
      <c r="EF71" s="46"/>
      <c r="EG71" s="46"/>
      <c r="EH71" s="46"/>
      <c r="EI71" s="46"/>
      <c r="EJ71" s="46"/>
      <c r="EK71" s="47">
        <f t="shared" si="20"/>
        <v>0</v>
      </c>
      <c r="EL71" s="46">
        <f t="shared" si="21"/>
        <v>0</v>
      </c>
      <c r="EM71" s="46"/>
      <c r="EN71" s="46">
        <f t="shared" si="22"/>
        <v>0</v>
      </c>
    </row>
    <row r="72" spans="2:147" s="48" customFormat="1" ht="15" customHeight="1" x14ac:dyDescent="0.25">
      <c r="B72" s="41">
        <v>65</v>
      </c>
      <c r="C72" s="42"/>
      <c r="D72" s="43"/>
      <c r="E72" s="42"/>
      <c r="F72" s="42"/>
      <c r="G72" s="42"/>
      <c r="H72" s="42"/>
      <c r="I72" s="42"/>
      <c r="J72" s="42"/>
      <c r="K72" s="42"/>
      <c r="L72" s="42"/>
      <c r="M72" s="42"/>
      <c r="N72" s="41"/>
      <c r="O72" s="41"/>
      <c r="P72" s="42"/>
      <c r="Q72" s="45"/>
      <c r="R72" s="45"/>
      <c r="S72" s="42"/>
      <c r="T72" s="46"/>
      <c r="U72" s="46"/>
      <c r="V72" s="42"/>
      <c r="W72" s="42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7">
        <f t="shared" si="0"/>
        <v>0</v>
      </c>
      <c r="AO72" s="47">
        <f t="shared" si="1"/>
        <v>0</v>
      </c>
      <c r="AP72" s="46" t="s">
        <v>98</v>
      </c>
      <c r="AQ72" s="46">
        <f t="shared" si="50"/>
        <v>0</v>
      </c>
      <c r="AR72" s="46"/>
      <c r="AS72" s="46"/>
      <c r="AT72" s="46"/>
      <c r="AU72" s="47">
        <f t="shared" si="3"/>
        <v>0</v>
      </c>
      <c r="AV72" s="46"/>
      <c r="AW72" s="47">
        <f t="shared" si="51"/>
        <v>0</v>
      </c>
      <c r="AX72" s="46"/>
      <c r="AY72" s="46"/>
      <c r="AZ72" s="46"/>
      <c r="BA72" s="46"/>
      <c r="BB72" s="46"/>
      <c r="BC72" s="47">
        <f t="shared" si="5"/>
        <v>0</v>
      </c>
      <c r="BD72" s="46"/>
      <c r="BE72" s="47">
        <f t="shared" si="6"/>
        <v>0</v>
      </c>
      <c r="BF72" s="46"/>
      <c r="BG72" s="46"/>
      <c r="BH72" s="46"/>
      <c r="BI72" s="46"/>
      <c r="BJ72" s="46"/>
      <c r="BK72" s="46">
        <f t="shared" si="52"/>
        <v>0</v>
      </c>
      <c r="BL72" s="46"/>
      <c r="BM72" s="46">
        <f t="shared" si="53"/>
        <v>0</v>
      </c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>
        <f>CN72*CO72</f>
        <v>0</v>
      </c>
      <c r="CQ72" s="46"/>
      <c r="CR72" s="47">
        <f t="shared" si="9"/>
        <v>0</v>
      </c>
      <c r="CS72" s="46"/>
      <c r="CT72" s="46"/>
      <c r="CU72" s="46"/>
      <c r="CV72" s="46"/>
      <c r="CW72" s="47">
        <f t="shared" si="10"/>
        <v>0</v>
      </c>
      <c r="CX72" s="46"/>
      <c r="CY72" s="47">
        <f t="shared" si="34"/>
        <v>0</v>
      </c>
      <c r="CZ72" s="46"/>
      <c r="DA72" s="46"/>
      <c r="DB72" s="46"/>
      <c r="DC72" s="46"/>
      <c r="DD72" s="47"/>
      <c r="DE72" s="46"/>
      <c r="DF72" s="46"/>
      <c r="DG72" s="46"/>
      <c r="DH72" s="46">
        <f t="shared" si="12"/>
        <v>0</v>
      </c>
      <c r="DI72" s="46"/>
      <c r="DJ72" s="46"/>
      <c r="DK72" s="64">
        <f t="shared" si="13"/>
        <v>0</v>
      </c>
      <c r="DL72" s="47">
        <f t="shared" si="14"/>
        <v>0</v>
      </c>
      <c r="DM72" s="46"/>
      <c r="DN72" s="46">
        <f t="shared" si="49"/>
        <v>0</v>
      </c>
      <c r="DO72" s="46"/>
      <c r="DP72" s="46">
        <f t="shared" si="47"/>
        <v>0</v>
      </c>
      <c r="DQ72" s="46"/>
      <c r="DR72" s="46">
        <f t="shared" si="16"/>
        <v>0</v>
      </c>
      <c r="DS72" s="46"/>
      <c r="DT72" s="46">
        <f t="shared" si="48"/>
        <v>0</v>
      </c>
      <c r="DU72" s="46"/>
      <c r="DV72" s="46"/>
      <c r="DW72" s="46"/>
      <c r="DX72" s="47">
        <f t="shared" si="18"/>
        <v>0</v>
      </c>
      <c r="DY72" s="46"/>
      <c r="DZ72" s="46"/>
      <c r="EA72" s="46"/>
      <c r="EB72" s="46"/>
      <c r="EC72" s="46"/>
      <c r="ED72" s="46"/>
      <c r="EE72" s="47">
        <f t="shared" si="29"/>
        <v>0</v>
      </c>
      <c r="EF72" s="46"/>
      <c r="EG72" s="46"/>
      <c r="EH72" s="46"/>
      <c r="EI72" s="46"/>
      <c r="EJ72" s="46"/>
      <c r="EK72" s="47">
        <f t="shared" si="20"/>
        <v>0</v>
      </c>
      <c r="EL72" s="46">
        <f t="shared" si="21"/>
        <v>0</v>
      </c>
      <c r="EM72" s="46"/>
      <c r="EN72" s="46">
        <f t="shared" si="22"/>
        <v>0</v>
      </c>
    </row>
    <row r="73" spans="2:147" s="48" customFormat="1" ht="15" customHeight="1" x14ac:dyDescent="0.25">
      <c r="B73" s="41">
        <v>66</v>
      </c>
      <c r="C73" s="42"/>
      <c r="D73" s="43"/>
      <c r="E73" s="42"/>
      <c r="F73" s="42"/>
      <c r="G73" s="42"/>
      <c r="H73" s="42"/>
      <c r="I73" s="42"/>
      <c r="J73" s="42"/>
      <c r="K73" s="42"/>
      <c r="L73" s="42"/>
      <c r="M73" s="42"/>
      <c r="N73" s="41"/>
      <c r="O73" s="41"/>
      <c r="P73" s="42"/>
      <c r="Q73" s="45"/>
      <c r="R73" s="45"/>
      <c r="S73" s="42"/>
      <c r="T73" s="46"/>
      <c r="U73" s="46"/>
      <c r="V73" s="42"/>
      <c r="W73" s="42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7">
        <f t="shared" ref="AN73:AN130" si="54">+X73+Y73+Z73+AA73+AB73+AC73+AD73+AE73+AF73+AG73+AH73+AI73+AJ73+AL73+AM73</f>
        <v>0</v>
      </c>
      <c r="AO73" s="47">
        <f t="shared" ref="AO73:AO130" si="55">+T73-AN73</f>
        <v>0</v>
      </c>
      <c r="AP73" s="46" t="s">
        <v>98</v>
      </c>
      <c r="AQ73" s="46">
        <f t="shared" si="50"/>
        <v>0</v>
      </c>
      <c r="AR73" s="46"/>
      <c r="AS73" s="46"/>
      <c r="AT73" s="46"/>
      <c r="AU73" s="47">
        <f t="shared" ref="AU73:AU94" si="56">AS73*AT73</f>
        <v>0</v>
      </c>
      <c r="AV73" s="46"/>
      <c r="AW73" s="47">
        <f t="shared" si="51"/>
        <v>0</v>
      </c>
      <c r="AX73" s="46"/>
      <c r="AY73" s="46"/>
      <c r="AZ73" s="46"/>
      <c r="BA73" s="46"/>
      <c r="BB73" s="46"/>
      <c r="BC73" s="47">
        <f t="shared" ref="BC73:BC91" si="57">BA73*BB73</f>
        <v>0</v>
      </c>
      <c r="BD73" s="46"/>
      <c r="BE73" s="47">
        <f t="shared" ref="BE73:BE93" si="58">+AY73+AZ73+BC73+BD73</f>
        <v>0</v>
      </c>
      <c r="BF73" s="46"/>
      <c r="BG73" s="46"/>
      <c r="BH73" s="46"/>
      <c r="BI73" s="46"/>
      <c r="BJ73" s="46"/>
      <c r="BK73" s="46">
        <f t="shared" si="52"/>
        <v>0</v>
      </c>
      <c r="BL73" s="46"/>
      <c r="BM73" s="46">
        <f t="shared" si="53"/>
        <v>0</v>
      </c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7">
        <f t="shared" ref="CR73:CR94" si="59">CM73+CP73+CQ73</f>
        <v>0</v>
      </c>
      <c r="CS73" s="46"/>
      <c r="CT73" s="46"/>
      <c r="CU73" s="46"/>
      <c r="CV73" s="46"/>
      <c r="CW73" s="47">
        <f t="shared" ref="CW73:CW90" si="60">CU73*CV73</f>
        <v>0</v>
      </c>
      <c r="CX73" s="46"/>
      <c r="CY73" s="47">
        <f t="shared" si="34"/>
        <v>0</v>
      </c>
      <c r="CZ73" s="46"/>
      <c r="DA73" s="46"/>
      <c r="DB73" s="46"/>
      <c r="DC73" s="46"/>
      <c r="DD73" s="47">
        <f>+DB73*DC73</f>
        <v>0</v>
      </c>
      <c r="DE73" s="46"/>
      <c r="DF73" s="46">
        <f>DC73</f>
        <v>0</v>
      </c>
      <c r="DG73" s="46"/>
      <c r="DH73" s="46">
        <f t="shared" ref="DH73:DH131" si="61">AQ73/2</f>
        <v>0</v>
      </c>
      <c r="DI73" s="46"/>
      <c r="DJ73" s="46"/>
      <c r="DK73" s="64">
        <f t="shared" ref="DK73:DK94" si="62">DI73*DJ73</f>
        <v>0</v>
      </c>
      <c r="DL73" s="47">
        <f t="shared" ref="DL73:DL130" si="63">+DH73+DK73</f>
        <v>0</v>
      </c>
      <c r="DM73" s="46"/>
      <c r="DN73" s="46">
        <f t="shared" si="49"/>
        <v>0</v>
      </c>
      <c r="DO73" s="46"/>
      <c r="DP73" s="46">
        <f t="shared" si="47"/>
        <v>0</v>
      </c>
      <c r="DQ73" s="46"/>
      <c r="DR73" s="46">
        <f t="shared" ref="DR73:DR97" si="64">DP73</f>
        <v>0</v>
      </c>
      <c r="DS73" s="46"/>
      <c r="DT73" s="46">
        <f t="shared" si="48"/>
        <v>0</v>
      </c>
      <c r="DU73" s="46"/>
      <c r="DV73" s="46"/>
      <c r="DW73" s="46"/>
      <c r="DX73" s="47">
        <f t="shared" ref="DX73:DX136" si="65">+DN73+DP73+DR73+DT73+DV73</f>
        <v>0</v>
      </c>
      <c r="DY73" s="46"/>
      <c r="DZ73" s="46"/>
      <c r="EA73" s="46"/>
      <c r="EB73" s="46"/>
      <c r="EC73" s="46"/>
      <c r="ED73" s="46"/>
      <c r="EE73" s="47">
        <f t="shared" si="29"/>
        <v>0</v>
      </c>
      <c r="EF73" s="46"/>
      <c r="EG73" s="46"/>
      <c r="EH73" s="46"/>
      <c r="EI73" s="46"/>
      <c r="EJ73" s="46"/>
      <c r="EK73" s="47">
        <f t="shared" ref="EK73:EK94" si="66">+EG73+EH73+EI73+EJ73</f>
        <v>0</v>
      </c>
      <c r="EL73" s="46">
        <f t="shared" ref="EL73:EL94" si="67">+AO73-EE73-EK73</f>
        <v>0</v>
      </c>
      <c r="EM73" s="46"/>
      <c r="EN73" s="46">
        <f t="shared" ref="EN73:EN94" si="68">EL73+EM73</f>
        <v>0</v>
      </c>
    </row>
    <row r="74" spans="2:147" s="48" customFormat="1" ht="14.25" customHeight="1" x14ac:dyDescent="0.25">
      <c r="B74" s="41">
        <v>67</v>
      </c>
      <c r="C74" s="42"/>
      <c r="D74" s="43"/>
      <c r="E74" s="42"/>
      <c r="F74" s="42"/>
      <c r="G74" s="42"/>
      <c r="H74" s="42"/>
      <c r="I74" s="42"/>
      <c r="J74" s="42"/>
      <c r="K74" s="42"/>
      <c r="L74" s="42"/>
      <c r="M74" s="42"/>
      <c r="N74" s="41"/>
      <c r="O74" s="41"/>
      <c r="P74" s="42"/>
      <c r="Q74" s="45"/>
      <c r="R74" s="45"/>
      <c r="S74" s="42"/>
      <c r="T74" s="46"/>
      <c r="U74" s="46"/>
      <c r="V74" s="42"/>
      <c r="W74" s="42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>
        <f t="shared" si="54"/>
        <v>0</v>
      </c>
      <c r="AO74" s="46">
        <f t="shared" si="55"/>
        <v>0</v>
      </c>
      <c r="AP74" s="46" t="s">
        <v>102</v>
      </c>
      <c r="AQ74" s="46"/>
      <c r="AR74" s="46"/>
      <c r="AS74" s="46"/>
      <c r="AT74" s="46"/>
      <c r="AU74" s="47">
        <f t="shared" si="56"/>
        <v>0</v>
      </c>
      <c r="AV74" s="46"/>
      <c r="AW74" s="47">
        <f>AQ74+AU74+AV74</f>
        <v>0</v>
      </c>
      <c r="AX74" s="46"/>
      <c r="AY74" s="46"/>
      <c r="AZ74" s="46"/>
      <c r="BA74" s="46"/>
      <c r="BB74" s="46"/>
      <c r="BC74" s="47">
        <f t="shared" si="57"/>
        <v>0</v>
      </c>
      <c r="BD74" s="46"/>
      <c r="BE74" s="47">
        <f t="shared" si="58"/>
        <v>0</v>
      </c>
      <c r="BF74" s="46"/>
      <c r="BG74" s="46"/>
      <c r="BH74" s="46"/>
      <c r="BI74" s="46"/>
      <c r="BJ74" s="46"/>
      <c r="BK74" s="46">
        <f t="shared" si="52"/>
        <v>0</v>
      </c>
      <c r="BL74" s="46"/>
      <c r="BM74" s="46">
        <f t="shared" si="53"/>
        <v>0</v>
      </c>
      <c r="BN74" s="46"/>
      <c r="BO74" s="46"/>
      <c r="BP74" s="46"/>
      <c r="BQ74" s="46"/>
      <c r="BR74" s="46"/>
      <c r="BS74" s="46">
        <f>BQ74*BR74</f>
        <v>0</v>
      </c>
      <c r="BT74" s="46"/>
      <c r="BU74" s="46">
        <f>BS74</f>
        <v>0</v>
      </c>
      <c r="BV74" s="46"/>
      <c r="BW74" s="46"/>
      <c r="BX74" s="46"/>
      <c r="BY74" s="46"/>
      <c r="BZ74" s="46"/>
      <c r="CA74" s="46">
        <f>BY74*BZ74</f>
        <v>0</v>
      </c>
      <c r="CB74" s="46"/>
      <c r="CC74" s="46">
        <f>CA74</f>
        <v>0</v>
      </c>
      <c r="CD74" s="46"/>
      <c r="CE74" s="46"/>
      <c r="CF74" s="46"/>
      <c r="CG74" s="46"/>
      <c r="CH74" s="46"/>
      <c r="CI74" s="46">
        <f>CG74*CH74</f>
        <v>0</v>
      </c>
      <c r="CJ74" s="46"/>
      <c r="CK74" s="46">
        <f>CI74</f>
        <v>0</v>
      </c>
      <c r="CL74" s="46"/>
      <c r="CM74" s="46"/>
      <c r="CN74" s="46"/>
      <c r="CO74" s="46"/>
      <c r="CP74" s="46"/>
      <c r="CQ74" s="46"/>
      <c r="CR74" s="47">
        <f t="shared" si="59"/>
        <v>0</v>
      </c>
      <c r="CS74" s="46"/>
      <c r="CT74" s="46"/>
      <c r="CU74" s="46"/>
      <c r="CV74" s="46"/>
      <c r="CW74" s="47">
        <f t="shared" si="60"/>
        <v>0</v>
      </c>
      <c r="CX74" s="46"/>
      <c r="CY74" s="47">
        <f t="shared" si="34"/>
        <v>0</v>
      </c>
      <c r="CZ74" s="46"/>
      <c r="DA74" s="46"/>
      <c r="DB74" s="46"/>
      <c r="DC74" s="46"/>
      <c r="DD74" s="47">
        <f>+DB74*DC74</f>
        <v>0</v>
      </c>
      <c r="DE74" s="46"/>
      <c r="DF74" s="46">
        <f>DC74</f>
        <v>0</v>
      </c>
      <c r="DG74" s="46"/>
      <c r="DH74" s="46">
        <f t="shared" si="61"/>
        <v>0</v>
      </c>
      <c r="DI74" s="46"/>
      <c r="DJ74" s="46"/>
      <c r="DK74" s="47">
        <f t="shared" si="62"/>
        <v>0</v>
      </c>
      <c r="DL74" s="47">
        <f t="shared" si="63"/>
        <v>0</v>
      </c>
      <c r="DM74" s="46"/>
      <c r="DN74" s="46">
        <f t="shared" si="49"/>
        <v>0</v>
      </c>
      <c r="DO74" s="46"/>
      <c r="DP74" s="46">
        <f t="shared" si="47"/>
        <v>0</v>
      </c>
      <c r="DQ74" s="46"/>
      <c r="DR74" s="46">
        <f t="shared" si="64"/>
        <v>0</v>
      </c>
      <c r="DS74" s="46"/>
      <c r="DT74" s="46">
        <f t="shared" si="48"/>
        <v>0</v>
      </c>
      <c r="DU74" s="46"/>
      <c r="DV74" s="46"/>
      <c r="DW74" s="46"/>
      <c r="DX74" s="47">
        <f t="shared" si="65"/>
        <v>0</v>
      </c>
      <c r="DY74" s="46"/>
      <c r="DZ74" s="46"/>
      <c r="EA74" s="46"/>
      <c r="EB74" s="46"/>
      <c r="EC74" s="46"/>
      <c r="ED74" s="46"/>
      <c r="EE74" s="47">
        <f t="shared" si="29"/>
        <v>0</v>
      </c>
      <c r="EF74" s="46"/>
      <c r="EG74" s="46"/>
      <c r="EH74" s="46"/>
      <c r="EI74" s="46"/>
      <c r="EJ74" s="46"/>
      <c r="EK74" s="47">
        <f t="shared" si="66"/>
        <v>0</v>
      </c>
      <c r="EL74" s="46">
        <f t="shared" si="67"/>
        <v>0</v>
      </c>
      <c r="EM74" s="46"/>
      <c r="EN74" s="46">
        <f t="shared" si="68"/>
        <v>0</v>
      </c>
    </row>
    <row r="75" spans="2:147" s="48" customFormat="1" ht="15" customHeight="1" x14ac:dyDescent="0.25">
      <c r="B75" s="41">
        <v>68</v>
      </c>
      <c r="C75" s="42"/>
      <c r="D75" s="43"/>
      <c r="E75" s="42"/>
      <c r="F75" s="42"/>
      <c r="G75" s="42"/>
      <c r="H75" s="42"/>
      <c r="I75" s="42"/>
      <c r="J75" s="42"/>
      <c r="K75" s="42"/>
      <c r="L75" s="42"/>
      <c r="M75" s="42"/>
      <c r="N75" s="41"/>
      <c r="O75" s="41"/>
      <c r="P75" s="42"/>
      <c r="Q75" s="45"/>
      <c r="R75" s="45"/>
      <c r="S75" s="42"/>
      <c r="T75" s="46"/>
      <c r="U75" s="46"/>
      <c r="V75" s="42"/>
      <c r="W75" s="42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>
        <f t="shared" si="54"/>
        <v>0</v>
      </c>
      <c r="AO75" s="46">
        <f t="shared" si="55"/>
        <v>0</v>
      </c>
      <c r="AP75" s="46" t="s">
        <v>98</v>
      </c>
      <c r="AQ75" s="46">
        <f t="shared" ref="AQ75:AQ85" si="69">18%*AO75</f>
        <v>0</v>
      </c>
      <c r="AR75" s="46"/>
      <c r="AS75" s="46"/>
      <c r="AT75" s="46"/>
      <c r="AU75" s="47">
        <f t="shared" si="56"/>
        <v>0</v>
      </c>
      <c r="AV75" s="46"/>
      <c r="AW75" s="47">
        <f>AQ75+AU75+AV75</f>
        <v>0</v>
      </c>
      <c r="AX75" s="46"/>
      <c r="AY75" s="46"/>
      <c r="AZ75" s="46"/>
      <c r="BA75" s="46"/>
      <c r="BB75" s="46"/>
      <c r="BC75" s="47">
        <f t="shared" si="57"/>
        <v>0</v>
      </c>
      <c r="BD75" s="46"/>
      <c r="BE75" s="47">
        <f t="shared" si="58"/>
        <v>0</v>
      </c>
      <c r="BF75" s="46"/>
      <c r="BG75" s="46"/>
      <c r="BH75" s="46"/>
      <c r="BI75" s="46"/>
      <c r="BJ75" s="46"/>
      <c r="BK75" s="46">
        <f t="shared" si="52"/>
        <v>0</v>
      </c>
      <c r="BL75" s="46"/>
      <c r="BM75" s="46">
        <f t="shared" si="53"/>
        <v>0</v>
      </c>
      <c r="BN75" s="46"/>
      <c r="BO75" s="46"/>
      <c r="BP75" s="46"/>
      <c r="BQ75" s="46"/>
      <c r="BR75" s="46"/>
      <c r="BS75" s="46">
        <f>BQ75*BR75</f>
        <v>0</v>
      </c>
      <c r="BT75" s="46"/>
      <c r="BU75" s="46">
        <f>BS75</f>
        <v>0</v>
      </c>
      <c r="BV75" s="46"/>
      <c r="BW75" s="46"/>
      <c r="BX75" s="46"/>
      <c r="BY75" s="46"/>
      <c r="BZ75" s="46"/>
      <c r="CA75" s="46">
        <f>BY75*BZ75</f>
        <v>0</v>
      </c>
      <c r="CB75" s="46"/>
      <c r="CC75" s="46">
        <f>CA75</f>
        <v>0</v>
      </c>
      <c r="CD75" s="46"/>
      <c r="CE75" s="46"/>
      <c r="CF75" s="46"/>
      <c r="CG75" s="46"/>
      <c r="CH75" s="46"/>
      <c r="CI75" s="46">
        <f>CG75*CH75</f>
        <v>0</v>
      </c>
      <c r="CJ75" s="46"/>
      <c r="CK75" s="46">
        <f>CI75</f>
        <v>0</v>
      </c>
      <c r="CL75" s="46"/>
      <c r="CM75" s="46"/>
      <c r="CN75" s="46"/>
      <c r="CO75" s="46"/>
      <c r="CP75" s="46">
        <f>CN75*CO75</f>
        <v>0</v>
      </c>
      <c r="CQ75" s="46"/>
      <c r="CR75" s="47">
        <f t="shared" si="59"/>
        <v>0</v>
      </c>
      <c r="CS75" s="46"/>
      <c r="CT75" s="46"/>
      <c r="CU75" s="46"/>
      <c r="CV75" s="46"/>
      <c r="CW75" s="47">
        <f t="shared" si="60"/>
        <v>0</v>
      </c>
      <c r="CX75" s="46"/>
      <c r="CY75" s="47">
        <f t="shared" si="34"/>
        <v>0</v>
      </c>
      <c r="CZ75" s="46"/>
      <c r="DA75" s="46"/>
      <c r="DB75" s="46"/>
      <c r="DC75" s="46"/>
      <c r="DD75" s="47">
        <f>+DB75*DC75</f>
        <v>0</v>
      </c>
      <c r="DE75" s="46"/>
      <c r="DF75" s="46">
        <f>DC75</f>
        <v>0</v>
      </c>
      <c r="DG75" s="46"/>
      <c r="DH75" s="46">
        <f t="shared" si="61"/>
        <v>0</v>
      </c>
      <c r="DI75" s="46"/>
      <c r="DJ75" s="46"/>
      <c r="DK75" s="47">
        <f t="shared" si="62"/>
        <v>0</v>
      </c>
      <c r="DL75" s="47">
        <f t="shared" si="63"/>
        <v>0</v>
      </c>
      <c r="DM75" s="46"/>
      <c r="DN75" s="46">
        <f t="shared" si="49"/>
        <v>0</v>
      </c>
      <c r="DO75" s="46"/>
      <c r="DP75" s="46">
        <f t="shared" si="47"/>
        <v>0</v>
      </c>
      <c r="DQ75" s="46"/>
      <c r="DR75" s="46">
        <f t="shared" si="64"/>
        <v>0</v>
      </c>
      <c r="DS75" s="46"/>
      <c r="DT75" s="46">
        <f t="shared" si="48"/>
        <v>0</v>
      </c>
      <c r="DU75" s="46"/>
      <c r="DV75" s="46"/>
      <c r="DW75" s="46"/>
      <c r="DX75" s="47">
        <f t="shared" si="65"/>
        <v>0</v>
      </c>
      <c r="DY75" s="46"/>
      <c r="DZ75" s="46"/>
      <c r="EA75" s="46"/>
      <c r="EB75" s="46"/>
      <c r="EC75" s="46"/>
      <c r="ED75" s="46"/>
      <c r="EE75" s="47">
        <f t="shared" si="29"/>
        <v>0</v>
      </c>
      <c r="EF75" s="46"/>
      <c r="EG75" s="46"/>
      <c r="EH75" s="46"/>
      <c r="EI75" s="46"/>
      <c r="EJ75" s="46"/>
      <c r="EK75" s="47">
        <f t="shared" si="66"/>
        <v>0</v>
      </c>
      <c r="EL75" s="46">
        <f t="shared" si="67"/>
        <v>0</v>
      </c>
      <c r="EM75" s="46"/>
      <c r="EN75" s="46">
        <f t="shared" si="68"/>
        <v>0</v>
      </c>
    </row>
    <row r="76" spans="2:147" s="48" customFormat="1" ht="15" customHeight="1" x14ac:dyDescent="0.25">
      <c r="B76" s="41">
        <v>69</v>
      </c>
      <c r="C76" s="42"/>
      <c r="D76" s="43"/>
      <c r="E76" s="42"/>
      <c r="F76" s="42"/>
      <c r="G76" s="42"/>
      <c r="H76" s="42"/>
      <c r="I76" s="42"/>
      <c r="J76" s="42"/>
      <c r="K76" s="42"/>
      <c r="L76" s="42"/>
      <c r="M76" s="42"/>
      <c r="N76" s="41"/>
      <c r="O76" s="41"/>
      <c r="P76" s="42"/>
      <c r="Q76" s="45"/>
      <c r="R76" s="45"/>
      <c r="S76" s="42"/>
      <c r="T76" s="46"/>
      <c r="U76" s="46"/>
      <c r="V76" s="42"/>
      <c r="W76" s="42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7">
        <f t="shared" si="54"/>
        <v>0</v>
      </c>
      <c r="AO76" s="47">
        <f t="shared" si="55"/>
        <v>0</v>
      </c>
      <c r="AP76" s="46" t="s">
        <v>98</v>
      </c>
      <c r="AQ76" s="46">
        <f t="shared" si="69"/>
        <v>0</v>
      </c>
      <c r="AR76" s="46"/>
      <c r="AS76" s="46"/>
      <c r="AT76" s="46"/>
      <c r="AU76" s="47">
        <f t="shared" si="56"/>
        <v>0</v>
      </c>
      <c r="AV76" s="46"/>
      <c r="AW76" s="47">
        <f t="shared" ref="AW76:AW84" si="70">AQ76+AU76+AV76+AR76</f>
        <v>0</v>
      </c>
      <c r="AX76" s="46"/>
      <c r="AY76" s="46"/>
      <c r="AZ76" s="46"/>
      <c r="BA76" s="46"/>
      <c r="BB76" s="46"/>
      <c r="BC76" s="47">
        <f t="shared" si="57"/>
        <v>0</v>
      </c>
      <c r="BD76" s="46"/>
      <c r="BE76" s="47">
        <f t="shared" si="58"/>
        <v>0</v>
      </c>
      <c r="BF76" s="46"/>
      <c r="BG76" s="46"/>
      <c r="BH76" s="46"/>
      <c r="BI76" s="46"/>
      <c r="BJ76" s="46"/>
      <c r="BK76" s="46">
        <f t="shared" si="52"/>
        <v>0</v>
      </c>
      <c r="BL76" s="46"/>
      <c r="BM76" s="46">
        <f t="shared" si="53"/>
        <v>0</v>
      </c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>
        <f>CN76*CO76</f>
        <v>0</v>
      </c>
      <c r="CQ76" s="46"/>
      <c r="CR76" s="47">
        <f t="shared" si="59"/>
        <v>0</v>
      </c>
      <c r="CS76" s="46"/>
      <c r="CT76" s="46"/>
      <c r="CU76" s="46"/>
      <c r="CV76" s="46"/>
      <c r="CW76" s="47">
        <f t="shared" si="60"/>
        <v>0</v>
      </c>
      <c r="CX76" s="46"/>
      <c r="CY76" s="47">
        <f t="shared" si="34"/>
        <v>0</v>
      </c>
      <c r="CZ76" s="46"/>
      <c r="DA76" s="46"/>
      <c r="DB76" s="46"/>
      <c r="DC76" s="46"/>
      <c r="DD76" s="47"/>
      <c r="DE76" s="46"/>
      <c r="DF76" s="46"/>
      <c r="DG76" s="46"/>
      <c r="DH76" s="46">
        <f t="shared" si="61"/>
        <v>0</v>
      </c>
      <c r="DI76" s="46"/>
      <c r="DJ76" s="46"/>
      <c r="DK76" s="64">
        <f t="shared" si="62"/>
        <v>0</v>
      </c>
      <c r="DL76" s="47">
        <f t="shared" si="63"/>
        <v>0</v>
      </c>
      <c r="DM76" s="46"/>
      <c r="DN76" s="46">
        <f t="shared" si="49"/>
        <v>0</v>
      </c>
      <c r="DO76" s="46"/>
      <c r="DP76" s="46">
        <f t="shared" si="47"/>
        <v>0</v>
      </c>
      <c r="DQ76" s="46"/>
      <c r="DR76" s="46">
        <f t="shared" si="64"/>
        <v>0</v>
      </c>
      <c r="DS76" s="46"/>
      <c r="DT76" s="46">
        <f t="shared" si="48"/>
        <v>0</v>
      </c>
      <c r="DU76" s="46"/>
      <c r="DV76" s="46"/>
      <c r="DW76" s="46"/>
      <c r="DX76" s="47">
        <f t="shared" si="65"/>
        <v>0</v>
      </c>
      <c r="DY76" s="46"/>
      <c r="DZ76" s="46"/>
      <c r="EA76" s="46"/>
      <c r="EB76" s="46"/>
      <c r="EC76" s="46"/>
      <c r="ED76" s="46"/>
      <c r="EE76" s="47">
        <f t="shared" si="29"/>
        <v>0</v>
      </c>
      <c r="EF76" s="46"/>
      <c r="EG76" s="46"/>
      <c r="EH76" s="46"/>
      <c r="EI76" s="46"/>
      <c r="EJ76" s="46"/>
      <c r="EK76" s="47">
        <f t="shared" si="66"/>
        <v>0</v>
      </c>
      <c r="EL76" s="46">
        <f t="shared" si="67"/>
        <v>0</v>
      </c>
      <c r="EM76" s="46"/>
      <c r="EN76" s="46">
        <f t="shared" si="68"/>
        <v>0</v>
      </c>
    </row>
    <row r="77" spans="2:147" s="48" customFormat="1" ht="15" customHeight="1" x14ac:dyDescent="0.25">
      <c r="B77" s="41">
        <v>70</v>
      </c>
      <c r="C77" s="42"/>
      <c r="D77" s="43"/>
      <c r="E77" s="42"/>
      <c r="F77" s="42"/>
      <c r="G77" s="42"/>
      <c r="H77" s="42"/>
      <c r="I77" s="42"/>
      <c r="J77" s="42"/>
      <c r="K77" s="42"/>
      <c r="L77" s="42"/>
      <c r="M77" s="42"/>
      <c r="N77" s="41"/>
      <c r="O77" s="41"/>
      <c r="P77" s="42"/>
      <c r="Q77" s="45"/>
      <c r="R77" s="45"/>
      <c r="S77" s="42"/>
      <c r="T77" s="46"/>
      <c r="U77" s="46"/>
      <c r="V77" s="42"/>
      <c r="W77" s="42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7">
        <f t="shared" si="54"/>
        <v>0</v>
      </c>
      <c r="AO77" s="47">
        <f t="shared" si="55"/>
        <v>0</v>
      </c>
      <c r="AP77" s="46" t="s">
        <v>98</v>
      </c>
      <c r="AQ77" s="46">
        <f t="shared" si="69"/>
        <v>0</v>
      </c>
      <c r="AR77" s="46"/>
      <c r="AS77" s="46"/>
      <c r="AT77" s="46"/>
      <c r="AU77" s="47">
        <f t="shared" si="56"/>
        <v>0</v>
      </c>
      <c r="AV77" s="46"/>
      <c r="AW77" s="47">
        <f t="shared" si="70"/>
        <v>0</v>
      </c>
      <c r="AX77" s="46"/>
      <c r="AY77" s="46"/>
      <c r="AZ77" s="46"/>
      <c r="BA77" s="46"/>
      <c r="BB77" s="46"/>
      <c r="BC77" s="47">
        <f t="shared" si="57"/>
        <v>0</v>
      </c>
      <c r="BD77" s="46"/>
      <c r="BE77" s="47">
        <f t="shared" si="58"/>
        <v>0</v>
      </c>
      <c r="BF77" s="46"/>
      <c r="BG77" s="46"/>
      <c r="BH77" s="46"/>
      <c r="BI77" s="46"/>
      <c r="BJ77" s="46"/>
      <c r="BK77" s="46">
        <f t="shared" si="52"/>
        <v>0</v>
      </c>
      <c r="BL77" s="46"/>
      <c r="BM77" s="46">
        <f t="shared" si="53"/>
        <v>0</v>
      </c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>
        <f>CN77*CO77</f>
        <v>0</v>
      </c>
      <c r="CQ77" s="46"/>
      <c r="CR77" s="47">
        <f t="shared" si="59"/>
        <v>0</v>
      </c>
      <c r="CS77" s="46"/>
      <c r="CT77" s="46"/>
      <c r="CU77" s="46"/>
      <c r="CV77" s="46"/>
      <c r="CW77" s="47">
        <f t="shared" si="60"/>
        <v>0</v>
      </c>
      <c r="CX77" s="46"/>
      <c r="CY77" s="47">
        <f t="shared" si="34"/>
        <v>0</v>
      </c>
      <c r="CZ77" s="46"/>
      <c r="DA77" s="46"/>
      <c r="DB77" s="46"/>
      <c r="DC77" s="46"/>
      <c r="DD77" s="47"/>
      <c r="DE77" s="46"/>
      <c r="DF77" s="46"/>
      <c r="DG77" s="46"/>
      <c r="DH77" s="46">
        <f t="shared" si="61"/>
        <v>0</v>
      </c>
      <c r="DI77" s="46"/>
      <c r="DJ77" s="46"/>
      <c r="DK77" s="64">
        <f t="shared" si="62"/>
        <v>0</v>
      </c>
      <c r="DL77" s="47">
        <f t="shared" si="63"/>
        <v>0</v>
      </c>
      <c r="DM77" s="46"/>
      <c r="DN77" s="46">
        <f t="shared" si="49"/>
        <v>0</v>
      </c>
      <c r="DO77" s="46"/>
      <c r="DP77" s="46">
        <f t="shared" si="47"/>
        <v>0</v>
      </c>
      <c r="DQ77" s="46"/>
      <c r="DR77" s="46">
        <f t="shared" si="64"/>
        <v>0</v>
      </c>
      <c r="DS77" s="46"/>
      <c r="DT77" s="46">
        <f t="shared" si="48"/>
        <v>0</v>
      </c>
      <c r="DU77" s="46"/>
      <c r="DV77" s="46"/>
      <c r="DW77" s="46"/>
      <c r="DX77" s="47">
        <f t="shared" si="65"/>
        <v>0</v>
      </c>
      <c r="DY77" s="46"/>
      <c r="DZ77" s="46"/>
      <c r="EA77" s="46"/>
      <c r="EB77" s="46"/>
      <c r="EC77" s="46"/>
      <c r="ED77" s="46"/>
      <c r="EE77" s="47">
        <f t="shared" si="29"/>
        <v>0</v>
      </c>
      <c r="EF77" s="46"/>
      <c r="EG77" s="46"/>
      <c r="EH77" s="46"/>
      <c r="EI77" s="46"/>
      <c r="EJ77" s="46"/>
      <c r="EK77" s="47">
        <f t="shared" si="66"/>
        <v>0</v>
      </c>
      <c r="EL77" s="46">
        <f t="shared" si="67"/>
        <v>0</v>
      </c>
      <c r="EM77" s="46"/>
      <c r="EN77" s="46">
        <f t="shared" si="68"/>
        <v>0</v>
      </c>
    </row>
    <row r="78" spans="2:147" s="48" customFormat="1" ht="15" customHeight="1" x14ac:dyDescent="0.25">
      <c r="B78" s="41">
        <v>71</v>
      </c>
      <c r="C78" s="42"/>
      <c r="D78" s="43"/>
      <c r="E78" s="42"/>
      <c r="F78" s="42"/>
      <c r="G78" s="42"/>
      <c r="H78" s="42"/>
      <c r="I78" s="42"/>
      <c r="J78" s="42"/>
      <c r="K78" s="42"/>
      <c r="L78" s="42"/>
      <c r="M78" s="42"/>
      <c r="N78" s="41"/>
      <c r="O78" s="41"/>
      <c r="P78" s="42"/>
      <c r="Q78" s="45"/>
      <c r="R78" s="45"/>
      <c r="S78" s="42"/>
      <c r="T78" s="46"/>
      <c r="U78" s="46"/>
      <c r="V78" s="42"/>
      <c r="W78" s="42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7">
        <f t="shared" si="54"/>
        <v>0</v>
      </c>
      <c r="AO78" s="47">
        <f t="shared" si="55"/>
        <v>0</v>
      </c>
      <c r="AP78" s="46" t="s">
        <v>98</v>
      </c>
      <c r="AQ78" s="46">
        <f t="shared" si="69"/>
        <v>0</v>
      </c>
      <c r="AR78" s="46"/>
      <c r="AS78" s="46"/>
      <c r="AT78" s="46"/>
      <c r="AU78" s="47">
        <f t="shared" si="56"/>
        <v>0</v>
      </c>
      <c r="AV78" s="46"/>
      <c r="AW78" s="47">
        <f t="shared" si="70"/>
        <v>0</v>
      </c>
      <c r="AX78" s="46"/>
      <c r="AY78" s="46"/>
      <c r="AZ78" s="46"/>
      <c r="BA78" s="46"/>
      <c r="BB78" s="46"/>
      <c r="BC78" s="47">
        <f t="shared" si="57"/>
        <v>0</v>
      </c>
      <c r="BD78" s="46"/>
      <c r="BE78" s="47">
        <f t="shared" si="58"/>
        <v>0</v>
      </c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7">
        <f t="shared" si="59"/>
        <v>0</v>
      </c>
      <c r="CS78" s="46"/>
      <c r="CT78" s="46"/>
      <c r="CU78" s="46"/>
      <c r="CV78" s="46"/>
      <c r="CW78" s="47">
        <f t="shared" si="60"/>
        <v>0</v>
      </c>
      <c r="CX78" s="46"/>
      <c r="CY78" s="47">
        <f t="shared" si="34"/>
        <v>0</v>
      </c>
      <c r="CZ78" s="46"/>
      <c r="DA78" s="46"/>
      <c r="DB78" s="46"/>
      <c r="DC78" s="46"/>
      <c r="DD78" s="47"/>
      <c r="DE78" s="46"/>
      <c r="DF78" s="46"/>
      <c r="DG78" s="46"/>
      <c r="DH78" s="46">
        <f t="shared" si="61"/>
        <v>0</v>
      </c>
      <c r="DI78" s="46"/>
      <c r="DJ78" s="46"/>
      <c r="DK78" s="64">
        <f t="shared" si="62"/>
        <v>0</v>
      </c>
      <c r="DL78" s="47">
        <f t="shared" si="63"/>
        <v>0</v>
      </c>
      <c r="DM78" s="46"/>
      <c r="DN78" s="46">
        <f t="shared" si="49"/>
        <v>0</v>
      </c>
      <c r="DO78" s="46"/>
      <c r="DP78" s="46">
        <f t="shared" si="47"/>
        <v>0</v>
      </c>
      <c r="DQ78" s="46"/>
      <c r="DR78" s="46">
        <f t="shared" si="64"/>
        <v>0</v>
      </c>
      <c r="DS78" s="46"/>
      <c r="DT78" s="46">
        <f t="shared" si="48"/>
        <v>0</v>
      </c>
      <c r="DU78" s="46"/>
      <c r="DV78" s="46"/>
      <c r="DW78" s="46"/>
      <c r="DX78" s="47">
        <f t="shared" si="65"/>
        <v>0</v>
      </c>
      <c r="DY78" s="46"/>
      <c r="DZ78" s="46"/>
      <c r="EA78" s="46"/>
      <c r="EB78" s="46"/>
      <c r="EC78" s="46"/>
      <c r="ED78" s="46"/>
      <c r="EE78" s="47">
        <f t="shared" si="29"/>
        <v>0</v>
      </c>
      <c r="EF78" s="46"/>
      <c r="EG78" s="46"/>
      <c r="EH78" s="46"/>
      <c r="EI78" s="46"/>
      <c r="EJ78" s="46"/>
      <c r="EK78" s="47">
        <f t="shared" si="66"/>
        <v>0</v>
      </c>
      <c r="EL78" s="46">
        <f t="shared" si="67"/>
        <v>0</v>
      </c>
      <c r="EM78" s="46"/>
      <c r="EN78" s="46">
        <f t="shared" si="68"/>
        <v>0</v>
      </c>
    </row>
    <row r="79" spans="2:147" s="48" customFormat="1" ht="15" customHeight="1" x14ac:dyDescent="0.25">
      <c r="B79" s="41">
        <v>72</v>
      </c>
      <c r="C79" s="42"/>
      <c r="D79" s="43"/>
      <c r="E79" s="42"/>
      <c r="F79" s="42"/>
      <c r="G79" s="42"/>
      <c r="H79" s="42"/>
      <c r="I79" s="42"/>
      <c r="J79" s="42"/>
      <c r="K79" s="42"/>
      <c r="L79" s="42"/>
      <c r="M79" s="42"/>
      <c r="N79" s="41"/>
      <c r="O79" s="41"/>
      <c r="P79" s="42"/>
      <c r="Q79" s="45"/>
      <c r="R79" s="45"/>
      <c r="S79" s="42"/>
      <c r="T79" s="46"/>
      <c r="U79" s="46"/>
      <c r="V79" s="42"/>
      <c r="W79" s="42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7">
        <f t="shared" si="54"/>
        <v>0</v>
      </c>
      <c r="AO79" s="47">
        <f t="shared" si="55"/>
        <v>0</v>
      </c>
      <c r="AP79" s="46" t="s">
        <v>98</v>
      </c>
      <c r="AQ79" s="46">
        <f t="shared" si="69"/>
        <v>0</v>
      </c>
      <c r="AR79" s="46"/>
      <c r="AS79" s="46"/>
      <c r="AT79" s="46"/>
      <c r="AU79" s="47">
        <f t="shared" si="56"/>
        <v>0</v>
      </c>
      <c r="AV79" s="46"/>
      <c r="AW79" s="47">
        <f t="shared" si="70"/>
        <v>0</v>
      </c>
      <c r="AX79" s="46"/>
      <c r="AY79" s="46"/>
      <c r="AZ79" s="46"/>
      <c r="BA79" s="46"/>
      <c r="BB79" s="46"/>
      <c r="BC79" s="47">
        <f t="shared" si="57"/>
        <v>0</v>
      </c>
      <c r="BD79" s="46"/>
      <c r="BE79" s="47">
        <f t="shared" si="58"/>
        <v>0</v>
      </c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7">
        <f t="shared" si="59"/>
        <v>0</v>
      </c>
      <c r="CS79" s="46"/>
      <c r="CT79" s="46"/>
      <c r="CU79" s="46"/>
      <c r="CV79" s="46"/>
      <c r="CW79" s="47">
        <f t="shared" si="60"/>
        <v>0</v>
      </c>
      <c r="CX79" s="46"/>
      <c r="CY79" s="47">
        <f t="shared" si="34"/>
        <v>0</v>
      </c>
      <c r="CZ79" s="46"/>
      <c r="DA79" s="46"/>
      <c r="DB79" s="46"/>
      <c r="DC79" s="46"/>
      <c r="DD79" s="47"/>
      <c r="DE79" s="46"/>
      <c r="DF79" s="46"/>
      <c r="DG79" s="46"/>
      <c r="DH79" s="46">
        <f t="shared" si="61"/>
        <v>0</v>
      </c>
      <c r="DI79" s="46"/>
      <c r="DJ79" s="46"/>
      <c r="DK79" s="64">
        <f t="shared" si="62"/>
        <v>0</v>
      </c>
      <c r="DL79" s="47">
        <f t="shared" si="63"/>
        <v>0</v>
      </c>
      <c r="DM79" s="46"/>
      <c r="DN79" s="46">
        <f t="shared" si="49"/>
        <v>0</v>
      </c>
      <c r="DO79" s="46"/>
      <c r="DP79" s="46">
        <f t="shared" si="47"/>
        <v>0</v>
      </c>
      <c r="DQ79" s="46"/>
      <c r="DR79" s="46">
        <f t="shared" si="64"/>
        <v>0</v>
      </c>
      <c r="DS79" s="46"/>
      <c r="DT79" s="46">
        <f t="shared" si="48"/>
        <v>0</v>
      </c>
      <c r="DU79" s="46"/>
      <c r="DV79" s="46"/>
      <c r="DW79" s="46"/>
      <c r="DX79" s="47">
        <f t="shared" si="65"/>
        <v>0</v>
      </c>
      <c r="DY79" s="46"/>
      <c r="DZ79" s="46"/>
      <c r="EA79" s="46"/>
      <c r="EB79" s="46"/>
      <c r="EC79" s="46"/>
      <c r="ED79" s="46"/>
      <c r="EE79" s="47">
        <f t="shared" si="29"/>
        <v>0</v>
      </c>
      <c r="EF79" s="46"/>
      <c r="EG79" s="46"/>
      <c r="EH79" s="46"/>
      <c r="EI79" s="46"/>
      <c r="EJ79" s="46"/>
      <c r="EK79" s="47">
        <f t="shared" si="66"/>
        <v>0</v>
      </c>
      <c r="EL79" s="46">
        <f t="shared" si="67"/>
        <v>0</v>
      </c>
      <c r="EM79" s="46"/>
      <c r="EN79" s="46">
        <f t="shared" si="68"/>
        <v>0</v>
      </c>
    </row>
    <row r="80" spans="2:147" s="48" customFormat="1" ht="15" customHeight="1" x14ac:dyDescent="0.25">
      <c r="B80" s="41">
        <v>73</v>
      </c>
      <c r="C80" s="42"/>
      <c r="D80" s="43"/>
      <c r="E80" s="42"/>
      <c r="F80" s="42"/>
      <c r="G80" s="42"/>
      <c r="H80" s="42"/>
      <c r="I80" s="42"/>
      <c r="J80" s="42"/>
      <c r="K80" s="42"/>
      <c r="L80" s="42"/>
      <c r="M80" s="42"/>
      <c r="N80" s="41"/>
      <c r="O80" s="41"/>
      <c r="P80" s="42"/>
      <c r="Q80" s="45"/>
      <c r="R80" s="45"/>
      <c r="S80" s="42"/>
      <c r="T80" s="46"/>
      <c r="U80" s="46"/>
      <c r="V80" s="42"/>
      <c r="W80" s="42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7">
        <f t="shared" si="54"/>
        <v>0</v>
      </c>
      <c r="AO80" s="47">
        <f t="shared" si="55"/>
        <v>0</v>
      </c>
      <c r="AP80" s="46" t="s">
        <v>98</v>
      </c>
      <c r="AQ80" s="46">
        <f t="shared" si="69"/>
        <v>0</v>
      </c>
      <c r="AR80" s="46"/>
      <c r="AS80" s="46"/>
      <c r="AT80" s="46"/>
      <c r="AU80" s="47">
        <f t="shared" si="56"/>
        <v>0</v>
      </c>
      <c r="AV80" s="46"/>
      <c r="AW80" s="47">
        <f t="shared" si="70"/>
        <v>0</v>
      </c>
      <c r="AX80" s="46"/>
      <c r="AY80" s="46"/>
      <c r="AZ80" s="46"/>
      <c r="BA80" s="46"/>
      <c r="BB80" s="46"/>
      <c r="BC80" s="47">
        <f t="shared" si="57"/>
        <v>0</v>
      </c>
      <c r="BD80" s="46"/>
      <c r="BE80" s="47">
        <f t="shared" si="58"/>
        <v>0</v>
      </c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7">
        <f t="shared" si="59"/>
        <v>0</v>
      </c>
      <c r="CS80" s="46"/>
      <c r="CT80" s="46"/>
      <c r="CU80" s="46"/>
      <c r="CV80" s="46"/>
      <c r="CW80" s="47">
        <f t="shared" si="60"/>
        <v>0</v>
      </c>
      <c r="CX80" s="46"/>
      <c r="CY80" s="47">
        <f t="shared" si="34"/>
        <v>0</v>
      </c>
      <c r="CZ80" s="46"/>
      <c r="DA80" s="46"/>
      <c r="DB80" s="46"/>
      <c r="DC80" s="46"/>
      <c r="DD80" s="47"/>
      <c r="DE80" s="46"/>
      <c r="DF80" s="46"/>
      <c r="DG80" s="46"/>
      <c r="DH80" s="46">
        <f t="shared" si="61"/>
        <v>0</v>
      </c>
      <c r="DI80" s="46"/>
      <c r="DJ80" s="46"/>
      <c r="DK80" s="64">
        <f t="shared" si="62"/>
        <v>0</v>
      </c>
      <c r="DL80" s="47">
        <f t="shared" si="63"/>
        <v>0</v>
      </c>
      <c r="DM80" s="46"/>
      <c r="DN80" s="46">
        <f t="shared" si="49"/>
        <v>0</v>
      </c>
      <c r="DO80" s="46"/>
      <c r="DP80" s="46">
        <f t="shared" si="47"/>
        <v>0</v>
      </c>
      <c r="DQ80" s="46"/>
      <c r="DR80" s="46">
        <f t="shared" si="64"/>
        <v>0</v>
      </c>
      <c r="DS80" s="46"/>
      <c r="DT80" s="46">
        <f t="shared" si="48"/>
        <v>0</v>
      </c>
      <c r="DU80" s="46"/>
      <c r="DV80" s="46"/>
      <c r="DW80" s="46"/>
      <c r="DX80" s="47">
        <f t="shared" si="65"/>
        <v>0</v>
      </c>
      <c r="DY80" s="46"/>
      <c r="DZ80" s="46"/>
      <c r="EA80" s="46"/>
      <c r="EB80" s="46"/>
      <c r="EC80" s="46"/>
      <c r="ED80" s="46"/>
      <c r="EE80" s="47">
        <f t="shared" si="29"/>
        <v>0</v>
      </c>
      <c r="EF80" s="46"/>
      <c r="EG80" s="46"/>
      <c r="EH80" s="46"/>
      <c r="EI80" s="46"/>
      <c r="EJ80" s="46"/>
      <c r="EK80" s="47">
        <f t="shared" si="66"/>
        <v>0</v>
      </c>
      <c r="EL80" s="46">
        <f t="shared" si="67"/>
        <v>0</v>
      </c>
      <c r="EM80" s="46"/>
      <c r="EN80" s="46">
        <f t="shared" si="68"/>
        <v>0</v>
      </c>
    </row>
    <row r="81" spans="2:144" s="48" customFormat="1" ht="15" customHeight="1" x14ac:dyDescent="0.25">
      <c r="B81" s="41">
        <v>74</v>
      </c>
      <c r="C81" s="42"/>
      <c r="D81" s="43"/>
      <c r="E81" s="42"/>
      <c r="F81" s="42"/>
      <c r="G81" s="42"/>
      <c r="H81" s="42"/>
      <c r="I81" s="42"/>
      <c r="J81" s="42"/>
      <c r="K81" s="42"/>
      <c r="L81" s="42"/>
      <c r="M81" s="42"/>
      <c r="N81" s="41"/>
      <c r="O81" s="41"/>
      <c r="P81" s="42"/>
      <c r="Q81" s="45"/>
      <c r="R81" s="45"/>
      <c r="S81" s="42"/>
      <c r="T81" s="46"/>
      <c r="U81" s="46"/>
      <c r="V81" s="42"/>
      <c r="W81" s="42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7">
        <f t="shared" si="54"/>
        <v>0</v>
      </c>
      <c r="AO81" s="47">
        <f t="shared" si="55"/>
        <v>0</v>
      </c>
      <c r="AP81" s="46" t="s">
        <v>98</v>
      </c>
      <c r="AQ81" s="46">
        <f t="shared" si="69"/>
        <v>0</v>
      </c>
      <c r="AR81" s="46"/>
      <c r="AS81" s="46"/>
      <c r="AT81" s="46"/>
      <c r="AU81" s="47">
        <f t="shared" si="56"/>
        <v>0</v>
      </c>
      <c r="AV81" s="46"/>
      <c r="AW81" s="47">
        <f t="shared" si="70"/>
        <v>0</v>
      </c>
      <c r="AX81" s="46"/>
      <c r="AY81" s="46"/>
      <c r="AZ81" s="46"/>
      <c r="BA81" s="46"/>
      <c r="BB81" s="46"/>
      <c r="BC81" s="47">
        <f t="shared" si="57"/>
        <v>0</v>
      </c>
      <c r="BD81" s="46"/>
      <c r="BE81" s="47">
        <f t="shared" si="58"/>
        <v>0</v>
      </c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7">
        <f t="shared" si="59"/>
        <v>0</v>
      </c>
      <c r="CS81" s="46"/>
      <c r="CT81" s="46"/>
      <c r="CU81" s="46"/>
      <c r="CV81" s="46"/>
      <c r="CW81" s="47">
        <f t="shared" si="60"/>
        <v>0</v>
      </c>
      <c r="CX81" s="46"/>
      <c r="CY81" s="47">
        <f t="shared" si="34"/>
        <v>0</v>
      </c>
      <c r="CZ81" s="46"/>
      <c r="DA81" s="46"/>
      <c r="DB81" s="46"/>
      <c r="DC81" s="46"/>
      <c r="DD81" s="47"/>
      <c r="DE81" s="46"/>
      <c r="DF81" s="46"/>
      <c r="DG81" s="46"/>
      <c r="DH81" s="46">
        <f t="shared" si="61"/>
        <v>0</v>
      </c>
      <c r="DI81" s="46"/>
      <c r="DJ81" s="46"/>
      <c r="DK81" s="64">
        <f t="shared" si="62"/>
        <v>0</v>
      </c>
      <c r="DL81" s="47">
        <f t="shared" si="63"/>
        <v>0</v>
      </c>
      <c r="DM81" s="46"/>
      <c r="DN81" s="46">
        <f t="shared" si="49"/>
        <v>0</v>
      </c>
      <c r="DO81" s="46"/>
      <c r="DP81" s="46">
        <f t="shared" si="47"/>
        <v>0</v>
      </c>
      <c r="DQ81" s="46"/>
      <c r="DR81" s="46">
        <f t="shared" si="64"/>
        <v>0</v>
      </c>
      <c r="DS81" s="46"/>
      <c r="DT81" s="46">
        <f t="shared" si="48"/>
        <v>0</v>
      </c>
      <c r="DU81" s="46"/>
      <c r="DV81" s="46"/>
      <c r="DW81" s="46"/>
      <c r="DX81" s="47">
        <f t="shared" si="65"/>
        <v>0</v>
      </c>
      <c r="DY81" s="46"/>
      <c r="DZ81" s="46"/>
      <c r="EA81" s="46"/>
      <c r="EB81" s="46"/>
      <c r="EC81" s="46"/>
      <c r="ED81" s="46"/>
      <c r="EE81" s="47">
        <f t="shared" si="29"/>
        <v>0</v>
      </c>
      <c r="EF81" s="46"/>
      <c r="EG81" s="46"/>
      <c r="EH81" s="46"/>
      <c r="EI81" s="46"/>
      <c r="EJ81" s="46"/>
      <c r="EK81" s="47">
        <f t="shared" si="66"/>
        <v>0</v>
      </c>
      <c r="EL81" s="46">
        <f t="shared" si="67"/>
        <v>0</v>
      </c>
      <c r="EM81" s="46"/>
      <c r="EN81" s="46">
        <f t="shared" si="68"/>
        <v>0</v>
      </c>
    </row>
    <row r="82" spans="2:144" s="48" customFormat="1" ht="15" customHeight="1" x14ac:dyDescent="0.25">
      <c r="B82" s="41">
        <v>75</v>
      </c>
      <c r="C82" s="42"/>
      <c r="D82" s="43"/>
      <c r="E82" s="42"/>
      <c r="F82" s="42"/>
      <c r="G82" s="42"/>
      <c r="H82" s="42"/>
      <c r="I82" s="42"/>
      <c r="J82" s="42"/>
      <c r="K82" s="42"/>
      <c r="L82" s="42"/>
      <c r="M82" s="42"/>
      <c r="N82" s="41"/>
      <c r="O82" s="41"/>
      <c r="P82" s="42"/>
      <c r="Q82" s="45"/>
      <c r="R82" s="45"/>
      <c r="S82" s="42"/>
      <c r="T82" s="46"/>
      <c r="U82" s="46"/>
      <c r="V82" s="42"/>
      <c r="W82" s="42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7">
        <f t="shared" si="54"/>
        <v>0</v>
      </c>
      <c r="AO82" s="47">
        <f t="shared" si="55"/>
        <v>0</v>
      </c>
      <c r="AP82" s="46" t="s">
        <v>98</v>
      </c>
      <c r="AQ82" s="46">
        <f t="shared" si="69"/>
        <v>0</v>
      </c>
      <c r="AR82" s="46"/>
      <c r="AS82" s="46"/>
      <c r="AT82" s="46"/>
      <c r="AU82" s="47">
        <f t="shared" si="56"/>
        <v>0</v>
      </c>
      <c r="AV82" s="46"/>
      <c r="AW82" s="47">
        <f t="shared" si="70"/>
        <v>0</v>
      </c>
      <c r="AX82" s="46"/>
      <c r="AY82" s="46"/>
      <c r="AZ82" s="46"/>
      <c r="BA82" s="46"/>
      <c r="BB82" s="46"/>
      <c r="BC82" s="47">
        <f t="shared" si="57"/>
        <v>0</v>
      </c>
      <c r="BD82" s="46"/>
      <c r="BE82" s="47">
        <f t="shared" si="58"/>
        <v>0</v>
      </c>
      <c r="BF82" s="46"/>
      <c r="BG82" s="46"/>
      <c r="BH82" s="46"/>
      <c r="BI82" s="46"/>
      <c r="BJ82" s="46"/>
      <c r="BK82" s="46">
        <v>0</v>
      </c>
      <c r="BL82" s="46"/>
      <c r="BM82" s="46">
        <v>0</v>
      </c>
      <c r="BN82" s="46"/>
      <c r="BO82" s="46"/>
      <c r="BP82" s="46"/>
      <c r="BQ82" s="46"/>
      <c r="BR82" s="46"/>
      <c r="BS82" s="46">
        <v>0</v>
      </c>
      <c r="BT82" s="46"/>
      <c r="BU82" s="46">
        <v>0</v>
      </c>
      <c r="BV82" s="46"/>
      <c r="BW82" s="46"/>
      <c r="BX82" s="46"/>
      <c r="BY82" s="46"/>
      <c r="BZ82" s="46"/>
      <c r="CA82" s="46">
        <v>0</v>
      </c>
      <c r="CB82" s="46"/>
      <c r="CC82" s="46">
        <v>0</v>
      </c>
      <c r="CD82" s="46"/>
      <c r="CE82" s="46"/>
      <c r="CF82" s="46"/>
      <c r="CG82" s="46"/>
      <c r="CH82" s="46"/>
      <c r="CI82" s="46">
        <v>0</v>
      </c>
      <c r="CJ82" s="46"/>
      <c r="CK82" s="46">
        <v>0</v>
      </c>
      <c r="CL82" s="46"/>
      <c r="CM82" s="46"/>
      <c r="CN82" s="46"/>
      <c r="CO82" s="46"/>
      <c r="CP82" s="46">
        <f>CN82*CO82</f>
        <v>0</v>
      </c>
      <c r="CQ82" s="46"/>
      <c r="CR82" s="47">
        <f t="shared" si="59"/>
        <v>0</v>
      </c>
      <c r="CS82" s="46"/>
      <c r="CT82" s="46"/>
      <c r="CU82" s="46"/>
      <c r="CV82" s="46"/>
      <c r="CW82" s="47">
        <f t="shared" si="60"/>
        <v>0</v>
      </c>
      <c r="CX82" s="46"/>
      <c r="CY82" s="47">
        <f t="shared" si="34"/>
        <v>0</v>
      </c>
      <c r="CZ82" s="46"/>
      <c r="DA82" s="46"/>
      <c r="DB82" s="46"/>
      <c r="DC82" s="46"/>
      <c r="DD82" s="47">
        <v>0</v>
      </c>
      <c r="DE82" s="46"/>
      <c r="DF82" s="46">
        <v>0</v>
      </c>
      <c r="DG82" s="46"/>
      <c r="DH82" s="46">
        <f t="shared" si="61"/>
        <v>0</v>
      </c>
      <c r="DI82" s="46"/>
      <c r="DJ82" s="46"/>
      <c r="DK82" s="47">
        <f t="shared" si="62"/>
        <v>0</v>
      </c>
      <c r="DL82" s="47">
        <f t="shared" si="63"/>
        <v>0</v>
      </c>
      <c r="DM82" s="46"/>
      <c r="DN82" s="46">
        <f t="shared" si="49"/>
        <v>0</v>
      </c>
      <c r="DO82" s="46"/>
      <c r="DP82" s="46">
        <f t="shared" si="47"/>
        <v>0</v>
      </c>
      <c r="DQ82" s="46"/>
      <c r="DR82" s="46">
        <f t="shared" si="64"/>
        <v>0</v>
      </c>
      <c r="DS82" s="46"/>
      <c r="DT82" s="46">
        <f t="shared" si="48"/>
        <v>0</v>
      </c>
      <c r="DU82" s="46"/>
      <c r="DV82" s="46"/>
      <c r="DW82" s="46"/>
      <c r="DX82" s="47">
        <f t="shared" si="65"/>
        <v>0</v>
      </c>
      <c r="DY82" s="46"/>
      <c r="DZ82" s="46"/>
      <c r="EA82" s="46"/>
      <c r="EB82" s="46"/>
      <c r="EC82" s="46"/>
      <c r="ED82" s="46"/>
      <c r="EE82" s="47">
        <f t="shared" si="29"/>
        <v>0</v>
      </c>
      <c r="EF82" s="46"/>
      <c r="EG82" s="46"/>
      <c r="EH82" s="46"/>
      <c r="EI82" s="46"/>
      <c r="EJ82" s="46"/>
      <c r="EK82" s="47">
        <f t="shared" si="66"/>
        <v>0</v>
      </c>
      <c r="EL82" s="46">
        <f t="shared" si="67"/>
        <v>0</v>
      </c>
      <c r="EM82" s="46"/>
      <c r="EN82" s="46">
        <f t="shared" si="68"/>
        <v>0</v>
      </c>
    </row>
    <row r="83" spans="2:144" s="48" customFormat="1" ht="15" customHeight="1" x14ac:dyDescent="0.25">
      <c r="B83" s="41">
        <v>76</v>
      </c>
      <c r="C83" s="42"/>
      <c r="D83" s="43"/>
      <c r="E83" s="42"/>
      <c r="F83" s="42"/>
      <c r="G83" s="42"/>
      <c r="H83" s="42"/>
      <c r="I83" s="42"/>
      <c r="J83" s="42"/>
      <c r="K83" s="42"/>
      <c r="L83" s="42"/>
      <c r="M83" s="42"/>
      <c r="N83" s="41"/>
      <c r="O83" s="41"/>
      <c r="P83" s="42"/>
      <c r="Q83" s="45"/>
      <c r="R83" s="45"/>
      <c r="S83" s="42"/>
      <c r="T83" s="46"/>
      <c r="U83" s="46"/>
      <c r="V83" s="42"/>
      <c r="W83" s="42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7">
        <f t="shared" si="54"/>
        <v>0</v>
      </c>
      <c r="AO83" s="47">
        <f t="shared" si="55"/>
        <v>0</v>
      </c>
      <c r="AP83" s="46" t="s">
        <v>98</v>
      </c>
      <c r="AQ83" s="46">
        <f t="shared" si="69"/>
        <v>0</v>
      </c>
      <c r="AR83" s="46"/>
      <c r="AS83" s="46"/>
      <c r="AT83" s="46"/>
      <c r="AU83" s="47">
        <f t="shared" si="56"/>
        <v>0</v>
      </c>
      <c r="AV83" s="46"/>
      <c r="AW83" s="47">
        <f t="shared" si="70"/>
        <v>0</v>
      </c>
      <c r="AX83" s="46"/>
      <c r="AY83" s="46"/>
      <c r="AZ83" s="46"/>
      <c r="BA83" s="46"/>
      <c r="BB83" s="46"/>
      <c r="BC83" s="47">
        <f t="shared" si="57"/>
        <v>0</v>
      </c>
      <c r="BD83" s="46"/>
      <c r="BE83" s="47">
        <f t="shared" si="58"/>
        <v>0</v>
      </c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7">
        <f t="shared" si="59"/>
        <v>0</v>
      </c>
      <c r="CS83" s="46"/>
      <c r="CT83" s="46"/>
      <c r="CU83" s="46"/>
      <c r="CV83" s="46"/>
      <c r="CW83" s="47">
        <f t="shared" si="60"/>
        <v>0</v>
      </c>
      <c r="CX83" s="46"/>
      <c r="CY83" s="47">
        <f t="shared" si="34"/>
        <v>0</v>
      </c>
      <c r="CZ83" s="46"/>
      <c r="DA83" s="46"/>
      <c r="DB83" s="46"/>
      <c r="DC83" s="46"/>
      <c r="DD83" s="47"/>
      <c r="DE83" s="46"/>
      <c r="DF83" s="46"/>
      <c r="DG83" s="46"/>
      <c r="DH83" s="46">
        <f t="shared" si="61"/>
        <v>0</v>
      </c>
      <c r="DI83" s="46"/>
      <c r="DJ83" s="46"/>
      <c r="DK83" s="64">
        <f t="shared" si="62"/>
        <v>0</v>
      </c>
      <c r="DL83" s="47">
        <f t="shared" si="63"/>
        <v>0</v>
      </c>
      <c r="DM83" s="46"/>
      <c r="DN83" s="46">
        <f t="shared" si="49"/>
        <v>0</v>
      </c>
      <c r="DO83" s="46"/>
      <c r="DP83" s="46">
        <f t="shared" si="47"/>
        <v>0</v>
      </c>
      <c r="DQ83" s="46"/>
      <c r="DR83" s="46">
        <f t="shared" si="64"/>
        <v>0</v>
      </c>
      <c r="DS83" s="46"/>
      <c r="DT83" s="46">
        <f t="shared" si="48"/>
        <v>0</v>
      </c>
      <c r="DU83" s="46"/>
      <c r="DV83" s="46"/>
      <c r="DW83" s="46"/>
      <c r="DX83" s="47">
        <f t="shared" si="65"/>
        <v>0</v>
      </c>
      <c r="DY83" s="46"/>
      <c r="DZ83" s="46"/>
      <c r="EA83" s="46"/>
      <c r="EB83" s="46"/>
      <c r="EC83" s="46"/>
      <c r="ED83" s="46"/>
      <c r="EE83" s="47">
        <f t="shared" si="29"/>
        <v>0</v>
      </c>
      <c r="EF83" s="46"/>
      <c r="EG83" s="46"/>
      <c r="EH83" s="46"/>
      <c r="EI83" s="46"/>
      <c r="EJ83" s="46"/>
      <c r="EK83" s="47">
        <f t="shared" si="66"/>
        <v>0</v>
      </c>
      <c r="EL83" s="46">
        <f t="shared" si="67"/>
        <v>0</v>
      </c>
      <c r="EM83" s="46"/>
      <c r="EN83" s="46">
        <f t="shared" si="68"/>
        <v>0</v>
      </c>
    </row>
    <row r="84" spans="2:144" s="48" customFormat="1" ht="15" customHeight="1" x14ac:dyDescent="0.25">
      <c r="B84" s="41">
        <v>77</v>
      </c>
      <c r="C84" s="42"/>
      <c r="D84" s="43"/>
      <c r="E84" s="42"/>
      <c r="F84" s="42"/>
      <c r="G84" s="42"/>
      <c r="H84" s="42"/>
      <c r="I84" s="42"/>
      <c r="J84" s="42"/>
      <c r="K84" s="42"/>
      <c r="L84" s="42"/>
      <c r="M84" s="42"/>
      <c r="N84" s="41"/>
      <c r="O84" s="41"/>
      <c r="P84" s="42"/>
      <c r="Q84" s="45"/>
      <c r="R84" s="45"/>
      <c r="S84" s="42"/>
      <c r="T84" s="46"/>
      <c r="U84" s="46"/>
      <c r="V84" s="42"/>
      <c r="W84" s="42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7">
        <f t="shared" si="54"/>
        <v>0</v>
      </c>
      <c r="AO84" s="47">
        <f t="shared" si="55"/>
        <v>0</v>
      </c>
      <c r="AP84" s="46" t="s">
        <v>98</v>
      </c>
      <c r="AQ84" s="46">
        <f t="shared" si="69"/>
        <v>0</v>
      </c>
      <c r="AR84" s="46"/>
      <c r="AS84" s="46"/>
      <c r="AT84" s="46"/>
      <c r="AU84" s="47">
        <f t="shared" si="56"/>
        <v>0</v>
      </c>
      <c r="AV84" s="46"/>
      <c r="AW84" s="47">
        <f t="shared" si="70"/>
        <v>0</v>
      </c>
      <c r="AX84" s="46"/>
      <c r="AY84" s="46"/>
      <c r="AZ84" s="46"/>
      <c r="BA84" s="46"/>
      <c r="BB84" s="46"/>
      <c r="BC84" s="47">
        <f t="shared" si="57"/>
        <v>0</v>
      </c>
      <c r="BD84" s="46"/>
      <c r="BE84" s="47">
        <f t="shared" si="58"/>
        <v>0</v>
      </c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7">
        <f t="shared" si="59"/>
        <v>0</v>
      </c>
      <c r="CS84" s="46"/>
      <c r="CT84" s="46"/>
      <c r="CU84" s="46"/>
      <c r="CV84" s="46"/>
      <c r="CW84" s="47">
        <f t="shared" si="60"/>
        <v>0</v>
      </c>
      <c r="CX84" s="46"/>
      <c r="CY84" s="47">
        <f t="shared" si="34"/>
        <v>0</v>
      </c>
      <c r="CZ84" s="46"/>
      <c r="DA84" s="46"/>
      <c r="DB84" s="46"/>
      <c r="DC84" s="46"/>
      <c r="DD84" s="47"/>
      <c r="DE84" s="46"/>
      <c r="DF84" s="46"/>
      <c r="DG84" s="46"/>
      <c r="DH84" s="46">
        <f t="shared" si="61"/>
        <v>0</v>
      </c>
      <c r="DI84" s="46"/>
      <c r="DJ84" s="46"/>
      <c r="DK84" s="64">
        <f t="shared" si="62"/>
        <v>0</v>
      </c>
      <c r="DL84" s="47">
        <f t="shared" si="63"/>
        <v>0</v>
      </c>
      <c r="DM84" s="46"/>
      <c r="DN84" s="46">
        <f t="shared" si="49"/>
        <v>0</v>
      </c>
      <c r="DO84" s="46"/>
      <c r="DP84" s="46">
        <f t="shared" si="47"/>
        <v>0</v>
      </c>
      <c r="DQ84" s="46"/>
      <c r="DR84" s="46">
        <f t="shared" si="64"/>
        <v>0</v>
      </c>
      <c r="DS84" s="46"/>
      <c r="DT84" s="46">
        <f t="shared" si="48"/>
        <v>0</v>
      </c>
      <c r="DU84" s="46"/>
      <c r="DV84" s="46"/>
      <c r="DW84" s="46"/>
      <c r="DX84" s="47">
        <f t="shared" si="65"/>
        <v>0</v>
      </c>
      <c r="DY84" s="46"/>
      <c r="DZ84" s="46"/>
      <c r="EA84" s="46"/>
      <c r="EB84" s="46"/>
      <c r="EC84" s="46"/>
      <c r="ED84" s="46"/>
      <c r="EE84" s="47">
        <f t="shared" si="29"/>
        <v>0</v>
      </c>
      <c r="EF84" s="46"/>
      <c r="EG84" s="46"/>
      <c r="EH84" s="46"/>
      <c r="EI84" s="46"/>
      <c r="EJ84" s="46"/>
      <c r="EK84" s="47">
        <f t="shared" si="66"/>
        <v>0</v>
      </c>
      <c r="EL84" s="46">
        <f t="shared" si="67"/>
        <v>0</v>
      </c>
      <c r="EM84" s="46"/>
      <c r="EN84" s="46">
        <f t="shared" si="68"/>
        <v>0</v>
      </c>
    </row>
    <row r="85" spans="2:144" s="48" customFormat="1" ht="15" customHeight="1" x14ac:dyDescent="0.25">
      <c r="B85" s="41">
        <v>78</v>
      </c>
      <c r="C85" s="42"/>
      <c r="D85" s="43"/>
      <c r="E85" s="42"/>
      <c r="F85" s="42"/>
      <c r="G85" s="42"/>
      <c r="H85" s="42"/>
      <c r="I85" s="42"/>
      <c r="J85" s="42"/>
      <c r="K85" s="42"/>
      <c r="L85" s="42"/>
      <c r="M85" s="42"/>
      <c r="N85" s="41"/>
      <c r="O85" s="41"/>
      <c r="P85" s="42"/>
      <c r="Q85" s="45"/>
      <c r="R85" s="45"/>
      <c r="S85" s="42"/>
      <c r="T85" s="46"/>
      <c r="U85" s="46"/>
      <c r="V85" s="42"/>
      <c r="W85" s="42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>
        <f t="shared" si="54"/>
        <v>0</v>
      </c>
      <c r="AO85" s="46">
        <f t="shared" si="55"/>
        <v>0</v>
      </c>
      <c r="AP85" s="46" t="s">
        <v>98</v>
      </c>
      <c r="AQ85" s="46">
        <f t="shared" si="69"/>
        <v>0</v>
      </c>
      <c r="AR85" s="46"/>
      <c r="AS85" s="46"/>
      <c r="AT85" s="46"/>
      <c r="AU85" s="47">
        <f t="shared" si="56"/>
        <v>0</v>
      </c>
      <c r="AV85" s="46"/>
      <c r="AW85" s="47">
        <f>AQ85+AU85+AV85</f>
        <v>0</v>
      </c>
      <c r="AX85" s="46"/>
      <c r="AY85" s="46"/>
      <c r="AZ85" s="46"/>
      <c r="BA85" s="46"/>
      <c r="BB85" s="46"/>
      <c r="BC85" s="47">
        <f t="shared" si="57"/>
        <v>0</v>
      </c>
      <c r="BD85" s="46"/>
      <c r="BE85" s="47">
        <f t="shared" si="58"/>
        <v>0</v>
      </c>
      <c r="BF85" s="46"/>
      <c r="BG85" s="46"/>
      <c r="BH85" s="46"/>
      <c r="BI85" s="46"/>
      <c r="BJ85" s="46"/>
      <c r="BK85" s="46">
        <f>BI85*BJ85</f>
        <v>0</v>
      </c>
      <c r="BL85" s="46"/>
      <c r="BM85" s="46">
        <f>BK85</f>
        <v>0</v>
      </c>
      <c r="BN85" s="46"/>
      <c r="BO85" s="46"/>
      <c r="BP85" s="46"/>
      <c r="BQ85" s="46"/>
      <c r="BR85" s="46"/>
      <c r="BS85" s="46">
        <f>BQ85*BR85</f>
        <v>0</v>
      </c>
      <c r="BT85" s="46"/>
      <c r="BU85" s="46">
        <f>BS85</f>
        <v>0</v>
      </c>
      <c r="BV85" s="46"/>
      <c r="BW85" s="46"/>
      <c r="BX85" s="46"/>
      <c r="BY85" s="46"/>
      <c r="BZ85" s="46"/>
      <c r="CA85" s="46">
        <f>BY85*BZ85</f>
        <v>0</v>
      </c>
      <c r="CB85" s="46"/>
      <c r="CC85" s="46">
        <f>CA85</f>
        <v>0</v>
      </c>
      <c r="CD85" s="46"/>
      <c r="CE85" s="46"/>
      <c r="CF85" s="46"/>
      <c r="CG85" s="46"/>
      <c r="CH85" s="46"/>
      <c r="CI85" s="46">
        <f>CG85*CH85</f>
        <v>0</v>
      </c>
      <c r="CJ85" s="46"/>
      <c r="CK85" s="46">
        <f>CI85</f>
        <v>0</v>
      </c>
      <c r="CL85" s="46"/>
      <c r="CM85" s="46"/>
      <c r="CN85" s="46"/>
      <c r="CO85" s="46"/>
      <c r="CP85" s="46">
        <f>CN85*CO85</f>
        <v>0</v>
      </c>
      <c r="CQ85" s="46"/>
      <c r="CR85" s="47">
        <f t="shared" si="59"/>
        <v>0</v>
      </c>
      <c r="CS85" s="46"/>
      <c r="CT85" s="46"/>
      <c r="CU85" s="46"/>
      <c r="CV85" s="46"/>
      <c r="CW85" s="47">
        <f t="shared" si="60"/>
        <v>0</v>
      </c>
      <c r="CX85" s="46"/>
      <c r="CY85" s="47">
        <f t="shared" si="34"/>
        <v>0</v>
      </c>
      <c r="CZ85" s="46"/>
      <c r="DA85" s="46"/>
      <c r="DB85" s="46"/>
      <c r="DC85" s="46"/>
      <c r="DD85" s="47">
        <f>+DB85*DC85</f>
        <v>0</v>
      </c>
      <c r="DE85" s="46"/>
      <c r="DF85" s="46">
        <f>DC85</f>
        <v>0</v>
      </c>
      <c r="DG85" s="46"/>
      <c r="DH85" s="46">
        <f t="shared" si="61"/>
        <v>0</v>
      </c>
      <c r="DI85" s="46"/>
      <c r="DJ85" s="46"/>
      <c r="DK85" s="47">
        <f t="shared" si="62"/>
        <v>0</v>
      </c>
      <c r="DL85" s="47">
        <f t="shared" si="63"/>
        <v>0</v>
      </c>
      <c r="DM85" s="46"/>
      <c r="DN85" s="46">
        <f t="shared" si="49"/>
        <v>0</v>
      </c>
      <c r="DO85" s="46"/>
      <c r="DP85" s="46">
        <f t="shared" si="47"/>
        <v>0</v>
      </c>
      <c r="DQ85" s="46"/>
      <c r="DR85" s="46">
        <f t="shared" si="64"/>
        <v>0</v>
      </c>
      <c r="DS85" s="46"/>
      <c r="DT85" s="46">
        <f t="shared" si="48"/>
        <v>0</v>
      </c>
      <c r="DU85" s="46"/>
      <c r="DV85" s="46"/>
      <c r="DW85" s="46"/>
      <c r="DX85" s="47">
        <f t="shared" si="65"/>
        <v>0</v>
      </c>
      <c r="DY85" s="46"/>
      <c r="DZ85" s="46"/>
      <c r="EA85" s="46"/>
      <c r="EB85" s="46"/>
      <c r="EC85" s="46"/>
      <c r="ED85" s="46"/>
      <c r="EE85" s="47">
        <f t="shared" ref="EE85:EE148" si="71">+AW85+BE85+BM85+CR85+CY85+DF85+DL85+DX85+DY85+DZ85+EB85+EC85</f>
        <v>0</v>
      </c>
      <c r="EF85" s="46"/>
      <c r="EG85" s="46"/>
      <c r="EH85" s="46"/>
      <c r="EI85" s="46"/>
      <c r="EJ85" s="46"/>
      <c r="EK85" s="47">
        <f t="shared" si="66"/>
        <v>0</v>
      </c>
      <c r="EL85" s="46">
        <f t="shared" si="67"/>
        <v>0</v>
      </c>
      <c r="EM85" s="46"/>
      <c r="EN85" s="46">
        <f t="shared" si="68"/>
        <v>0</v>
      </c>
    </row>
    <row r="86" spans="2:144" s="48" customFormat="1" ht="15" customHeight="1" x14ac:dyDescent="0.25">
      <c r="B86" s="41">
        <v>79</v>
      </c>
      <c r="C86" s="42"/>
      <c r="D86" s="43"/>
      <c r="E86" s="42"/>
      <c r="F86" s="42"/>
      <c r="G86" s="42"/>
      <c r="H86" s="42"/>
      <c r="I86" s="42"/>
      <c r="J86" s="42"/>
      <c r="K86" s="42"/>
      <c r="L86" s="42"/>
      <c r="M86" s="42"/>
      <c r="N86" s="41"/>
      <c r="O86" s="41"/>
      <c r="P86" s="42"/>
      <c r="Q86" s="45"/>
      <c r="R86" s="45"/>
      <c r="S86" s="42"/>
      <c r="T86" s="46"/>
      <c r="U86" s="46"/>
      <c r="V86" s="42"/>
      <c r="W86" s="42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7">
        <f t="shared" si="54"/>
        <v>0</v>
      </c>
      <c r="AO86" s="47">
        <f t="shared" si="55"/>
        <v>0</v>
      </c>
      <c r="AP86" s="46" t="s">
        <v>102</v>
      </c>
      <c r="AQ86" s="46"/>
      <c r="AR86" s="46"/>
      <c r="AS86" s="46"/>
      <c r="AT86" s="46"/>
      <c r="AU86" s="47">
        <f t="shared" si="56"/>
        <v>0</v>
      </c>
      <c r="AV86" s="46"/>
      <c r="AW86" s="47">
        <f>AQ86+AU86+AV86+AR86</f>
        <v>0</v>
      </c>
      <c r="AX86" s="46"/>
      <c r="AY86" s="46"/>
      <c r="AZ86" s="46"/>
      <c r="BA86" s="46"/>
      <c r="BB86" s="46"/>
      <c r="BC86" s="47">
        <f t="shared" si="57"/>
        <v>0</v>
      </c>
      <c r="BD86" s="46"/>
      <c r="BE86" s="47">
        <f t="shared" si="58"/>
        <v>0</v>
      </c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7">
        <f t="shared" si="59"/>
        <v>0</v>
      </c>
      <c r="CS86" s="46"/>
      <c r="CT86" s="46"/>
      <c r="CU86" s="46"/>
      <c r="CV86" s="46"/>
      <c r="CW86" s="47">
        <f t="shared" si="60"/>
        <v>0</v>
      </c>
      <c r="CX86" s="46"/>
      <c r="CY86" s="47">
        <f t="shared" si="34"/>
        <v>0</v>
      </c>
      <c r="CZ86" s="46"/>
      <c r="DA86" s="46"/>
      <c r="DB86" s="46"/>
      <c r="DC86" s="46"/>
      <c r="DD86" s="47"/>
      <c r="DE86" s="46"/>
      <c r="DF86" s="46"/>
      <c r="DG86" s="46"/>
      <c r="DH86" s="46">
        <f t="shared" si="61"/>
        <v>0</v>
      </c>
      <c r="DI86" s="46"/>
      <c r="DJ86" s="46"/>
      <c r="DK86" s="64">
        <f t="shared" si="62"/>
        <v>0</v>
      </c>
      <c r="DL86" s="47">
        <f t="shared" si="63"/>
        <v>0</v>
      </c>
      <c r="DM86" s="46"/>
      <c r="DN86" s="46">
        <f t="shared" si="49"/>
        <v>0</v>
      </c>
      <c r="DO86" s="46"/>
      <c r="DP86" s="46">
        <f t="shared" si="47"/>
        <v>0</v>
      </c>
      <c r="DQ86" s="46"/>
      <c r="DR86" s="46">
        <f t="shared" si="64"/>
        <v>0</v>
      </c>
      <c r="DS86" s="46"/>
      <c r="DT86" s="46">
        <f t="shared" si="48"/>
        <v>0</v>
      </c>
      <c r="DU86" s="46"/>
      <c r="DV86" s="46"/>
      <c r="DW86" s="46"/>
      <c r="DX86" s="47">
        <f t="shared" si="65"/>
        <v>0</v>
      </c>
      <c r="DY86" s="46"/>
      <c r="DZ86" s="46"/>
      <c r="EA86" s="46"/>
      <c r="EB86" s="46"/>
      <c r="EC86" s="46"/>
      <c r="ED86" s="46"/>
      <c r="EE86" s="47">
        <f t="shared" si="71"/>
        <v>0</v>
      </c>
      <c r="EF86" s="46"/>
      <c r="EG86" s="46"/>
      <c r="EH86" s="46"/>
      <c r="EI86" s="46"/>
      <c r="EJ86" s="46"/>
      <c r="EK86" s="47">
        <f t="shared" si="66"/>
        <v>0</v>
      </c>
      <c r="EL86" s="46">
        <f t="shared" si="67"/>
        <v>0</v>
      </c>
      <c r="EM86" s="46"/>
      <c r="EN86" s="46">
        <f t="shared" si="68"/>
        <v>0</v>
      </c>
    </row>
    <row r="87" spans="2:144" s="80" customFormat="1" x14ac:dyDescent="0.25">
      <c r="B87" s="41">
        <v>80</v>
      </c>
      <c r="C87" s="74"/>
      <c r="D87" s="75"/>
      <c r="E87" s="74"/>
      <c r="F87" s="74"/>
      <c r="G87" s="74"/>
      <c r="H87" s="74"/>
      <c r="I87" s="74"/>
      <c r="J87" s="74"/>
      <c r="K87" s="74"/>
      <c r="L87" s="74"/>
      <c r="M87" s="74"/>
      <c r="N87" s="76"/>
      <c r="O87" s="76"/>
      <c r="P87" s="74"/>
      <c r="Q87" s="77"/>
      <c r="R87" s="77"/>
      <c r="S87" s="74"/>
      <c r="T87" s="78"/>
      <c r="U87" s="78"/>
      <c r="V87" s="74"/>
      <c r="W87" s="74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>
        <f t="shared" si="54"/>
        <v>0</v>
      </c>
      <c r="AO87" s="78">
        <f t="shared" si="55"/>
        <v>0</v>
      </c>
      <c r="AP87" s="78" t="s">
        <v>98</v>
      </c>
      <c r="AQ87" s="78">
        <f t="shared" ref="AQ87:AQ99" si="72">18%*AO87</f>
        <v>0</v>
      </c>
      <c r="AR87" s="78"/>
      <c r="AS87" s="78"/>
      <c r="AT87" s="78"/>
      <c r="AU87" s="79">
        <f t="shared" si="56"/>
        <v>0</v>
      </c>
      <c r="AV87" s="78"/>
      <c r="AW87" s="79">
        <f>AQ87+AU87+AV87</f>
        <v>0</v>
      </c>
      <c r="AX87" s="78"/>
      <c r="AY87" s="78"/>
      <c r="AZ87" s="78"/>
      <c r="BA87" s="78"/>
      <c r="BB87" s="78"/>
      <c r="BC87" s="47">
        <f t="shared" si="57"/>
        <v>0</v>
      </c>
      <c r="BD87" s="78"/>
      <c r="BE87" s="47">
        <f t="shared" si="58"/>
        <v>0</v>
      </c>
      <c r="BF87" s="78"/>
      <c r="BG87" s="78"/>
      <c r="BH87" s="78"/>
      <c r="BI87" s="78"/>
      <c r="BJ87" s="78"/>
      <c r="BK87" s="78">
        <f>BI87*BJ87</f>
        <v>0</v>
      </c>
      <c r="BL87" s="78"/>
      <c r="BM87" s="78">
        <f>BK87</f>
        <v>0</v>
      </c>
      <c r="BN87" s="78"/>
      <c r="BO87" s="78"/>
      <c r="BP87" s="78"/>
      <c r="BQ87" s="78"/>
      <c r="BR87" s="78"/>
      <c r="BS87" s="78">
        <f>BQ87*BR87</f>
        <v>0</v>
      </c>
      <c r="BT87" s="78"/>
      <c r="BU87" s="78">
        <f>BS87</f>
        <v>0</v>
      </c>
      <c r="BV87" s="78"/>
      <c r="BW87" s="78"/>
      <c r="BX87" s="78"/>
      <c r="BY87" s="78"/>
      <c r="BZ87" s="78"/>
      <c r="CA87" s="78">
        <f>BY87*BZ87</f>
        <v>0</v>
      </c>
      <c r="CB87" s="78"/>
      <c r="CC87" s="78">
        <f>CA87</f>
        <v>0</v>
      </c>
      <c r="CD87" s="78"/>
      <c r="CE87" s="78"/>
      <c r="CF87" s="78"/>
      <c r="CG87" s="78"/>
      <c r="CH87" s="78"/>
      <c r="CI87" s="78">
        <f>CG87*CH87</f>
        <v>0</v>
      </c>
      <c r="CJ87" s="78"/>
      <c r="CK87" s="78">
        <f>CI87</f>
        <v>0</v>
      </c>
      <c r="CL87" s="78"/>
      <c r="CM87" s="78"/>
      <c r="CN87" s="78"/>
      <c r="CO87" s="78"/>
      <c r="CP87" s="78">
        <f>CN87*CO87</f>
        <v>0</v>
      </c>
      <c r="CQ87" s="78"/>
      <c r="CR87" s="79">
        <f t="shared" si="59"/>
        <v>0</v>
      </c>
      <c r="CS87" s="78"/>
      <c r="CT87" s="78"/>
      <c r="CU87" s="78"/>
      <c r="CV87" s="78"/>
      <c r="CW87" s="79">
        <f t="shared" si="60"/>
        <v>0</v>
      </c>
      <c r="CX87" s="78"/>
      <c r="CY87" s="79">
        <f t="shared" si="34"/>
        <v>0</v>
      </c>
      <c r="CZ87" s="78"/>
      <c r="DA87" s="78"/>
      <c r="DB87" s="78"/>
      <c r="DC87" s="78"/>
      <c r="DD87" s="79">
        <f>+DB87*DC87</f>
        <v>0</v>
      </c>
      <c r="DE87" s="78"/>
      <c r="DF87" s="78">
        <f>DC87</f>
        <v>0</v>
      </c>
      <c r="DG87" s="78"/>
      <c r="DH87" s="78">
        <f t="shared" si="61"/>
        <v>0</v>
      </c>
      <c r="DI87" s="78"/>
      <c r="DJ87" s="78"/>
      <c r="DK87" s="79">
        <f t="shared" si="62"/>
        <v>0</v>
      </c>
      <c r="DL87" s="79">
        <f t="shared" si="63"/>
        <v>0</v>
      </c>
      <c r="DM87" s="78"/>
      <c r="DN87" s="78">
        <f>7%*AQ87</f>
        <v>0</v>
      </c>
      <c r="DO87" s="78"/>
      <c r="DP87" s="78">
        <f>10%*AQ87</f>
        <v>0</v>
      </c>
      <c r="DQ87" s="78"/>
      <c r="DR87" s="78">
        <f t="shared" si="64"/>
        <v>0</v>
      </c>
      <c r="DS87" s="78"/>
      <c r="DT87" s="78">
        <f t="shared" si="48"/>
        <v>0</v>
      </c>
      <c r="DU87" s="78"/>
      <c r="DV87" s="78"/>
      <c r="DW87" s="78"/>
      <c r="DX87" s="79">
        <f t="shared" si="65"/>
        <v>0</v>
      </c>
      <c r="DY87" s="78"/>
      <c r="DZ87" s="78"/>
      <c r="EA87" s="78"/>
      <c r="EB87" s="78"/>
      <c r="EC87" s="78"/>
      <c r="ED87" s="78"/>
      <c r="EE87" s="79">
        <f t="shared" si="71"/>
        <v>0</v>
      </c>
      <c r="EF87" s="78"/>
      <c r="EG87" s="78"/>
      <c r="EH87" s="78"/>
      <c r="EI87" s="78"/>
      <c r="EJ87" s="78"/>
      <c r="EK87" s="79">
        <f t="shared" si="66"/>
        <v>0</v>
      </c>
      <c r="EL87" s="78">
        <f t="shared" si="67"/>
        <v>0</v>
      </c>
      <c r="EM87" s="78"/>
      <c r="EN87" s="78">
        <f t="shared" si="68"/>
        <v>0</v>
      </c>
    </row>
    <row r="88" spans="2:144" s="48" customFormat="1" ht="15" customHeight="1" x14ac:dyDescent="0.25">
      <c r="B88" s="41">
        <v>81</v>
      </c>
      <c r="C88" s="42"/>
      <c r="D88" s="43"/>
      <c r="E88" s="42"/>
      <c r="F88" s="42"/>
      <c r="G88" s="42"/>
      <c r="H88" s="42"/>
      <c r="I88" s="42"/>
      <c r="J88" s="42"/>
      <c r="K88" s="42"/>
      <c r="L88" s="42"/>
      <c r="M88" s="42"/>
      <c r="N88" s="41"/>
      <c r="O88" s="41"/>
      <c r="P88" s="42"/>
      <c r="Q88" s="45"/>
      <c r="R88" s="45"/>
      <c r="S88" s="42"/>
      <c r="T88" s="46"/>
      <c r="U88" s="46"/>
      <c r="V88" s="42"/>
      <c r="W88" s="42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7">
        <f t="shared" si="54"/>
        <v>0</v>
      </c>
      <c r="AO88" s="47">
        <f t="shared" si="55"/>
        <v>0</v>
      </c>
      <c r="AP88" s="46" t="s">
        <v>101</v>
      </c>
      <c r="AQ88" s="46">
        <f t="shared" si="72"/>
        <v>0</v>
      </c>
      <c r="AR88" s="46"/>
      <c r="AS88" s="46"/>
      <c r="AT88" s="46"/>
      <c r="AU88" s="47">
        <f t="shared" si="56"/>
        <v>0</v>
      </c>
      <c r="AV88" s="46"/>
      <c r="AW88" s="47">
        <f>AQ88+AU88+AV88+AR88</f>
        <v>0</v>
      </c>
      <c r="AX88" s="46"/>
      <c r="AY88" s="46"/>
      <c r="AZ88" s="46"/>
      <c r="BA88" s="46"/>
      <c r="BB88" s="46"/>
      <c r="BC88" s="47">
        <f t="shared" si="57"/>
        <v>0</v>
      </c>
      <c r="BD88" s="46"/>
      <c r="BE88" s="47">
        <f t="shared" si="58"/>
        <v>0</v>
      </c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7">
        <f t="shared" si="59"/>
        <v>0</v>
      </c>
      <c r="CS88" s="46"/>
      <c r="CT88" s="46"/>
      <c r="CU88" s="46"/>
      <c r="CV88" s="46"/>
      <c r="CW88" s="47">
        <f t="shared" si="60"/>
        <v>0</v>
      </c>
      <c r="CX88" s="46"/>
      <c r="CY88" s="47">
        <f t="shared" si="34"/>
        <v>0</v>
      </c>
      <c r="CZ88" s="46"/>
      <c r="DA88" s="46"/>
      <c r="DB88" s="46"/>
      <c r="DC88" s="46"/>
      <c r="DD88" s="47"/>
      <c r="DE88" s="46"/>
      <c r="DF88" s="46"/>
      <c r="DG88" s="46"/>
      <c r="DH88" s="46">
        <f t="shared" si="61"/>
        <v>0</v>
      </c>
      <c r="DI88" s="46"/>
      <c r="DJ88" s="46"/>
      <c r="DK88" s="47">
        <f t="shared" si="62"/>
        <v>0</v>
      </c>
      <c r="DL88" s="47">
        <f t="shared" si="63"/>
        <v>0</v>
      </c>
      <c r="DM88" s="46"/>
      <c r="DN88" s="46">
        <f t="shared" ref="DN88:DN115" si="73">7.5%*AQ88</f>
        <v>0</v>
      </c>
      <c r="DO88" s="46"/>
      <c r="DP88" s="46">
        <f t="shared" ref="DP88:DP151" si="74">DN88</f>
        <v>0</v>
      </c>
      <c r="DQ88" s="46"/>
      <c r="DR88" s="46">
        <f t="shared" si="64"/>
        <v>0</v>
      </c>
      <c r="DS88" s="46"/>
      <c r="DT88" s="46">
        <f t="shared" si="48"/>
        <v>0</v>
      </c>
      <c r="DU88" s="46"/>
      <c r="DV88" s="46"/>
      <c r="DW88" s="46"/>
      <c r="DX88" s="47">
        <f t="shared" si="65"/>
        <v>0</v>
      </c>
      <c r="DY88" s="46"/>
      <c r="DZ88" s="46"/>
      <c r="EA88" s="46"/>
      <c r="EB88" s="46"/>
      <c r="EC88" s="46"/>
      <c r="ED88" s="46"/>
      <c r="EE88" s="47">
        <f t="shared" si="71"/>
        <v>0</v>
      </c>
      <c r="EF88" s="46"/>
      <c r="EG88" s="46"/>
      <c r="EH88" s="46"/>
      <c r="EI88" s="46"/>
      <c r="EJ88" s="46"/>
      <c r="EK88" s="47">
        <f t="shared" si="66"/>
        <v>0</v>
      </c>
      <c r="EL88" s="46">
        <f t="shared" si="67"/>
        <v>0</v>
      </c>
      <c r="EM88" s="46"/>
      <c r="EN88" s="46">
        <f t="shared" si="68"/>
        <v>0</v>
      </c>
    </row>
    <row r="89" spans="2:144" s="48" customFormat="1" x14ac:dyDescent="0.25">
      <c r="B89" s="41">
        <v>82</v>
      </c>
      <c r="C89" s="42"/>
      <c r="D89" s="43"/>
      <c r="E89" s="42"/>
      <c r="F89" s="42"/>
      <c r="G89" s="42"/>
      <c r="H89" s="42"/>
      <c r="I89" s="42"/>
      <c r="J89" s="42"/>
      <c r="K89" s="42"/>
      <c r="L89" s="42"/>
      <c r="M89" s="42"/>
      <c r="N89" s="41"/>
      <c r="O89" s="41"/>
      <c r="P89" s="42"/>
      <c r="Q89" s="45"/>
      <c r="R89" s="45"/>
      <c r="S89" s="42"/>
      <c r="T89" s="46"/>
      <c r="U89" s="46"/>
      <c r="V89" s="42"/>
      <c r="W89" s="42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>
        <f t="shared" si="54"/>
        <v>0</v>
      </c>
      <c r="AO89" s="46">
        <f t="shared" si="55"/>
        <v>0</v>
      </c>
      <c r="AP89" s="46" t="s">
        <v>101</v>
      </c>
      <c r="AQ89" s="46">
        <f t="shared" si="72"/>
        <v>0</v>
      </c>
      <c r="AR89" s="46"/>
      <c r="AS89" s="46"/>
      <c r="AT89" s="46"/>
      <c r="AU89" s="47">
        <f t="shared" si="56"/>
        <v>0</v>
      </c>
      <c r="AV89" s="46"/>
      <c r="AW89" s="47">
        <f>AQ89+AU89+AV89</f>
        <v>0</v>
      </c>
      <c r="AX89" s="46"/>
      <c r="AY89" s="46"/>
      <c r="AZ89" s="46"/>
      <c r="BA89" s="46"/>
      <c r="BB89" s="46"/>
      <c r="BC89" s="47">
        <f t="shared" si="57"/>
        <v>0</v>
      </c>
      <c r="BD89" s="46"/>
      <c r="BE89" s="47">
        <f t="shared" si="58"/>
        <v>0</v>
      </c>
      <c r="BF89" s="46"/>
      <c r="BG89" s="46"/>
      <c r="BH89" s="46"/>
      <c r="BI89" s="46"/>
      <c r="BJ89" s="46"/>
      <c r="BK89" s="46">
        <f>BI89*BJ89</f>
        <v>0</v>
      </c>
      <c r="BL89" s="46"/>
      <c r="BM89" s="46">
        <f>BK89</f>
        <v>0</v>
      </c>
      <c r="BN89" s="46"/>
      <c r="BO89" s="46"/>
      <c r="BP89" s="46"/>
      <c r="BQ89" s="46"/>
      <c r="BR89" s="46"/>
      <c r="BS89" s="46">
        <f>BQ89*BR89</f>
        <v>0</v>
      </c>
      <c r="BT89" s="46"/>
      <c r="BU89" s="46">
        <f>BS89</f>
        <v>0</v>
      </c>
      <c r="BV89" s="46"/>
      <c r="BW89" s="46"/>
      <c r="BX89" s="46"/>
      <c r="BY89" s="46"/>
      <c r="BZ89" s="46"/>
      <c r="CA89" s="46">
        <f>BY89*BZ89</f>
        <v>0</v>
      </c>
      <c r="CB89" s="46"/>
      <c r="CC89" s="46">
        <f>CA89</f>
        <v>0</v>
      </c>
      <c r="CD89" s="46"/>
      <c r="CE89" s="46"/>
      <c r="CF89" s="46"/>
      <c r="CG89" s="46"/>
      <c r="CH89" s="46"/>
      <c r="CI89" s="46">
        <f>CG89*CH89</f>
        <v>0</v>
      </c>
      <c r="CJ89" s="46"/>
      <c r="CK89" s="46">
        <f>CI89</f>
        <v>0</v>
      </c>
      <c r="CL89" s="46"/>
      <c r="CM89" s="46"/>
      <c r="CN89" s="46"/>
      <c r="CO89" s="46"/>
      <c r="CP89" s="46">
        <f>CN89*CO89</f>
        <v>0</v>
      </c>
      <c r="CQ89" s="46"/>
      <c r="CR89" s="47">
        <f t="shared" si="59"/>
        <v>0</v>
      </c>
      <c r="CS89" s="46"/>
      <c r="CT89" s="46"/>
      <c r="CU89" s="46"/>
      <c r="CV89" s="46"/>
      <c r="CW89" s="47">
        <f t="shared" si="60"/>
        <v>0</v>
      </c>
      <c r="CX89" s="46"/>
      <c r="CY89" s="47">
        <f t="shared" si="34"/>
        <v>0</v>
      </c>
      <c r="CZ89" s="46"/>
      <c r="DA89" s="46"/>
      <c r="DB89" s="46"/>
      <c r="DC89" s="46"/>
      <c r="DD89" s="47">
        <f>+DB89*DC89</f>
        <v>0</v>
      </c>
      <c r="DE89" s="46"/>
      <c r="DF89" s="46">
        <f>DC89</f>
        <v>0</v>
      </c>
      <c r="DG89" s="46"/>
      <c r="DH89" s="46">
        <f t="shared" si="61"/>
        <v>0</v>
      </c>
      <c r="DI89" s="46"/>
      <c r="DJ89" s="46"/>
      <c r="DK89" s="47">
        <f t="shared" si="62"/>
        <v>0</v>
      </c>
      <c r="DL89" s="47">
        <f t="shared" si="63"/>
        <v>0</v>
      </c>
      <c r="DM89" s="46"/>
      <c r="DN89" s="46">
        <f t="shared" si="73"/>
        <v>0</v>
      </c>
      <c r="DO89" s="46"/>
      <c r="DP89" s="46">
        <f t="shared" si="74"/>
        <v>0</v>
      </c>
      <c r="DQ89" s="46"/>
      <c r="DR89" s="46">
        <f t="shared" si="64"/>
        <v>0</v>
      </c>
      <c r="DS89" s="46"/>
      <c r="DT89" s="46">
        <f t="shared" si="48"/>
        <v>0</v>
      </c>
      <c r="DU89" s="46"/>
      <c r="DV89" s="46"/>
      <c r="DW89" s="46"/>
      <c r="DX89" s="47">
        <f t="shared" si="65"/>
        <v>0</v>
      </c>
      <c r="DY89" s="46"/>
      <c r="DZ89" s="46"/>
      <c r="EA89" s="46"/>
      <c r="EB89" s="46"/>
      <c r="EC89" s="46"/>
      <c r="ED89" s="46"/>
      <c r="EE89" s="47">
        <f t="shared" si="71"/>
        <v>0</v>
      </c>
      <c r="EF89" s="46"/>
      <c r="EG89" s="46"/>
      <c r="EH89" s="46"/>
      <c r="EI89" s="46"/>
      <c r="EJ89" s="46"/>
      <c r="EK89" s="47">
        <f t="shared" si="66"/>
        <v>0</v>
      </c>
      <c r="EL89" s="46">
        <f t="shared" si="67"/>
        <v>0</v>
      </c>
      <c r="EM89" s="46"/>
      <c r="EN89" s="46">
        <f t="shared" si="68"/>
        <v>0</v>
      </c>
    </row>
    <row r="90" spans="2:144" s="48" customFormat="1" ht="15" customHeight="1" x14ac:dyDescent="0.25">
      <c r="B90" s="41">
        <v>83</v>
      </c>
      <c r="C90" s="42"/>
      <c r="D90" s="43"/>
      <c r="E90" s="42"/>
      <c r="F90" s="42"/>
      <c r="G90" s="42"/>
      <c r="H90" s="42"/>
      <c r="I90" s="42"/>
      <c r="J90" s="42"/>
      <c r="K90" s="42"/>
      <c r="L90" s="42"/>
      <c r="M90" s="42"/>
      <c r="N90" s="41"/>
      <c r="O90" s="41"/>
      <c r="P90" s="42"/>
      <c r="Q90" s="45"/>
      <c r="R90" s="45"/>
      <c r="S90" s="42"/>
      <c r="T90" s="46"/>
      <c r="U90" s="46"/>
      <c r="V90" s="42"/>
      <c r="W90" s="42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7">
        <f t="shared" si="54"/>
        <v>0</v>
      </c>
      <c r="AO90" s="47">
        <f t="shared" si="55"/>
        <v>0</v>
      </c>
      <c r="AP90" s="46" t="s">
        <v>98</v>
      </c>
      <c r="AQ90" s="46">
        <f t="shared" si="72"/>
        <v>0</v>
      </c>
      <c r="AR90" s="46"/>
      <c r="AS90" s="46"/>
      <c r="AT90" s="46"/>
      <c r="AU90" s="47">
        <f t="shared" si="56"/>
        <v>0</v>
      </c>
      <c r="AV90" s="46"/>
      <c r="AW90" s="47">
        <f>AQ90+AU90+AV90+AR90</f>
        <v>0</v>
      </c>
      <c r="AX90" s="46"/>
      <c r="AY90" s="46"/>
      <c r="AZ90" s="46"/>
      <c r="BA90" s="46"/>
      <c r="BB90" s="46"/>
      <c r="BC90" s="47">
        <f t="shared" si="57"/>
        <v>0</v>
      </c>
      <c r="BD90" s="46"/>
      <c r="BE90" s="47">
        <f t="shared" si="58"/>
        <v>0</v>
      </c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7">
        <f t="shared" si="59"/>
        <v>0</v>
      </c>
      <c r="CS90" s="46"/>
      <c r="CT90" s="46"/>
      <c r="CU90" s="46"/>
      <c r="CV90" s="46"/>
      <c r="CW90" s="47">
        <f t="shared" si="60"/>
        <v>0</v>
      </c>
      <c r="CX90" s="46"/>
      <c r="CY90" s="47"/>
      <c r="CZ90" s="46"/>
      <c r="DA90" s="46"/>
      <c r="DB90" s="46"/>
      <c r="DC90" s="46"/>
      <c r="DD90" s="47"/>
      <c r="DE90" s="46"/>
      <c r="DF90" s="46"/>
      <c r="DG90" s="46"/>
      <c r="DH90" s="46">
        <f t="shared" si="61"/>
        <v>0</v>
      </c>
      <c r="DI90" s="46"/>
      <c r="DJ90" s="46"/>
      <c r="DK90" s="64">
        <f t="shared" si="62"/>
        <v>0</v>
      </c>
      <c r="DL90" s="47">
        <f t="shared" si="63"/>
        <v>0</v>
      </c>
      <c r="DM90" s="46"/>
      <c r="DN90" s="46">
        <f t="shared" si="73"/>
        <v>0</v>
      </c>
      <c r="DO90" s="46"/>
      <c r="DP90" s="46">
        <f t="shared" si="74"/>
        <v>0</v>
      </c>
      <c r="DQ90" s="46"/>
      <c r="DR90" s="46">
        <f t="shared" si="64"/>
        <v>0</v>
      </c>
      <c r="DS90" s="46"/>
      <c r="DT90" s="46">
        <f t="shared" si="48"/>
        <v>0</v>
      </c>
      <c r="DU90" s="46"/>
      <c r="DV90" s="46"/>
      <c r="DW90" s="46"/>
      <c r="DX90" s="47">
        <f t="shared" si="65"/>
        <v>0</v>
      </c>
      <c r="DY90" s="46"/>
      <c r="DZ90" s="46"/>
      <c r="EA90" s="46"/>
      <c r="EB90" s="46"/>
      <c r="EC90" s="46"/>
      <c r="ED90" s="46"/>
      <c r="EE90" s="47">
        <f t="shared" si="71"/>
        <v>0</v>
      </c>
      <c r="EF90" s="46"/>
      <c r="EG90" s="46"/>
      <c r="EH90" s="46"/>
      <c r="EI90" s="46"/>
      <c r="EJ90" s="46"/>
      <c r="EK90" s="47">
        <f t="shared" si="66"/>
        <v>0</v>
      </c>
      <c r="EL90" s="46">
        <f t="shared" si="67"/>
        <v>0</v>
      </c>
      <c r="EM90" s="46"/>
      <c r="EN90" s="46">
        <f t="shared" si="68"/>
        <v>0</v>
      </c>
    </row>
    <row r="91" spans="2:144" s="48" customFormat="1" ht="15" customHeight="1" x14ac:dyDescent="0.25">
      <c r="B91" s="41">
        <v>84</v>
      </c>
      <c r="C91" s="42"/>
      <c r="D91" s="43"/>
      <c r="E91" s="42"/>
      <c r="F91" s="42"/>
      <c r="G91" s="42"/>
      <c r="H91" s="42"/>
      <c r="I91" s="42"/>
      <c r="J91" s="42"/>
      <c r="K91" s="42"/>
      <c r="L91" s="42"/>
      <c r="M91" s="42"/>
      <c r="N91" s="41"/>
      <c r="O91" s="41"/>
      <c r="P91" s="42"/>
      <c r="Q91" s="45"/>
      <c r="R91" s="45"/>
      <c r="S91" s="42"/>
      <c r="T91" s="46"/>
      <c r="U91" s="46"/>
      <c r="V91" s="42"/>
      <c r="W91" s="42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7">
        <f t="shared" si="54"/>
        <v>0</v>
      </c>
      <c r="AO91" s="47">
        <f t="shared" si="55"/>
        <v>0</v>
      </c>
      <c r="AP91" s="46" t="s">
        <v>98</v>
      </c>
      <c r="AQ91" s="46">
        <f t="shared" si="72"/>
        <v>0</v>
      </c>
      <c r="AR91" s="46"/>
      <c r="AS91" s="46"/>
      <c r="AT91" s="46"/>
      <c r="AU91" s="47">
        <f t="shared" si="56"/>
        <v>0</v>
      </c>
      <c r="AV91" s="46"/>
      <c r="AW91" s="47">
        <f>AQ91+AU91+AV91+AR91</f>
        <v>0</v>
      </c>
      <c r="AX91" s="46"/>
      <c r="AY91" s="46"/>
      <c r="AZ91" s="46"/>
      <c r="BA91" s="46"/>
      <c r="BB91" s="46"/>
      <c r="BC91" s="47">
        <f t="shared" si="57"/>
        <v>0</v>
      </c>
      <c r="BD91" s="46"/>
      <c r="BE91" s="47">
        <f t="shared" si="58"/>
        <v>0</v>
      </c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7">
        <f t="shared" si="59"/>
        <v>0</v>
      </c>
      <c r="CS91" s="46"/>
      <c r="CT91" s="46"/>
      <c r="CU91" s="46"/>
      <c r="CV91" s="46"/>
      <c r="CW91" s="47"/>
      <c r="CX91" s="46"/>
      <c r="CY91" s="47"/>
      <c r="CZ91" s="46"/>
      <c r="DA91" s="46"/>
      <c r="DB91" s="46"/>
      <c r="DC91" s="46"/>
      <c r="DD91" s="47"/>
      <c r="DE91" s="46"/>
      <c r="DF91" s="46"/>
      <c r="DG91" s="46"/>
      <c r="DH91" s="46">
        <f t="shared" si="61"/>
        <v>0</v>
      </c>
      <c r="DI91" s="46"/>
      <c r="DJ91" s="46"/>
      <c r="DK91" s="64">
        <f t="shared" si="62"/>
        <v>0</v>
      </c>
      <c r="DL91" s="47">
        <f t="shared" si="63"/>
        <v>0</v>
      </c>
      <c r="DM91" s="46"/>
      <c r="DN91" s="46">
        <f t="shared" si="73"/>
        <v>0</v>
      </c>
      <c r="DO91" s="46"/>
      <c r="DP91" s="46">
        <f t="shared" si="74"/>
        <v>0</v>
      </c>
      <c r="DQ91" s="46"/>
      <c r="DR91" s="46">
        <f t="shared" si="64"/>
        <v>0</v>
      </c>
      <c r="DS91" s="46"/>
      <c r="DT91" s="46">
        <f t="shared" si="48"/>
        <v>0</v>
      </c>
      <c r="DU91" s="46"/>
      <c r="DV91" s="46"/>
      <c r="DW91" s="46"/>
      <c r="DX91" s="47">
        <f t="shared" si="65"/>
        <v>0</v>
      </c>
      <c r="DY91" s="46"/>
      <c r="DZ91" s="46"/>
      <c r="EA91" s="46"/>
      <c r="EB91" s="46"/>
      <c r="EC91" s="46"/>
      <c r="ED91" s="46"/>
      <c r="EE91" s="47">
        <f t="shared" si="71"/>
        <v>0</v>
      </c>
      <c r="EF91" s="46"/>
      <c r="EG91" s="46"/>
      <c r="EH91" s="46"/>
      <c r="EI91" s="46"/>
      <c r="EJ91" s="46"/>
      <c r="EK91" s="47">
        <f t="shared" si="66"/>
        <v>0</v>
      </c>
      <c r="EL91" s="46">
        <f t="shared" si="67"/>
        <v>0</v>
      </c>
      <c r="EM91" s="46"/>
      <c r="EN91" s="46">
        <f t="shared" si="68"/>
        <v>0</v>
      </c>
    </row>
    <row r="92" spans="2:144" s="48" customFormat="1" ht="15" customHeight="1" x14ac:dyDescent="0.25">
      <c r="B92" s="41">
        <v>85</v>
      </c>
      <c r="C92" s="42"/>
      <c r="D92" s="43"/>
      <c r="E92" s="42"/>
      <c r="F92" s="42"/>
      <c r="G92" s="42"/>
      <c r="H92" s="42"/>
      <c r="I92" s="42"/>
      <c r="J92" s="42"/>
      <c r="K92" s="42"/>
      <c r="L92" s="42"/>
      <c r="M92" s="42"/>
      <c r="N92" s="41"/>
      <c r="O92" s="41"/>
      <c r="P92" s="42"/>
      <c r="Q92" s="45"/>
      <c r="R92" s="45"/>
      <c r="S92" s="42"/>
      <c r="T92" s="46"/>
      <c r="U92" s="46"/>
      <c r="V92" s="42"/>
      <c r="W92" s="42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7">
        <f t="shared" si="54"/>
        <v>0</v>
      </c>
      <c r="AO92" s="47">
        <f t="shared" si="55"/>
        <v>0</v>
      </c>
      <c r="AP92" s="46" t="s">
        <v>98</v>
      </c>
      <c r="AQ92" s="46">
        <f t="shared" si="72"/>
        <v>0</v>
      </c>
      <c r="AR92" s="46"/>
      <c r="AS92" s="46"/>
      <c r="AT92" s="46"/>
      <c r="AU92" s="47">
        <f t="shared" si="56"/>
        <v>0</v>
      </c>
      <c r="AV92" s="46"/>
      <c r="AW92" s="47">
        <f>AQ92+AU92+AV92+AR92</f>
        <v>0</v>
      </c>
      <c r="AX92" s="46"/>
      <c r="AY92" s="46"/>
      <c r="AZ92" s="46"/>
      <c r="BA92" s="46"/>
      <c r="BB92" s="46"/>
      <c r="BC92" s="47"/>
      <c r="BD92" s="46"/>
      <c r="BE92" s="47">
        <f t="shared" si="58"/>
        <v>0</v>
      </c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7">
        <f t="shared" si="59"/>
        <v>0</v>
      </c>
      <c r="CS92" s="46"/>
      <c r="CT92" s="46"/>
      <c r="CU92" s="46"/>
      <c r="CV92" s="46"/>
      <c r="CW92" s="47"/>
      <c r="CX92" s="46"/>
      <c r="CY92" s="47"/>
      <c r="CZ92" s="46"/>
      <c r="DA92" s="46"/>
      <c r="DB92" s="46"/>
      <c r="DC92" s="46"/>
      <c r="DD92" s="47"/>
      <c r="DE92" s="46"/>
      <c r="DF92" s="46"/>
      <c r="DG92" s="46"/>
      <c r="DH92" s="46">
        <f t="shared" si="61"/>
        <v>0</v>
      </c>
      <c r="DI92" s="46"/>
      <c r="DJ92" s="46"/>
      <c r="DK92" s="64">
        <f t="shared" si="62"/>
        <v>0</v>
      </c>
      <c r="DL92" s="47">
        <f t="shared" si="63"/>
        <v>0</v>
      </c>
      <c r="DM92" s="46"/>
      <c r="DN92" s="46">
        <f t="shared" si="73"/>
        <v>0</v>
      </c>
      <c r="DO92" s="46"/>
      <c r="DP92" s="46">
        <f t="shared" si="74"/>
        <v>0</v>
      </c>
      <c r="DQ92" s="46"/>
      <c r="DR92" s="46">
        <f t="shared" si="64"/>
        <v>0</v>
      </c>
      <c r="DS92" s="46"/>
      <c r="DT92" s="46">
        <f t="shared" si="48"/>
        <v>0</v>
      </c>
      <c r="DU92" s="46"/>
      <c r="DV92" s="46"/>
      <c r="DW92" s="46"/>
      <c r="DX92" s="47">
        <f t="shared" si="65"/>
        <v>0</v>
      </c>
      <c r="DY92" s="46"/>
      <c r="DZ92" s="46"/>
      <c r="EA92" s="46"/>
      <c r="EB92" s="46"/>
      <c r="EC92" s="46"/>
      <c r="ED92" s="46"/>
      <c r="EE92" s="47">
        <f t="shared" si="71"/>
        <v>0</v>
      </c>
      <c r="EF92" s="46"/>
      <c r="EG92" s="46"/>
      <c r="EH92" s="46"/>
      <c r="EI92" s="46"/>
      <c r="EJ92" s="46"/>
      <c r="EK92" s="47">
        <f t="shared" si="66"/>
        <v>0</v>
      </c>
      <c r="EL92" s="46">
        <f t="shared" si="67"/>
        <v>0</v>
      </c>
      <c r="EM92" s="46"/>
      <c r="EN92" s="46">
        <f t="shared" si="68"/>
        <v>0</v>
      </c>
    </row>
    <row r="93" spans="2:144" s="48" customFormat="1" ht="15" customHeight="1" x14ac:dyDescent="0.25">
      <c r="B93" s="41">
        <v>86</v>
      </c>
      <c r="C93" s="42"/>
      <c r="D93" s="43"/>
      <c r="E93" s="42"/>
      <c r="F93" s="42"/>
      <c r="G93" s="42"/>
      <c r="H93" s="42"/>
      <c r="I93" s="42"/>
      <c r="J93" s="42"/>
      <c r="K93" s="42"/>
      <c r="L93" s="42"/>
      <c r="M93" s="42"/>
      <c r="N93" s="41"/>
      <c r="O93" s="41"/>
      <c r="P93" s="42"/>
      <c r="Q93" s="45"/>
      <c r="R93" s="45"/>
      <c r="S93" s="42"/>
      <c r="T93" s="46"/>
      <c r="U93" s="46"/>
      <c r="V93" s="42"/>
      <c r="W93" s="42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7">
        <f t="shared" si="54"/>
        <v>0</v>
      </c>
      <c r="AO93" s="47">
        <f t="shared" si="55"/>
        <v>0</v>
      </c>
      <c r="AP93" s="46" t="s">
        <v>98</v>
      </c>
      <c r="AQ93" s="46">
        <f t="shared" si="72"/>
        <v>0</v>
      </c>
      <c r="AR93" s="46"/>
      <c r="AS93" s="46"/>
      <c r="AT93" s="46"/>
      <c r="AU93" s="47">
        <f t="shared" si="56"/>
        <v>0</v>
      </c>
      <c r="AV93" s="46"/>
      <c r="AW93" s="47">
        <f>AQ93+AU93+AV93+AR93</f>
        <v>0</v>
      </c>
      <c r="AX93" s="46"/>
      <c r="AY93" s="46"/>
      <c r="AZ93" s="46"/>
      <c r="BA93" s="46"/>
      <c r="BB93" s="46"/>
      <c r="BC93" s="47"/>
      <c r="BD93" s="46"/>
      <c r="BE93" s="47">
        <f t="shared" si="58"/>
        <v>0</v>
      </c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7">
        <f t="shared" si="59"/>
        <v>0</v>
      </c>
      <c r="CS93" s="46"/>
      <c r="CT93" s="46"/>
      <c r="CU93" s="46"/>
      <c r="CV93" s="46"/>
      <c r="CW93" s="47"/>
      <c r="CX93" s="46"/>
      <c r="CY93" s="47"/>
      <c r="CZ93" s="46"/>
      <c r="DA93" s="46"/>
      <c r="DB93" s="46"/>
      <c r="DC93" s="46"/>
      <c r="DD93" s="47"/>
      <c r="DE93" s="46"/>
      <c r="DF93" s="46"/>
      <c r="DG93" s="46"/>
      <c r="DH93" s="46">
        <f t="shared" si="61"/>
        <v>0</v>
      </c>
      <c r="DI93" s="46"/>
      <c r="DJ93" s="46"/>
      <c r="DK93" s="64">
        <f t="shared" si="62"/>
        <v>0</v>
      </c>
      <c r="DL93" s="47">
        <f t="shared" si="63"/>
        <v>0</v>
      </c>
      <c r="DM93" s="46"/>
      <c r="DN93" s="46">
        <f t="shared" si="73"/>
        <v>0</v>
      </c>
      <c r="DO93" s="46"/>
      <c r="DP93" s="46">
        <f t="shared" si="74"/>
        <v>0</v>
      </c>
      <c r="DQ93" s="46"/>
      <c r="DR93" s="46">
        <f t="shared" si="64"/>
        <v>0</v>
      </c>
      <c r="DS93" s="46"/>
      <c r="DT93" s="46">
        <f t="shared" si="48"/>
        <v>0</v>
      </c>
      <c r="DU93" s="46"/>
      <c r="DV93" s="46"/>
      <c r="DW93" s="46"/>
      <c r="DX93" s="47">
        <f t="shared" si="65"/>
        <v>0</v>
      </c>
      <c r="DY93" s="46"/>
      <c r="DZ93" s="46"/>
      <c r="EA93" s="46"/>
      <c r="EB93" s="46"/>
      <c r="EC93" s="46"/>
      <c r="ED93" s="46"/>
      <c r="EE93" s="47">
        <f t="shared" si="71"/>
        <v>0</v>
      </c>
      <c r="EF93" s="46"/>
      <c r="EG93" s="46"/>
      <c r="EH93" s="46"/>
      <c r="EI93" s="46"/>
      <c r="EJ93" s="46"/>
      <c r="EK93" s="47">
        <f t="shared" si="66"/>
        <v>0</v>
      </c>
      <c r="EL93" s="46">
        <f t="shared" si="67"/>
        <v>0</v>
      </c>
      <c r="EM93" s="46"/>
      <c r="EN93" s="46">
        <f t="shared" si="68"/>
        <v>0</v>
      </c>
    </row>
    <row r="94" spans="2:144" s="48" customFormat="1" ht="15" customHeight="1" x14ac:dyDescent="0.25">
      <c r="B94" s="41">
        <v>87</v>
      </c>
      <c r="C94" s="42"/>
      <c r="D94" s="43"/>
      <c r="E94" s="42"/>
      <c r="F94" s="42"/>
      <c r="G94" s="42"/>
      <c r="H94" s="42"/>
      <c r="I94" s="42"/>
      <c r="J94" s="42"/>
      <c r="K94" s="42"/>
      <c r="L94" s="42"/>
      <c r="M94" s="42"/>
      <c r="N94" s="41"/>
      <c r="O94" s="41"/>
      <c r="P94" s="42"/>
      <c r="Q94" s="45"/>
      <c r="R94" s="45"/>
      <c r="S94" s="42"/>
      <c r="T94" s="46"/>
      <c r="U94" s="46"/>
      <c r="V94" s="42"/>
      <c r="W94" s="42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7">
        <f t="shared" si="54"/>
        <v>0</v>
      </c>
      <c r="AO94" s="47">
        <f t="shared" si="55"/>
        <v>0</v>
      </c>
      <c r="AP94" s="46" t="s">
        <v>98</v>
      </c>
      <c r="AQ94" s="46">
        <f t="shared" si="72"/>
        <v>0</v>
      </c>
      <c r="AR94" s="46"/>
      <c r="AS94" s="46"/>
      <c r="AT94" s="46"/>
      <c r="AU94" s="47">
        <f t="shared" si="56"/>
        <v>0</v>
      </c>
      <c r="AV94" s="46"/>
      <c r="AW94" s="47">
        <f>AQ94+AU94+AV94+AR94</f>
        <v>0</v>
      </c>
      <c r="AX94" s="46"/>
      <c r="AY94" s="46"/>
      <c r="AZ94" s="46"/>
      <c r="BA94" s="46"/>
      <c r="BB94" s="46"/>
      <c r="BC94" s="47"/>
      <c r="BD94" s="46"/>
      <c r="BE94" s="47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7">
        <f t="shared" si="59"/>
        <v>0</v>
      </c>
      <c r="CS94" s="46"/>
      <c r="CT94" s="46"/>
      <c r="CU94" s="46"/>
      <c r="CV94" s="46"/>
      <c r="CW94" s="47"/>
      <c r="CX94" s="46"/>
      <c r="CY94" s="47"/>
      <c r="CZ94" s="46"/>
      <c r="DA94" s="46"/>
      <c r="DB94" s="46"/>
      <c r="DC94" s="46"/>
      <c r="DD94" s="47"/>
      <c r="DE94" s="46"/>
      <c r="DF94" s="46"/>
      <c r="DG94" s="46"/>
      <c r="DH94" s="46">
        <f t="shared" si="61"/>
        <v>0</v>
      </c>
      <c r="DI94" s="46"/>
      <c r="DJ94" s="46"/>
      <c r="DK94" s="64">
        <f t="shared" si="62"/>
        <v>0</v>
      </c>
      <c r="DL94" s="47">
        <f t="shared" si="63"/>
        <v>0</v>
      </c>
      <c r="DM94" s="46"/>
      <c r="DN94" s="46">
        <f t="shared" si="73"/>
        <v>0</v>
      </c>
      <c r="DO94" s="46"/>
      <c r="DP94" s="46">
        <f t="shared" si="74"/>
        <v>0</v>
      </c>
      <c r="DQ94" s="46"/>
      <c r="DR94" s="46">
        <f t="shared" si="64"/>
        <v>0</v>
      </c>
      <c r="DS94" s="46"/>
      <c r="DT94" s="46">
        <f t="shared" si="48"/>
        <v>0</v>
      </c>
      <c r="DU94" s="46"/>
      <c r="DV94" s="46"/>
      <c r="DW94" s="46"/>
      <c r="DX94" s="47">
        <f t="shared" si="65"/>
        <v>0</v>
      </c>
      <c r="DY94" s="46"/>
      <c r="DZ94" s="46"/>
      <c r="EA94" s="46"/>
      <c r="EB94" s="46"/>
      <c r="EC94" s="46"/>
      <c r="ED94" s="46"/>
      <c r="EE94" s="47">
        <f t="shared" si="71"/>
        <v>0</v>
      </c>
      <c r="EF94" s="46"/>
      <c r="EG94" s="46"/>
      <c r="EH94" s="46"/>
      <c r="EI94" s="46"/>
      <c r="EJ94" s="46"/>
      <c r="EK94" s="47">
        <f t="shared" si="66"/>
        <v>0</v>
      </c>
      <c r="EL94" s="46">
        <f t="shared" si="67"/>
        <v>0</v>
      </c>
      <c r="EM94" s="46"/>
      <c r="EN94" s="46">
        <f t="shared" si="68"/>
        <v>0</v>
      </c>
    </row>
    <row r="95" spans="2:144" s="48" customFormat="1" ht="15" customHeight="1" x14ac:dyDescent="0.25">
      <c r="B95" s="41">
        <v>88</v>
      </c>
      <c r="C95" s="42"/>
      <c r="D95" s="43"/>
      <c r="E95" s="42"/>
      <c r="F95" s="42"/>
      <c r="G95" s="42"/>
      <c r="H95" s="42"/>
      <c r="I95" s="42"/>
      <c r="J95" s="42"/>
      <c r="K95" s="42"/>
      <c r="L95" s="42"/>
      <c r="M95" s="42"/>
      <c r="N95" s="41"/>
      <c r="O95" s="41"/>
      <c r="P95" s="42"/>
      <c r="Q95" s="45"/>
      <c r="R95" s="45"/>
      <c r="S95" s="42"/>
      <c r="T95" s="46"/>
      <c r="U95" s="46"/>
      <c r="V95" s="42"/>
      <c r="W95" s="42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7">
        <f t="shared" si="54"/>
        <v>0</v>
      </c>
      <c r="AO95" s="47">
        <f t="shared" si="55"/>
        <v>0</v>
      </c>
      <c r="AP95" s="46"/>
      <c r="AQ95" s="46">
        <f t="shared" si="72"/>
        <v>0</v>
      </c>
      <c r="AR95" s="46"/>
      <c r="AS95" s="46"/>
      <c r="AT95" s="46"/>
      <c r="AU95" s="47"/>
      <c r="AV95" s="46"/>
      <c r="AW95" s="47"/>
      <c r="AX95" s="46"/>
      <c r="AY95" s="46"/>
      <c r="AZ95" s="46"/>
      <c r="BA95" s="46"/>
      <c r="BB95" s="46"/>
      <c r="BC95" s="47"/>
      <c r="BD95" s="46"/>
      <c r="BE95" s="47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7"/>
      <c r="CS95" s="46"/>
      <c r="CT95" s="46"/>
      <c r="CU95" s="46"/>
      <c r="CV95" s="46"/>
      <c r="CW95" s="47"/>
      <c r="CX95" s="46"/>
      <c r="CY95" s="47"/>
      <c r="CZ95" s="46"/>
      <c r="DA95" s="46"/>
      <c r="DB95" s="46"/>
      <c r="DC95" s="46"/>
      <c r="DD95" s="47"/>
      <c r="DE95" s="46"/>
      <c r="DF95" s="46"/>
      <c r="DG95" s="46"/>
      <c r="DH95" s="46">
        <f t="shared" si="61"/>
        <v>0</v>
      </c>
      <c r="DI95" s="46"/>
      <c r="DJ95" s="46"/>
      <c r="DK95" s="64"/>
      <c r="DL95" s="47">
        <f t="shared" si="63"/>
        <v>0</v>
      </c>
      <c r="DM95" s="46"/>
      <c r="DN95" s="46">
        <f t="shared" si="73"/>
        <v>0</v>
      </c>
      <c r="DO95" s="46"/>
      <c r="DP95" s="46">
        <f t="shared" si="74"/>
        <v>0</v>
      </c>
      <c r="DQ95" s="46"/>
      <c r="DR95" s="46">
        <f t="shared" si="64"/>
        <v>0</v>
      </c>
      <c r="DS95" s="46"/>
      <c r="DT95" s="46">
        <f t="shared" si="48"/>
        <v>0</v>
      </c>
      <c r="DU95" s="46"/>
      <c r="DV95" s="46"/>
      <c r="DW95" s="46"/>
      <c r="DX95" s="47">
        <f t="shared" si="65"/>
        <v>0</v>
      </c>
      <c r="DY95" s="46"/>
      <c r="DZ95" s="46"/>
      <c r="EA95" s="46"/>
      <c r="EB95" s="46"/>
      <c r="EC95" s="46"/>
      <c r="ED95" s="46"/>
      <c r="EE95" s="47">
        <f t="shared" si="71"/>
        <v>0</v>
      </c>
      <c r="EF95" s="46"/>
      <c r="EG95" s="46"/>
      <c r="EH95" s="46"/>
      <c r="EI95" s="46"/>
      <c r="EJ95" s="46"/>
      <c r="EK95" s="47"/>
      <c r="EL95" s="46"/>
      <c r="EM95" s="46"/>
      <c r="EN95" s="46"/>
    </row>
    <row r="96" spans="2:144" s="48" customFormat="1" ht="15" customHeight="1" x14ac:dyDescent="0.25">
      <c r="B96" s="41"/>
      <c r="C96" s="42"/>
      <c r="D96" s="43"/>
      <c r="E96" s="42"/>
      <c r="F96" s="42"/>
      <c r="G96" s="42"/>
      <c r="H96" s="42"/>
      <c r="I96" s="42"/>
      <c r="J96" s="42"/>
      <c r="K96" s="42"/>
      <c r="L96" s="42"/>
      <c r="M96" s="42"/>
      <c r="N96" s="41"/>
      <c r="O96" s="41"/>
      <c r="P96" s="42"/>
      <c r="Q96" s="45"/>
      <c r="R96" s="45"/>
      <c r="S96" s="42"/>
      <c r="T96" s="46"/>
      <c r="U96" s="46"/>
      <c r="V96" s="42"/>
      <c r="W96" s="42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7">
        <f t="shared" si="54"/>
        <v>0</v>
      </c>
      <c r="AO96" s="47">
        <f t="shared" si="55"/>
        <v>0</v>
      </c>
      <c r="AP96" s="46"/>
      <c r="AQ96" s="46">
        <f t="shared" si="72"/>
        <v>0</v>
      </c>
      <c r="AR96" s="46"/>
      <c r="AS96" s="46"/>
      <c r="AT96" s="46"/>
      <c r="AU96" s="47"/>
      <c r="AV96" s="46"/>
      <c r="AW96" s="47"/>
      <c r="AX96" s="46"/>
      <c r="AY96" s="46"/>
      <c r="AZ96" s="46"/>
      <c r="BA96" s="46"/>
      <c r="BB96" s="46"/>
      <c r="BC96" s="47"/>
      <c r="BD96" s="46"/>
      <c r="BE96" s="47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7"/>
      <c r="CS96" s="46"/>
      <c r="CT96" s="46"/>
      <c r="CU96" s="46"/>
      <c r="CV96" s="46"/>
      <c r="CW96" s="47"/>
      <c r="CX96" s="46"/>
      <c r="CY96" s="47"/>
      <c r="CZ96" s="46"/>
      <c r="DA96" s="46"/>
      <c r="DB96" s="46"/>
      <c r="DC96" s="46"/>
      <c r="DD96" s="47"/>
      <c r="DE96" s="46"/>
      <c r="DF96" s="46"/>
      <c r="DG96" s="46"/>
      <c r="DH96" s="46">
        <f t="shared" si="61"/>
        <v>0</v>
      </c>
      <c r="DI96" s="46"/>
      <c r="DJ96" s="46"/>
      <c r="DK96" s="64"/>
      <c r="DL96" s="47">
        <f t="shared" si="63"/>
        <v>0</v>
      </c>
      <c r="DM96" s="46"/>
      <c r="DN96" s="46">
        <f t="shared" si="73"/>
        <v>0</v>
      </c>
      <c r="DO96" s="46"/>
      <c r="DP96" s="46">
        <f t="shared" si="74"/>
        <v>0</v>
      </c>
      <c r="DQ96" s="46"/>
      <c r="DR96" s="46">
        <f t="shared" si="64"/>
        <v>0</v>
      </c>
      <c r="DS96" s="46"/>
      <c r="DT96" s="46">
        <f t="shared" si="48"/>
        <v>0</v>
      </c>
      <c r="DU96" s="46"/>
      <c r="DV96" s="46"/>
      <c r="DW96" s="46"/>
      <c r="DX96" s="47">
        <f t="shared" si="65"/>
        <v>0</v>
      </c>
      <c r="DY96" s="46"/>
      <c r="DZ96" s="46"/>
      <c r="EA96" s="46"/>
      <c r="EB96" s="46"/>
      <c r="EC96" s="46"/>
      <c r="ED96" s="46"/>
      <c r="EE96" s="47">
        <f t="shared" si="71"/>
        <v>0</v>
      </c>
      <c r="EF96" s="46"/>
      <c r="EG96" s="46"/>
      <c r="EH96" s="46"/>
      <c r="EI96" s="46"/>
      <c r="EJ96" s="46"/>
      <c r="EK96" s="47"/>
      <c r="EL96" s="46"/>
      <c r="EM96" s="46"/>
      <c r="EN96" s="46"/>
    </row>
    <row r="97" spans="2:147" s="48" customFormat="1" ht="15" customHeight="1" x14ac:dyDescent="0.25">
      <c r="B97" s="41"/>
      <c r="C97" s="42"/>
      <c r="D97" s="43"/>
      <c r="E97" s="42"/>
      <c r="F97" s="42"/>
      <c r="G97" s="42"/>
      <c r="H97" s="42"/>
      <c r="I97" s="42"/>
      <c r="J97" s="42"/>
      <c r="K97" s="42"/>
      <c r="L97" s="42"/>
      <c r="M97" s="42"/>
      <c r="N97" s="41"/>
      <c r="O97" s="41"/>
      <c r="P97" s="42"/>
      <c r="Q97" s="45"/>
      <c r="R97" s="45"/>
      <c r="S97" s="42"/>
      <c r="T97" s="46"/>
      <c r="U97" s="46"/>
      <c r="V97" s="42"/>
      <c r="W97" s="42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7">
        <f t="shared" si="54"/>
        <v>0</v>
      </c>
      <c r="AO97" s="47">
        <f t="shared" si="55"/>
        <v>0</v>
      </c>
      <c r="AP97" s="46"/>
      <c r="AQ97" s="46">
        <f t="shared" si="72"/>
        <v>0</v>
      </c>
      <c r="AR97" s="46"/>
      <c r="AS97" s="46"/>
      <c r="AT97" s="46"/>
      <c r="AU97" s="47"/>
      <c r="AV97" s="46"/>
      <c r="AW97" s="47"/>
      <c r="AX97" s="46"/>
      <c r="AY97" s="46"/>
      <c r="AZ97" s="46"/>
      <c r="BA97" s="46"/>
      <c r="BB97" s="46"/>
      <c r="BC97" s="47"/>
      <c r="BD97" s="46"/>
      <c r="BE97" s="47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7"/>
      <c r="CS97" s="46"/>
      <c r="CT97" s="46"/>
      <c r="CU97" s="46"/>
      <c r="CV97" s="46"/>
      <c r="CW97" s="47"/>
      <c r="CX97" s="46"/>
      <c r="CY97" s="47"/>
      <c r="CZ97" s="46"/>
      <c r="DA97" s="46"/>
      <c r="DB97" s="46"/>
      <c r="DC97" s="46"/>
      <c r="DD97" s="47"/>
      <c r="DE97" s="46"/>
      <c r="DF97" s="46"/>
      <c r="DG97" s="46"/>
      <c r="DH97" s="46">
        <f t="shared" si="61"/>
        <v>0</v>
      </c>
      <c r="DI97" s="46"/>
      <c r="DJ97" s="46"/>
      <c r="DK97" s="64"/>
      <c r="DL97" s="47">
        <f t="shared" si="63"/>
        <v>0</v>
      </c>
      <c r="DM97" s="46"/>
      <c r="DN97" s="46">
        <f t="shared" si="73"/>
        <v>0</v>
      </c>
      <c r="DO97" s="46"/>
      <c r="DP97" s="46">
        <f t="shared" si="74"/>
        <v>0</v>
      </c>
      <c r="DQ97" s="46"/>
      <c r="DR97" s="46">
        <f t="shared" si="64"/>
        <v>0</v>
      </c>
      <c r="DS97" s="46"/>
      <c r="DT97" s="46">
        <f t="shared" si="48"/>
        <v>0</v>
      </c>
      <c r="DU97" s="46"/>
      <c r="DV97" s="46"/>
      <c r="DW97" s="46"/>
      <c r="DX97" s="47">
        <f t="shared" si="65"/>
        <v>0</v>
      </c>
      <c r="DY97" s="46"/>
      <c r="DZ97" s="46"/>
      <c r="EA97" s="46"/>
      <c r="EB97" s="46"/>
      <c r="EC97" s="46"/>
      <c r="ED97" s="46"/>
      <c r="EE97" s="47">
        <f t="shared" si="71"/>
        <v>0</v>
      </c>
      <c r="EF97" s="46"/>
      <c r="EG97" s="46"/>
      <c r="EH97" s="46"/>
      <c r="EI97" s="46"/>
      <c r="EJ97" s="46"/>
      <c r="EK97" s="47"/>
      <c r="EL97" s="46"/>
      <c r="EM97" s="46"/>
      <c r="EN97" s="46"/>
    </row>
    <row r="98" spans="2:147" s="48" customFormat="1" ht="15" customHeight="1" x14ac:dyDescent="0.25">
      <c r="B98" s="41"/>
      <c r="C98" s="42"/>
      <c r="D98" s="43"/>
      <c r="E98" s="42"/>
      <c r="F98" s="42"/>
      <c r="G98" s="42"/>
      <c r="H98" s="42"/>
      <c r="I98" s="42"/>
      <c r="J98" s="42"/>
      <c r="K98" s="42"/>
      <c r="L98" s="42"/>
      <c r="M98" s="42"/>
      <c r="N98" s="41"/>
      <c r="O98" s="41"/>
      <c r="P98" s="42"/>
      <c r="Q98" s="45"/>
      <c r="R98" s="45"/>
      <c r="S98" s="42"/>
      <c r="T98" s="46"/>
      <c r="U98" s="46"/>
      <c r="V98" s="42"/>
      <c r="W98" s="42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7">
        <f t="shared" si="54"/>
        <v>0</v>
      </c>
      <c r="AO98" s="47">
        <f t="shared" si="55"/>
        <v>0</v>
      </c>
      <c r="AP98" s="46"/>
      <c r="AQ98" s="46">
        <f t="shared" si="72"/>
        <v>0</v>
      </c>
      <c r="AR98" s="46"/>
      <c r="AS98" s="46"/>
      <c r="AT98" s="46"/>
      <c r="AU98" s="47"/>
      <c r="AV98" s="46"/>
      <c r="AW98" s="47"/>
      <c r="AX98" s="46"/>
      <c r="AY98" s="46"/>
      <c r="AZ98" s="46"/>
      <c r="BA98" s="46"/>
      <c r="BB98" s="46"/>
      <c r="BC98" s="47"/>
      <c r="BD98" s="46"/>
      <c r="BE98" s="47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7"/>
      <c r="CS98" s="46"/>
      <c r="CT98" s="46"/>
      <c r="CU98" s="46"/>
      <c r="CV98" s="46"/>
      <c r="CW98" s="47"/>
      <c r="CX98" s="46"/>
      <c r="CY98" s="47"/>
      <c r="CZ98" s="46"/>
      <c r="DA98" s="46"/>
      <c r="DB98" s="46"/>
      <c r="DC98" s="46"/>
      <c r="DD98" s="47"/>
      <c r="DE98" s="46"/>
      <c r="DF98" s="46"/>
      <c r="DG98" s="46"/>
      <c r="DH98" s="46">
        <f t="shared" si="61"/>
        <v>0</v>
      </c>
      <c r="DI98" s="46"/>
      <c r="DJ98" s="46"/>
      <c r="DK98" s="64"/>
      <c r="DL98" s="47">
        <f t="shared" si="63"/>
        <v>0</v>
      </c>
      <c r="DM98" s="46"/>
      <c r="DN98" s="46">
        <f t="shared" si="73"/>
        <v>0</v>
      </c>
      <c r="DO98" s="46"/>
      <c r="DP98" s="46">
        <f t="shared" si="74"/>
        <v>0</v>
      </c>
      <c r="DQ98" s="46"/>
      <c r="DR98" s="46"/>
      <c r="DS98" s="46"/>
      <c r="DT98" s="46">
        <f t="shared" si="48"/>
        <v>0</v>
      </c>
      <c r="DU98" s="46"/>
      <c r="DV98" s="46"/>
      <c r="DW98" s="46"/>
      <c r="DX98" s="47">
        <f t="shared" si="65"/>
        <v>0</v>
      </c>
      <c r="DY98" s="46"/>
      <c r="DZ98" s="46"/>
      <c r="EA98" s="46"/>
      <c r="EB98" s="46"/>
      <c r="EC98" s="46"/>
      <c r="ED98" s="46"/>
      <c r="EE98" s="47">
        <f t="shared" si="71"/>
        <v>0</v>
      </c>
      <c r="EF98" s="46"/>
      <c r="EG98" s="46"/>
      <c r="EH98" s="46"/>
      <c r="EI98" s="46"/>
      <c r="EJ98" s="46"/>
      <c r="EK98" s="47"/>
      <c r="EL98" s="46"/>
      <c r="EM98" s="46"/>
      <c r="EN98" s="46"/>
    </row>
    <row r="99" spans="2:147" s="48" customFormat="1" ht="15" customHeight="1" x14ac:dyDescent="0.25">
      <c r="B99" s="41"/>
      <c r="C99" s="81" t="s">
        <v>105</v>
      </c>
      <c r="D99" s="43"/>
      <c r="E99" s="42"/>
      <c r="F99" s="42"/>
      <c r="G99" s="42"/>
      <c r="H99" s="42"/>
      <c r="I99" s="42"/>
      <c r="J99" s="42"/>
      <c r="K99" s="42"/>
      <c r="L99" s="42"/>
      <c r="M99" s="42"/>
      <c r="N99" s="41"/>
      <c r="O99" s="41"/>
      <c r="P99" s="42"/>
      <c r="Q99" s="45"/>
      <c r="R99" s="45"/>
      <c r="S99" s="42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2"/>
      <c r="AL99" s="46"/>
      <c r="AM99" s="42"/>
      <c r="AN99" s="47">
        <f t="shared" si="54"/>
        <v>0</v>
      </c>
      <c r="AO99" s="47">
        <f t="shared" si="55"/>
        <v>0</v>
      </c>
      <c r="AP99" s="42"/>
      <c r="AQ99" s="46">
        <f t="shared" si="72"/>
        <v>0</v>
      </c>
      <c r="AR99" s="46"/>
      <c r="AS99" s="42"/>
      <c r="AT99" s="46"/>
      <c r="AU99" s="47">
        <f t="shared" ref="AU99:AU130" si="75">AS99*AT99</f>
        <v>0</v>
      </c>
      <c r="AV99" s="46"/>
      <c r="AW99" s="47">
        <f t="shared" ref="AW99:AW130" si="76">AQ99+AU99+AV99+AR99</f>
        <v>0</v>
      </c>
      <c r="AX99" s="42"/>
      <c r="AY99" s="42"/>
      <c r="AZ99" s="42"/>
      <c r="BA99" s="42"/>
      <c r="BB99" s="42"/>
      <c r="BC99" s="47">
        <f t="shared" ref="BC99:BC129" si="77">BA99*BB99</f>
        <v>0</v>
      </c>
      <c r="BD99" s="42"/>
      <c r="BE99" s="47">
        <f t="shared" ref="BE99:BE107" si="78">+AY99+AZ99+BC99+BD99</f>
        <v>0</v>
      </c>
      <c r="BF99" s="42"/>
      <c r="BG99" s="42"/>
      <c r="BH99" s="42"/>
      <c r="BI99" s="42"/>
      <c r="BJ99" s="42"/>
      <c r="BK99" s="46">
        <f t="shared" ref="BK99:BK115" si="79">BI99*BJ99</f>
        <v>0</v>
      </c>
      <c r="BL99" s="42"/>
      <c r="BM99" s="46">
        <f t="shared" ref="BM99:BM115" si="80">BK99</f>
        <v>0</v>
      </c>
      <c r="BN99" s="42"/>
      <c r="BO99" s="42"/>
      <c r="BP99" s="42"/>
      <c r="BQ99" s="42"/>
      <c r="BR99" s="42"/>
      <c r="BS99" s="46">
        <f>BQ99*BR99</f>
        <v>0</v>
      </c>
      <c r="BT99" s="42"/>
      <c r="BU99" s="46">
        <f>BS99</f>
        <v>0</v>
      </c>
      <c r="BV99" s="42"/>
      <c r="BW99" s="42"/>
      <c r="BX99" s="42"/>
      <c r="BY99" s="42"/>
      <c r="BZ99" s="42"/>
      <c r="CA99" s="46">
        <f>BY99*BZ99</f>
        <v>0</v>
      </c>
      <c r="CB99" s="42"/>
      <c r="CC99" s="46">
        <f>CA99</f>
        <v>0</v>
      </c>
      <c r="CD99" s="42"/>
      <c r="CE99" s="42"/>
      <c r="CF99" s="42"/>
      <c r="CG99" s="42"/>
      <c r="CH99" s="42"/>
      <c r="CI99" s="46">
        <f>CG99*CH99</f>
        <v>0</v>
      </c>
      <c r="CJ99" s="42"/>
      <c r="CK99" s="46">
        <f>CI99</f>
        <v>0</v>
      </c>
      <c r="CL99" s="42"/>
      <c r="CM99" s="42"/>
      <c r="CN99" s="42"/>
      <c r="CO99" s="42"/>
      <c r="CP99" s="46">
        <f t="shared" ref="CP99:CP115" si="81">CN99*CO99</f>
        <v>0</v>
      </c>
      <c r="CQ99" s="46"/>
      <c r="CR99" s="47">
        <f t="shared" ref="CR99:CR162" si="82">CM99+CP99+CQ99</f>
        <v>0</v>
      </c>
      <c r="CS99" s="46"/>
      <c r="CT99" s="46"/>
      <c r="CU99" s="46"/>
      <c r="CV99" s="46"/>
      <c r="CW99" s="47">
        <f t="shared" ref="CW99:CW127" si="83">CU99*CV99</f>
        <v>0</v>
      </c>
      <c r="CX99" s="46"/>
      <c r="CY99" s="47">
        <f t="shared" ref="CY99:CY143" si="84">+CT99+CW99+CX99</f>
        <v>0</v>
      </c>
      <c r="CZ99" s="46"/>
      <c r="DA99" s="46"/>
      <c r="DB99" s="46"/>
      <c r="DC99" s="46"/>
      <c r="DD99" s="47">
        <f t="shared" ref="DD99:DD115" si="85">+DB99*DC99</f>
        <v>0</v>
      </c>
      <c r="DE99" s="42"/>
      <c r="DF99" s="46">
        <f>DA99+DD99+DE99</f>
        <v>0</v>
      </c>
      <c r="DG99" s="42"/>
      <c r="DH99" s="46">
        <f t="shared" si="61"/>
        <v>0</v>
      </c>
      <c r="DI99" s="46"/>
      <c r="DJ99" s="46"/>
      <c r="DK99" s="64">
        <f t="shared" ref="DK99:DK118" si="86">DI99*DJ99</f>
        <v>0</v>
      </c>
      <c r="DL99" s="47">
        <f t="shared" si="63"/>
        <v>0</v>
      </c>
      <c r="DM99" s="46"/>
      <c r="DN99" s="46">
        <f t="shared" si="73"/>
        <v>0</v>
      </c>
      <c r="DO99" s="42"/>
      <c r="DP99" s="46">
        <f t="shared" si="74"/>
        <v>0</v>
      </c>
      <c r="DQ99" s="42"/>
      <c r="DR99" s="46">
        <f t="shared" ref="DR99:DR162" si="87">DP99</f>
        <v>0</v>
      </c>
      <c r="DS99" s="42"/>
      <c r="DT99" s="46">
        <f t="shared" si="48"/>
        <v>0</v>
      </c>
      <c r="DU99" s="42"/>
      <c r="DV99" s="46"/>
      <c r="DW99" s="42"/>
      <c r="DX99" s="47">
        <f t="shared" si="65"/>
        <v>0</v>
      </c>
      <c r="DY99" s="46"/>
      <c r="DZ99" s="46"/>
      <c r="EA99" s="46"/>
      <c r="EB99" s="46"/>
      <c r="EC99" s="46"/>
      <c r="ED99" s="46"/>
      <c r="EE99" s="47">
        <f t="shared" si="71"/>
        <v>0</v>
      </c>
      <c r="EF99" s="46"/>
      <c r="EG99" s="46"/>
      <c r="EH99" s="46"/>
      <c r="EI99" s="46"/>
      <c r="EJ99" s="46"/>
      <c r="EK99" s="47">
        <f t="shared" ref="EK99:EK130" si="88">+EG99+EH99+EI99+EJ99</f>
        <v>0</v>
      </c>
      <c r="EL99" s="46">
        <f t="shared" ref="EL99:EL130" si="89">+AO99-EE99-EK99</f>
        <v>0</v>
      </c>
      <c r="EM99" s="46"/>
      <c r="EN99" s="46">
        <f t="shared" ref="EN99:EN130" si="90">EL99+EM99</f>
        <v>0</v>
      </c>
    </row>
    <row r="100" spans="2:147" s="48" customFormat="1" ht="15" customHeight="1" x14ac:dyDescent="0.25">
      <c r="B100" s="41">
        <v>1</v>
      </c>
      <c r="C100" s="42"/>
      <c r="D100" s="43"/>
      <c r="E100" s="42"/>
      <c r="F100" s="42"/>
      <c r="G100" s="42"/>
      <c r="H100" s="42"/>
      <c r="I100" s="42"/>
      <c r="J100" s="42"/>
      <c r="K100" s="42"/>
      <c r="L100" s="42"/>
      <c r="M100" s="42"/>
      <c r="N100" s="41"/>
      <c r="O100" s="41"/>
      <c r="P100" s="42"/>
      <c r="Q100" s="45"/>
      <c r="R100" s="45"/>
      <c r="S100" s="42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2"/>
      <c r="AL100" s="42"/>
      <c r="AM100" s="42"/>
      <c r="AN100" s="47">
        <f t="shared" si="54"/>
        <v>0</v>
      </c>
      <c r="AO100" s="47">
        <f t="shared" si="55"/>
        <v>0</v>
      </c>
      <c r="AP100" s="42" t="s">
        <v>98</v>
      </c>
      <c r="AQ100" s="46">
        <f>20%*AO100</f>
        <v>0</v>
      </c>
      <c r="AR100" s="42"/>
      <c r="AS100" s="42"/>
      <c r="AT100" s="46"/>
      <c r="AU100" s="47">
        <f t="shared" si="75"/>
        <v>0</v>
      </c>
      <c r="AV100" s="46"/>
      <c r="AW100" s="47">
        <f t="shared" si="76"/>
        <v>0</v>
      </c>
      <c r="AX100" s="42"/>
      <c r="AY100" s="42"/>
      <c r="AZ100" s="42"/>
      <c r="BA100" s="42"/>
      <c r="BB100" s="42"/>
      <c r="BC100" s="47">
        <f t="shared" si="77"/>
        <v>0</v>
      </c>
      <c r="BD100" s="42"/>
      <c r="BE100" s="47">
        <f t="shared" si="78"/>
        <v>0</v>
      </c>
      <c r="BF100" s="42"/>
      <c r="BG100" s="42"/>
      <c r="BH100" s="42"/>
      <c r="BI100" s="42"/>
      <c r="BJ100" s="42"/>
      <c r="BK100" s="46">
        <f t="shared" si="79"/>
        <v>0</v>
      </c>
      <c r="BL100" s="42"/>
      <c r="BM100" s="46">
        <f t="shared" si="80"/>
        <v>0</v>
      </c>
      <c r="BN100" s="42"/>
      <c r="BO100" s="42"/>
      <c r="BP100" s="42"/>
      <c r="BQ100" s="42"/>
      <c r="BR100" s="42"/>
      <c r="BS100" s="46">
        <f>BQ100*BR100</f>
        <v>0</v>
      </c>
      <c r="BT100" s="42"/>
      <c r="BU100" s="46">
        <f>BS100</f>
        <v>0</v>
      </c>
      <c r="BV100" s="42"/>
      <c r="BW100" s="42"/>
      <c r="BX100" s="42"/>
      <c r="BY100" s="42"/>
      <c r="BZ100" s="42"/>
      <c r="CA100" s="46">
        <f>BY100*BZ100</f>
        <v>0</v>
      </c>
      <c r="CB100" s="42"/>
      <c r="CC100" s="46">
        <f>CA100</f>
        <v>0</v>
      </c>
      <c r="CD100" s="42"/>
      <c r="CE100" s="42"/>
      <c r="CF100" s="42"/>
      <c r="CG100" s="42"/>
      <c r="CH100" s="42"/>
      <c r="CI100" s="46">
        <f>CG100*CH100</f>
        <v>0</v>
      </c>
      <c r="CJ100" s="42"/>
      <c r="CK100" s="46">
        <f>CI100</f>
        <v>0</v>
      </c>
      <c r="CL100" s="42"/>
      <c r="CM100" s="42"/>
      <c r="CN100" s="42"/>
      <c r="CO100" s="42"/>
      <c r="CP100" s="46">
        <f t="shared" si="81"/>
        <v>0</v>
      </c>
      <c r="CQ100" s="46"/>
      <c r="CR100" s="47">
        <f t="shared" si="82"/>
        <v>0</v>
      </c>
      <c r="CS100" s="46"/>
      <c r="CT100" s="46"/>
      <c r="CU100" s="46"/>
      <c r="CV100" s="46"/>
      <c r="CW100" s="47">
        <f t="shared" si="83"/>
        <v>0</v>
      </c>
      <c r="CX100" s="46"/>
      <c r="CY100" s="47">
        <f t="shared" si="84"/>
        <v>0</v>
      </c>
      <c r="CZ100" s="46"/>
      <c r="DA100" s="46"/>
      <c r="DB100" s="46"/>
      <c r="DC100" s="46"/>
      <c r="DD100" s="47">
        <f t="shared" si="85"/>
        <v>0</v>
      </c>
      <c r="DE100" s="42"/>
      <c r="DF100" s="46">
        <f>DA100+DD100+DE100</f>
        <v>0</v>
      </c>
      <c r="DG100" s="42"/>
      <c r="DH100" s="46">
        <f t="shared" si="61"/>
        <v>0</v>
      </c>
      <c r="DI100" s="46"/>
      <c r="DJ100" s="46"/>
      <c r="DK100" s="47">
        <f t="shared" si="86"/>
        <v>0</v>
      </c>
      <c r="DL100" s="47">
        <f t="shared" si="63"/>
        <v>0</v>
      </c>
      <c r="DM100" s="46"/>
      <c r="DN100" s="46">
        <f t="shared" si="73"/>
        <v>0</v>
      </c>
      <c r="DO100" s="42"/>
      <c r="DP100" s="46">
        <f t="shared" si="74"/>
        <v>0</v>
      </c>
      <c r="DQ100" s="42"/>
      <c r="DR100" s="46">
        <f t="shared" si="87"/>
        <v>0</v>
      </c>
      <c r="DS100" s="42"/>
      <c r="DT100" s="46">
        <f t="shared" si="48"/>
        <v>0</v>
      </c>
      <c r="DU100" s="42"/>
      <c r="DV100" s="46"/>
      <c r="DW100" s="42"/>
      <c r="DX100" s="47">
        <f t="shared" si="65"/>
        <v>0</v>
      </c>
      <c r="DY100" s="46"/>
      <c r="DZ100" s="46"/>
      <c r="EA100" s="46"/>
      <c r="EB100" s="46"/>
      <c r="EC100" s="46"/>
      <c r="ED100" s="46"/>
      <c r="EE100" s="47">
        <f t="shared" si="71"/>
        <v>0</v>
      </c>
      <c r="EF100" s="46"/>
      <c r="EG100" s="46"/>
      <c r="EH100" s="46"/>
      <c r="EI100" s="46"/>
      <c r="EJ100" s="46"/>
      <c r="EK100" s="47">
        <f t="shared" si="88"/>
        <v>0</v>
      </c>
      <c r="EL100" s="46">
        <f t="shared" si="89"/>
        <v>0</v>
      </c>
      <c r="EM100" s="46"/>
      <c r="EN100" s="46">
        <f t="shared" si="90"/>
        <v>0</v>
      </c>
    </row>
    <row r="101" spans="2:147" s="48" customFormat="1" ht="15" customHeight="1" x14ac:dyDescent="0.25">
      <c r="B101" s="41">
        <v>2</v>
      </c>
      <c r="C101" s="42"/>
      <c r="D101" s="43"/>
      <c r="E101" s="42"/>
      <c r="F101" s="42"/>
      <c r="G101" s="42"/>
      <c r="H101" s="42"/>
      <c r="I101" s="42"/>
      <c r="J101" s="42"/>
      <c r="K101" s="42"/>
      <c r="L101" s="42"/>
      <c r="M101" s="42"/>
      <c r="N101" s="41"/>
      <c r="O101" s="41"/>
      <c r="P101" s="42"/>
      <c r="Q101" s="45"/>
      <c r="R101" s="45"/>
      <c r="S101" s="42"/>
      <c r="T101" s="46"/>
      <c r="U101" s="46"/>
      <c r="V101" s="42"/>
      <c r="W101" s="42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7">
        <f t="shared" si="54"/>
        <v>0</v>
      </c>
      <c r="AO101" s="47">
        <f t="shared" si="55"/>
        <v>0</v>
      </c>
      <c r="AP101" s="46" t="s">
        <v>98</v>
      </c>
      <c r="AQ101" s="46">
        <f>18%*AO101</f>
        <v>0</v>
      </c>
      <c r="AR101" s="42"/>
      <c r="AS101" s="46"/>
      <c r="AT101" s="46"/>
      <c r="AU101" s="47">
        <f t="shared" si="75"/>
        <v>0</v>
      </c>
      <c r="AV101" s="46"/>
      <c r="AW101" s="47">
        <f t="shared" si="76"/>
        <v>0</v>
      </c>
      <c r="AX101" s="46"/>
      <c r="AY101" s="46"/>
      <c r="AZ101" s="46"/>
      <c r="BA101" s="46"/>
      <c r="BB101" s="46"/>
      <c r="BC101" s="47">
        <f t="shared" si="77"/>
        <v>0</v>
      </c>
      <c r="BD101" s="46"/>
      <c r="BE101" s="47">
        <f t="shared" si="78"/>
        <v>0</v>
      </c>
      <c r="BF101" s="46"/>
      <c r="BG101" s="46"/>
      <c r="BH101" s="46"/>
      <c r="BI101" s="46"/>
      <c r="BJ101" s="46"/>
      <c r="BK101" s="46">
        <f t="shared" si="79"/>
        <v>0</v>
      </c>
      <c r="BL101" s="46"/>
      <c r="BM101" s="46">
        <f t="shared" si="80"/>
        <v>0</v>
      </c>
      <c r="BN101" s="46"/>
      <c r="BO101" s="46"/>
      <c r="BP101" s="46"/>
      <c r="BQ101" s="46"/>
      <c r="BR101" s="46"/>
      <c r="BS101" s="46"/>
      <c r="BT101" s="46"/>
      <c r="BU101" s="46">
        <f>BS101</f>
        <v>0</v>
      </c>
      <c r="BV101" s="46"/>
      <c r="BW101" s="46"/>
      <c r="BX101" s="46"/>
      <c r="BY101" s="46"/>
      <c r="BZ101" s="46"/>
      <c r="CA101" s="46"/>
      <c r="CB101" s="46"/>
      <c r="CC101" s="46">
        <f>CA101</f>
        <v>0</v>
      </c>
      <c r="CD101" s="46"/>
      <c r="CE101" s="46"/>
      <c r="CF101" s="46"/>
      <c r="CG101" s="46"/>
      <c r="CH101" s="46"/>
      <c r="CI101" s="46"/>
      <c r="CJ101" s="46"/>
      <c r="CK101" s="46">
        <f>CI101</f>
        <v>0</v>
      </c>
      <c r="CL101" s="46"/>
      <c r="CM101" s="46"/>
      <c r="CN101" s="46"/>
      <c r="CO101" s="46"/>
      <c r="CP101" s="46">
        <f t="shared" si="81"/>
        <v>0</v>
      </c>
      <c r="CQ101" s="46"/>
      <c r="CR101" s="47">
        <f t="shared" si="82"/>
        <v>0</v>
      </c>
      <c r="CS101" s="46"/>
      <c r="CT101" s="46"/>
      <c r="CU101" s="46"/>
      <c r="CV101" s="46"/>
      <c r="CW101" s="47">
        <f t="shared" si="83"/>
        <v>0</v>
      </c>
      <c r="CX101" s="46"/>
      <c r="CY101" s="47">
        <f t="shared" si="84"/>
        <v>0</v>
      </c>
      <c r="CZ101" s="46"/>
      <c r="DA101" s="46"/>
      <c r="DB101" s="46"/>
      <c r="DC101" s="46"/>
      <c r="DD101" s="47">
        <f t="shared" si="85"/>
        <v>0</v>
      </c>
      <c r="DE101" s="46"/>
      <c r="DF101" s="46">
        <f t="shared" ref="DF101:DF129" si="91">DC101</f>
        <v>0</v>
      </c>
      <c r="DG101" s="46"/>
      <c r="DH101" s="46">
        <f t="shared" si="61"/>
        <v>0</v>
      </c>
      <c r="DI101" s="46"/>
      <c r="DJ101" s="46"/>
      <c r="DK101" s="47">
        <f t="shared" si="86"/>
        <v>0</v>
      </c>
      <c r="DL101" s="47">
        <f t="shared" si="63"/>
        <v>0</v>
      </c>
      <c r="DM101" s="46"/>
      <c r="DN101" s="46">
        <f t="shared" si="73"/>
        <v>0</v>
      </c>
      <c r="DO101" s="46"/>
      <c r="DP101" s="46">
        <f t="shared" si="74"/>
        <v>0</v>
      </c>
      <c r="DQ101" s="46"/>
      <c r="DR101" s="46">
        <f t="shared" si="87"/>
        <v>0</v>
      </c>
      <c r="DS101" s="46"/>
      <c r="DT101" s="46">
        <f t="shared" si="48"/>
        <v>0</v>
      </c>
      <c r="DU101" s="46"/>
      <c r="DV101" s="46"/>
      <c r="DW101" s="46"/>
      <c r="DX101" s="47">
        <f t="shared" si="65"/>
        <v>0</v>
      </c>
      <c r="DY101" s="46"/>
      <c r="DZ101" s="46"/>
      <c r="EA101" s="46"/>
      <c r="EB101" s="46"/>
      <c r="EC101" s="46"/>
      <c r="ED101" s="46"/>
      <c r="EE101" s="47">
        <f t="shared" si="71"/>
        <v>0</v>
      </c>
      <c r="EF101" s="46"/>
      <c r="EG101" s="46"/>
      <c r="EH101" s="46"/>
      <c r="EI101" s="46"/>
      <c r="EJ101" s="46"/>
      <c r="EK101" s="47">
        <f t="shared" si="88"/>
        <v>0</v>
      </c>
      <c r="EL101" s="46">
        <f t="shared" si="89"/>
        <v>0</v>
      </c>
      <c r="EM101" s="46"/>
      <c r="EN101" s="46">
        <f t="shared" si="90"/>
        <v>0</v>
      </c>
    </row>
    <row r="102" spans="2:147" s="48" customFormat="1" ht="15" customHeight="1" x14ac:dyDescent="0.25">
      <c r="B102" s="41">
        <v>3</v>
      </c>
      <c r="C102" s="42"/>
      <c r="D102" s="43"/>
      <c r="E102" s="42"/>
      <c r="F102" s="42"/>
      <c r="G102" s="42"/>
      <c r="H102" s="42"/>
      <c r="I102" s="42"/>
      <c r="J102" s="42"/>
      <c r="K102" s="42"/>
      <c r="L102" s="42"/>
      <c r="M102" s="42"/>
      <c r="N102" s="41"/>
      <c r="O102" s="41"/>
      <c r="P102" s="42"/>
      <c r="Q102" s="45"/>
      <c r="R102" s="45"/>
      <c r="S102" s="42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2"/>
      <c r="AL102" s="46"/>
      <c r="AM102" s="42"/>
      <c r="AN102" s="47">
        <f t="shared" si="54"/>
        <v>0</v>
      </c>
      <c r="AO102" s="47">
        <f t="shared" si="55"/>
        <v>0</v>
      </c>
      <c r="AP102" s="42" t="s">
        <v>98</v>
      </c>
      <c r="AQ102" s="46">
        <f>20%*AO102</f>
        <v>0</v>
      </c>
      <c r="AR102" s="42"/>
      <c r="AS102" s="42"/>
      <c r="AT102" s="46"/>
      <c r="AU102" s="47">
        <f t="shared" si="75"/>
        <v>0</v>
      </c>
      <c r="AV102" s="46"/>
      <c r="AW102" s="47">
        <f t="shared" si="76"/>
        <v>0</v>
      </c>
      <c r="AX102" s="42"/>
      <c r="AY102" s="42"/>
      <c r="AZ102" s="42"/>
      <c r="BA102" s="42"/>
      <c r="BB102" s="42"/>
      <c r="BC102" s="47">
        <f t="shared" si="77"/>
        <v>0</v>
      </c>
      <c r="BD102" s="42"/>
      <c r="BE102" s="47">
        <f t="shared" si="78"/>
        <v>0</v>
      </c>
      <c r="BF102" s="42"/>
      <c r="BG102" s="42"/>
      <c r="BH102" s="42"/>
      <c r="BI102" s="42"/>
      <c r="BJ102" s="42"/>
      <c r="BK102" s="46">
        <f t="shared" si="79"/>
        <v>0</v>
      </c>
      <c r="BL102" s="42"/>
      <c r="BM102" s="46">
        <f t="shared" si="80"/>
        <v>0</v>
      </c>
      <c r="BN102" s="42"/>
      <c r="BO102" s="42"/>
      <c r="BP102" s="42"/>
      <c r="BQ102" s="42"/>
      <c r="BR102" s="42"/>
      <c r="BS102" s="42"/>
      <c r="BT102" s="42"/>
      <c r="BU102" s="46">
        <f>BS102</f>
        <v>0</v>
      </c>
      <c r="BV102" s="42"/>
      <c r="BW102" s="42"/>
      <c r="BX102" s="42"/>
      <c r="BY102" s="42"/>
      <c r="BZ102" s="42"/>
      <c r="CA102" s="42"/>
      <c r="CB102" s="42"/>
      <c r="CC102" s="46">
        <f>CA102</f>
        <v>0</v>
      </c>
      <c r="CD102" s="42"/>
      <c r="CE102" s="42"/>
      <c r="CF102" s="42"/>
      <c r="CG102" s="42"/>
      <c r="CH102" s="42"/>
      <c r="CI102" s="42"/>
      <c r="CJ102" s="42"/>
      <c r="CK102" s="46">
        <f>CI102</f>
        <v>0</v>
      </c>
      <c r="CL102" s="42"/>
      <c r="CM102" s="42"/>
      <c r="CN102" s="42"/>
      <c r="CO102" s="42"/>
      <c r="CP102" s="46">
        <f t="shared" si="81"/>
        <v>0</v>
      </c>
      <c r="CQ102" s="46"/>
      <c r="CR102" s="47">
        <f t="shared" si="82"/>
        <v>0</v>
      </c>
      <c r="CS102" s="46"/>
      <c r="CT102" s="46"/>
      <c r="CU102" s="46"/>
      <c r="CV102" s="46"/>
      <c r="CW102" s="47">
        <f t="shared" si="83"/>
        <v>0</v>
      </c>
      <c r="CX102" s="46"/>
      <c r="CY102" s="47">
        <f t="shared" si="84"/>
        <v>0</v>
      </c>
      <c r="CZ102" s="46"/>
      <c r="DA102" s="46"/>
      <c r="DB102" s="46"/>
      <c r="DC102" s="46"/>
      <c r="DD102" s="47">
        <f t="shared" si="85"/>
        <v>0</v>
      </c>
      <c r="DE102" s="42"/>
      <c r="DF102" s="46">
        <f t="shared" si="91"/>
        <v>0</v>
      </c>
      <c r="DG102" s="42"/>
      <c r="DH102" s="46">
        <f t="shared" si="61"/>
        <v>0</v>
      </c>
      <c r="DI102" s="46"/>
      <c r="DJ102" s="46"/>
      <c r="DK102" s="47">
        <f t="shared" si="86"/>
        <v>0</v>
      </c>
      <c r="DL102" s="47">
        <f t="shared" si="63"/>
        <v>0</v>
      </c>
      <c r="DM102" s="42"/>
      <c r="DN102" s="46">
        <f t="shared" si="73"/>
        <v>0</v>
      </c>
      <c r="DO102" s="42"/>
      <c r="DP102" s="46">
        <f t="shared" si="74"/>
        <v>0</v>
      </c>
      <c r="DQ102" s="42"/>
      <c r="DR102" s="46">
        <f t="shared" si="87"/>
        <v>0</v>
      </c>
      <c r="DS102" s="49"/>
      <c r="DT102" s="46">
        <f t="shared" si="48"/>
        <v>0</v>
      </c>
      <c r="DU102" s="42"/>
      <c r="DV102" s="46"/>
      <c r="DW102" s="42"/>
      <c r="DX102" s="47">
        <f t="shared" si="65"/>
        <v>0</v>
      </c>
      <c r="DY102" s="46"/>
      <c r="DZ102" s="46"/>
      <c r="EA102" s="46"/>
      <c r="EB102" s="46"/>
      <c r="EC102" s="46"/>
      <c r="ED102" s="46"/>
      <c r="EE102" s="47">
        <f t="shared" si="71"/>
        <v>0</v>
      </c>
      <c r="EF102" s="46"/>
      <c r="EG102" s="46"/>
      <c r="EH102" s="46"/>
      <c r="EI102" s="46"/>
      <c r="EJ102" s="46"/>
      <c r="EK102" s="47">
        <f t="shared" si="88"/>
        <v>0</v>
      </c>
      <c r="EL102" s="46">
        <f t="shared" si="89"/>
        <v>0</v>
      </c>
      <c r="EM102" s="46"/>
      <c r="EN102" s="46">
        <f t="shared" si="90"/>
        <v>0</v>
      </c>
    </row>
    <row r="103" spans="2:147" s="48" customFormat="1" ht="15" customHeight="1" x14ac:dyDescent="0.25">
      <c r="B103" s="41">
        <v>4</v>
      </c>
      <c r="C103" s="42"/>
      <c r="D103" s="43"/>
      <c r="E103" s="42"/>
      <c r="F103" s="42"/>
      <c r="G103" s="42"/>
      <c r="H103" s="42"/>
      <c r="I103" s="42"/>
      <c r="J103" s="42"/>
      <c r="K103" s="42"/>
      <c r="L103" s="42"/>
      <c r="M103" s="42"/>
      <c r="N103" s="41"/>
      <c r="O103" s="41"/>
      <c r="P103" s="42"/>
      <c r="Q103" s="45"/>
      <c r="R103" s="45"/>
      <c r="S103" s="42"/>
      <c r="T103" s="46"/>
      <c r="U103" s="46"/>
      <c r="V103" s="42"/>
      <c r="W103" s="42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7">
        <f t="shared" si="54"/>
        <v>0</v>
      </c>
      <c r="AO103" s="46">
        <f t="shared" si="55"/>
        <v>0</v>
      </c>
      <c r="AP103" s="46" t="s">
        <v>98</v>
      </c>
      <c r="AQ103" s="46">
        <f>20%*AO103</f>
        <v>0</v>
      </c>
      <c r="AR103" s="42"/>
      <c r="AS103" s="46"/>
      <c r="AT103" s="46"/>
      <c r="AU103" s="47">
        <f t="shared" si="75"/>
        <v>0</v>
      </c>
      <c r="AV103" s="46"/>
      <c r="AW103" s="47">
        <f t="shared" si="76"/>
        <v>0</v>
      </c>
      <c r="AX103" s="46"/>
      <c r="AY103" s="46"/>
      <c r="AZ103" s="46"/>
      <c r="BA103" s="46"/>
      <c r="BB103" s="46"/>
      <c r="BC103" s="47">
        <f t="shared" si="77"/>
        <v>0</v>
      </c>
      <c r="BD103" s="46"/>
      <c r="BE103" s="47">
        <f t="shared" si="78"/>
        <v>0</v>
      </c>
      <c r="BF103" s="46"/>
      <c r="BG103" s="46"/>
      <c r="BH103" s="46"/>
      <c r="BI103" s="46"/>
      <c r="BJ103" s="46"/>
      <c r="BK103" s="46">
        <f t="shared" si="79"/>
        <v>0</v>
      </c>
      <c r="BL103" s="46"/>
      <c r="BM103" s="46">
        <f t="shared" si="80"/>
        <v>0</v>
      </c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>
        <f t="shared" si="81"/>
        <v>0</v>
      </c>
      <c r="CQ103" s="46"/>
      <c r="CR103" s="47">
        <f t="shared" si="82"/>
        <v>0</v>
      </c>
      <c r="CS103" s="46"/>
      <c r="CT103" s="46"/>
      <c r="CU103" s="46"/>
      <c r="CV103" s="46"/>
      <c r="CW103" s="47">
        <f t="shared" si="83"/>
        <v>0</v>
      </c>
      <c r="CX103" s="46"/>
      <c r="CY103" s="47">
        <f t="shared" si="84"/>
        <v>0</v>
      </c>
      <c r="CZ103" s="46"/>
      <c r="DA103" s="46"/>
      <c r="DB103" s="46"/>
      <c r="DC103" s="46"/>
      <c r="DD103" s="47">
        <f t="shared" si="85"/>
        <v>0</v>
      </c>
      <c r="DE103" s="46"/>
      <c r="DF103" s="46">
        <f t="shared" si="91"/>
        <v>0</v>
      </c>
      <c r="DG103" s="46"/>
      <c r="DH103" s="46">
        <f t="shared" si="61"/>
        <v>0</v>
      </c>
      <c r="DI103" s="46"/>
      <c r="DJ103" s="46"/>
      <c r="DK103" s="47">
        <f t="shared" si="86"/>
        <v>0</v>
      </c>
      <c r="DL103" s="47">
        <f t="shared" si="63"/>
        <v>0</v>
      </c>
      <c r="DM103" s="42"/>
      <c r="DN103" s="46">
        <f t="shared" si="73"/>
        <v>0</v>
      </c>
      <c r="DO103" s="82"/>
      <c r="DP103" s="46">
        <f t="shared" si="74"/>
        <v>0</v>
      </c>
      <c r="DQ103" s="46"/>
      <c r="DR103" s="46">
        <f t="shared" si="87"/>
        <v>0</v>
      </c>
      <c r="DS103" s="46"/>
      <c r="DT103" s="46">
        <f t="shared" ref="DT103:DT115" si="92">75%*DR103</f>
        <v>0</v>
      </c>
      <c r="DU103" s="46"/>
      <c r="DV103" s="46"/>
      <c r="DW103" s="46"/>
      <c r="DX103" s="47">
        <f t="shared" si="65"/>
        <v>0</v>
      </c>
      <c r="DY103" s="46"/>
      <c r="DZ103" s="46"/>
      <c r="EA103" s="46"/>
      <c r="EB103" s="46"/>
      <c r="EC103" s="46"/>
      <c r="ED103" s="46"/>
      <c r="EE103" s="47">
        <f t="shared" si="71"/>
        <v>0</v>
      </c>
      <c r="EF103" s="46"/>
      <c r="EG103" s="46"/>
      <c r="EH103" s="46"/>
      <c r="EI103" s="46"/>
      <c r="EJ103" s="46"/>
      <c r="EK103" s="47">
        <f t="shared" si="88"/>
        <v>0</v>
      </c>
      <c r="EL103" s="46">
        <f t="shared" si="89"/>
        <v>0</v>
      </c>
      <c r="EM103" s="46"/>
      <c r="EN103" s="46">
        <f t="shared" si="90"/>
        <v>0</v>
      </c>
    </row>
    <row r="104" spans="2:147" s="48" customFormat="1" ht="15" customHeight="1" x14ac:dyDescent="0.25">
      <c r="B104" s="41">
        <v>5</v>
      </c>
      <c r="C104" s="42"/>
      <c r="D104" s="43"/>
      <c r="E104" s="42"/>
      <c r="F104" s="42"/>
      <c r="G104" s="42"/>
      <c r="H104" s="42"/>
      <c r="I104" s="42"/>
      <c r="J104" s="42"/>
      <c r="K104" s="42"/>
      <c r="L104" s="42"/>
      <c r="M104" s="42"/>
      <c r="N104" s="41"/>
      <c r="O104" s="41"/>
      <c r="P104" s="42"/>
      <c r="Q104" s="45"/>
      <c r="R104" s="45"/>
      <c r="S104" s="42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2"/>
      <c r="AL104" s="42"/>
      <c r="AM104" s="42"/>
      <c r="AN104" s="46">
        <f t="shared" si="54"/>
        <v>0</v>
      </c>
      <c r="AO104" s="47">
        <f t="shared" si="55"/>
        <v>0</v>
      </c>
      <c r="AP104" s="42" t="s">
        <v>102</v>
      </c>
      <c r="AQ104" s="46"/>
      <c r="AR104" s="42"/>
      <c r="AS104" s="42"/>
      <c r="AT104" s="46"/>
      <c r="AU104" s="47">
        <f t="shared" si="75"/>
        <v>0</v>
      </c>
      <c r="AV104" s="46"/>
      <c r="AW104" s="47">
        <f t="shared" si="76"/>
        <v>0</v>
      </c>
      <c r="AX104" s="42"/>
      <c r="AY104" s="42"/>
      <c r="AZ104" s="42"/>
      <c r="BA104" s="42"/>
      <c r="BB104" s="42"/>
      <c r="BC104" s="47">
        <f t="shared" si="77"/>
        <v>0</v>
      </c>
      <c r="BD104" s="42"/>
      <c r="BE104" s="47">
        <f t="shared" si="78"/>
        <v>0</v>
      </c>
      <c r="BF104" s="42"/>
      <c r="BG104" s="42"/>
      <c r="BH104" s="42"/>
      <c r="BI104" s="42"/>
      <c r="BJ104" s="42"/>
      <c r="BK104" s="46">
        <f t="shared" si="79"/>
        <v>0</v>
      </c>
      <c r="BL104" s="42"/>
      <c r="BM104" s="46">
        <f t="shared" si="80"/>
        <v>0</v>
      </c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6">
        <f t="shared" si="81"/>
        <v>0</v>
      </c>
      <c r="CQ104" s="46"/>
      <c r="CR104" s="47">
        <f t="shared" si="82"/>
        <v>0</v>
      </c>
      <c r="CS104" s="46"/>
      <c r="CT104" s="46"/>
      <c r="CU104" s="46"/>
      <c r="CV104" s="46"/>
      <c r="CW104" s="47">
        <f t="shared" si="83"/>
        <v>0</v>
      </c>
      <c r="CX104" s="46"/>
      <c r="CY104" s="47">
        <f t="shared" si="84"/>
        <v>0</v>
      </c>
      <c r="CZ104" s="46"/>
      <c r="DA104" s="46"/>
      <c r="DB104" s="46"/>
      <c r="DC104" s="46"/>
      <c r="DD104" s="47">
        <f t="shared" si="85"/>
        <v>0</v>
      </c>
      <c r="DE104" s="42"/>
      <c r="DF104" s="46">
        <f t="shared" si="91"/>
        <v>0</v>
      </c>
      <c r="DG104" s="42"/>
      <c r="DH104" s="46">
        <f t="shared" si="61"/>
        <v>0</v>
      </c>
      <c r="DI104" s="46"/>
      <c r="DJ104" s="46"/>
      <c r="DK104" s="47">
        <f t="shared" si="86"/>
        <v>0</v>
      </c>
      <c r="DL104" s="47">
        <f t="shared" si="63"/>
        <v>0</v>
      </c>
      <c r="DM104" s="42"/>
      <c r="DN104" s="46">
        <f t="shared" si="73"/>
        <v>0</v>
      </c>
      <c r="DO104" s="83"/>
      <c r="DP104" s="46">
        <f t="shared" si="74"/>
        <v>0</v>
      </c>
      <c r="DQ104" s="83"/>
      <c r="DR104" s="46">
        <f t="shared" si="87"/>
        <v>0</v>
      </c>
      <c r="DS104" s="83"/>
      <c r="DT104" s="46">
        <f t="shared" si="92"/>
        <v>0</v>
      </c>
      <c r="DU104" s="42"/>
      <c r="DV104" s="46"/>
      <c r="DW104" s="42"/>
      <c r="DX104" s="47">
        <f t="shared" si="65"/>
        <v>0</v>
      </c>
      <c r="DY104" s="46"/>
      <c r="DZ104" s="46"/>
      <c r="EA104" s="46"/>
      <c r="EB104" s="46"/>
      <c r="EC104" s="46"/>
      <c r="ED104" s="46"/>
      <c r="EE104" s="47">
        <f t="shared" si="71"/>
        <v>0</v>
      </c>
      <c r="EF104" s="46"/>
      <c r="EG104" s="46"/>
      <c r="EH104" s="46"/>
      <c r="EI104" s="46"/>
      <c r="EJ104" s="46"/>
      <c r="EK104" s="47">
        <f t="shared" si="88"/>
        <v>0</v>
      </c>
      <c r="EL104" s="46">
        <f t="shared" si="89"/>
        <v>0</v>
      </c>
      <c r="EM104" s="46"/>
      <c r="EN104" s="46">
        <f t="shared" si="90"/>
        <v>0</v>
      </c>
    </row>
    <row r="105" spans="2:147" s="48" customFormat="1" ht="15" customHeight="1" x14ac:dyDescent="0.25">
      <c r="B105" s="41">
        <v>6</v>
      </c>
      <c r="C105" s="42"/>
      <c r="D105" s="43"/>
      <c r="E105" s="42"/>
      <c r="F105" s="42"/>
      <c r="G105" s="42"/>
      <c r="H105" s="42"/>
      <c r="I105" s="42"/>
      <c r="J105" s="42"/>
      <c r="K105" s="42"/>
      <c r="L105" s="42"/>
      <c r="M105" s="42"/>
      <c r="N105" s="41"/>
      <c r="O105" s="41"/>
      <c r="P105" s="42"/>
      <c r="Q105" s="45"/>
      <c r="R105" s="45"/>
      <c r="S105" s="42"/>
      <c r="T105" s="46"/>
      <c r="U105" s="46"/>
      <c r="V105" s="42"/>
      <c r="W105" s="42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>
        <f t="shared" si="54"/>
        <v>0</v>
      </c>
      <c r="AO105" s="46">
        <f t="shared" si="55"/>
        <v>0</v>
      </c>
      <c r="AP105" s="46" t="s">
        <v>98</v>
      </c>
      <c r="AQ105" s="46">
        <f>20%*AO105</f>
        <v>0</v>
      </c>
      <c r="AR105" s="42"/>
      <c r="AS105" s="46"/>
      <c r="AT105" s="46"/>
      <c r="AU105" s="47">
        <f t="shared" si="75"/>
        <v>0</v>
      </c>
      <c r="AV105" s="46"/>
      <c r="AW105" s="47">
        <f t="shared" si="76"/>
        <v>0</v>
      </c>
      <c r="AX105" s="46"/>
      <c r="AY105" s="46"/>
      <c r="AZ105" s="46"/>
      <c r="BA105" s="46"/>
      <c r="BB105" s="46"/>
      <c r="BC105" s="47">
        <f t="shared" si="77"/>
        <v>0</v>
      </c>
      <c r="BD105" s="46"/>
      <c r="BE105" s="47">
        <f t="shared" si="78"/>
        <v>0</v>
      </c>
      <c r="BF105" s="46"/>
      <c r="BG105" s="46"/>
      <c r="BH105" s="46"/>
      <c r="BI105" s="46"/>
      <c r="BJ105" s="46"/>
      <c r="BK105" s="46">
        <f t="shared" si="79"/>
        <v>0</v>
      </c>
      <c r="BL105" s="46"/>
      <c r="BM105" s="46">
        <f t="shared" si="80"/>
        <v>0</v>
      </c>
      <c r="BN105" s="46"/>
      <c r="BO105" s="46"/>
      <c r="BP105" s="46"/>
      <c r="BQ105" s="46"/>
      <c r="BR105" s="46"/>
      <c r="BS105" s="46"/>
      <c r="BT105" s="46"/>
      <c r="BU105" s="46">
        <f>BS105</f>
        <v>0</v>
      </c>
      <c r="BV105" s="46"/>
      <c r="BW105" s="46"/>
      <c r="BX105" s="46"/>
      <c r="BY105" s="46"/>
      <c r="BZ105" s="46"/>
      <c r="CA105" s="46"/>
      <c r="CB105" s="46"/>
      <c r="CC105" s="46">
        <f>CA105</f>
        <v>0</v>
      </c>
      <c r="CD105" s="46"/>
      <c r="CE105" s="46"/>
      <c r="CF105" s="46"/>
      <c r="CG105" s="46"/>
      <c r="CH105" s="46"/>
      <c r="CI105" s="46"/>
      <c r="CJ105" s="46"/>
      <c r="CK105" s="46">
        <f>CI105</f>
        <v>0</v>
      </c>
      <c r="CL105" s="46"/>
      <c r="CM105" s="46"/>
      <c r="CN105" s="46"/>
      <c r="CO105" s="46"/>
      <c r="CP105" s="46">
        <f t="shared" si="81"/>
        <v>0</v>
      </c>
      <c r="CQ105" s="46"/>
      <c r="CR105" s="47">
        <f t="shared" si="82"/>
        <v>0</v>
      </c>
      <c r="CS105" s="46"/>
      <c r="CT105" s="46"/>
      <c r="CU105" s="46"/>
      <c r="CV105" s="46"/>
      <c r="CW105" s="47">
        <f t="shared" si="83"/>
        <v>0</v>
      </c>
      <c r="CX105" s="46"/>
      <c r="CY105" s="47">
        <f t="shared" si="84"/>
        <v>0</v>
      </c>
      <c r="CZ105" s="46"/>
      <c r="DA105" s="46"/>
      <c r="DB105" s="46"/>
      <c r="DC105" s="46"/>
      <c r="DD105" s="47">
        <f t="shared" si="85"/>
        <v>0</v>
      </c>
      <c r="DE105" s="46"/>
      <c r="DF105" s="46">
        <f t="shared" si="91"/>
        <v>0</v>
      </c>
      <c r="DG105" s="46"/>
      <c r="DH105" s="46">
        <f t="shared" si="61"/>
        <v>0</v>
      </c>
      <c r="DI105" s="46"/>
      <c r="DJ105" s="46"/>
      <c r="DK105" s="47">
        <f t="shared" si="86"/>
        <v>0</v>
      </c>
      <c r="DL105" s="47">
        <f t="shared" si="63"/>
        <v>0</v>
      </c>
      <c r="DM105" s="46"/>
      <c r="DN105" s="46">
        <f t="shared" si="73"/>
        <v>0</v>
      </c>
      <c r="DO105" s="46"/>
      <c r="DP105" s="46">
        <f t="shared" si="74"/>
        <v>0</v>
      </c>
      <c r="DQ105" s="46"/>
      <c r="DR105" s="46">
        <f t="shared" si="87"/>
        <v>0</v>
      </c>
      <c r="DS105" s="46"/>
      <c r="DT105" s="46">
        <f t="shared" si="92"/>
        <v>0</v>
      </c>
      <c r="DU105" s="46"/>
      <c r="DV105" s="46"/>
      <c r="DW105" s="46"/>
      <c r="DX105" s="47">
        <f t="shared" si="65"/>
        <v>0</v>
      </c>
      <c r="DY105" s="46"/>
      <c r="DZ105" s="46"/>
      <c r="EA105" s="46"/>
      <c r="EB105" s="46"/>
      <c r="EC105" s="46"/>
      <c r="ED105" s="46"/>
      <c r="EE105" s="47">
        <f t="shared" si="71"/>
        <v>0</v>
      </c>
      <c r="EF105" s="46"/>
      <c r="EG105" s="46"/>
      <c r="EH105" s="46"/>
      <c r="EI105" s="46"/>
      <c r="EJ105" s="46"/>
      <c r="EK105" s="47">
        <f t="shared" si="88"/>
        <v>0</v>
      </c>
      <c r="EL105" s="46">
        <f t="shared" si="89"/>
        <v>0</v>
      </c>
      <c r="EM105" s="46"/>
      <c r="EN105" s="46">
        <f t="shared" si="90"/>
        <v>0</v>
      </c>
    </row>
    <row r="106" spans="2:147" s="48" customFormat="1" ht="15" customHeight="1" x14ac:dyDescent="0.25">
      <c r="B106" s="41">
        <v>7</v>
      </c>
      <c r="C106" s="42"/>
      <c r="D106" s="43"/>
      <c r="E106" s="42"/>
      <c r="F106" s="42"/>
      <c r="G106" s="42"/>
      <c r="H106" s="42"/>
      <c r="I106" s="42"/>
      <c r="J106" s="42"/>
      <c r="K106" s="42"/>
      <c r="L106" s="42"/>
      <c r="M106" s="42"/>
      <c r="N106" s="41"/>
      <c r="O106" s="41"/>
      <c r="P106" s="42"/>
      <c r="Q106" s="45"/>
      <c r="R106" s="45"/>
      <c r="S106" s="42"/>
      <c r="T106" s="46"/>
      <c r="U106" s="46"/>
      <c r="V106" s="42"/>
      <c r="W106" s="42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>
        <f t="shared" si="54"/>
        <v>0</v>
      </c>
      <c r="AO106" s="46">
        <f t="shared" si="55"/>
        <v>0</v>
      </c>
      <c r="AP106" s="46" t="s">
        <v>98</v>
      </c>
      <c r="AQ106" s="46">
        <f>20%*AO106</f>
        <v>0</v>
      </c>
      <c r="AR106" s="46"/>
      <c r="AS106" s="46"/>
      <c r="AT106" s="46"/>
      <c r="AU106" s="47">
        <f t="shared" si="75"/>
        <v>0</v>
      </c>
      <c r="AV106" s="46"/>
      <c r="AW106" s="47">
        <f t="shared" si="76"/>
        <v>0</v>
      </c>
      <c r="AX106" s="46"/>
      <c r="AY106" s="46"/>
      <c r="AZ106" s="46"/>
      <c r="BA106" s="46"/>
      <c r="BB106" s="46"/>
      <c r="BC106" s="47">
        <f t="shared" si="77"/>
        <v>0</v>
      </c>
      <c r="BD106" s="46"/>
      <c r="BE106" s="47">
        <f t="shared" si="78"/>
        <v>0</v>
      </c>
      <c r="BF106" s="46"/>
      <c r="BG106" s="46"/>
      <c r="BH106" s="46"/>
      <c r="BI106" s="46"/>
      <c r="BJ106" s="46"/>
      <c r="BK106" s="46">
        <f t="shared" si="79"/>
        <v>0</v>
      </c>
      <c r="BL106" s="46"/>
      <c r="BM106" s="46">
        <f t="shared" si="80"/>
        <v>0</v>
      </c>
      <c r="BN106" s="46"/>
      <c r="BO106" s="46"/>
      <c r="BP106" s="46"/>
      <c r="BQ106" s="46"/>
      <c r="BR106" s="46"/>
      <c r="BS106" s="46"/>
      <c r="BT106" s="46"/>
      <c r="BU106" s="46">
        <f>BS106</f>
        <v>0</v>
      </c>
      <c r="BV106" s="46"/>
      <c r="BW106" s="46"/>
      <c r="BX106" s="46"/>
      <c r="BY106" s="46"/>
      <c r="BZ106" s="46"/>
      <c r="CA106" s="46"/>
      <c r="CB106" s="46"/>
      <c r="CC106" s="46">
        <f>CA106</f>
        <v>0</v>
      </c>
      <c r="CD106" s="46"/>
      <c r="CE106" s="46"/>
      <c r="CF106" s="46"/>
      <c r="CG106" s="46"/>
      <c r="CH106" s="46"/>
      <c r="CI106" s="46"/>
      <c r="CJ106" s="46"/>
      <c r="CK106" s="46">
        <f>CI106</f>
        <v>0</v>
      </c>
      <c r="CL106" s="46"/>
      <c r="CM106" s="46"/>
      <c r="CN106" s="46"/>
      <c r="CO106" s="46"/>
      <c r="CP106" s="46">
        <f t="shared" si="81"/>
        <v>0</v>
      </c>
      <c r="CQ106" s="46"/>
      <c r="CR106" s="47">
        <f t="shared" si="82"/>
        <v>0</v>
      </c>
      <c r="CS106" s="46"/>
      <c r="CT106" s="46"/>
      <c r="CU106" s="46"/>
      <c r="CV106" s="46"/>
      <c r="CW106" s="47">
        <f t="shared" si="83"/>
        <v>0</v>
      </c>
      <c r="CX106" s="46"/>
      <c r="CY106" s="47">
        <f t="shared" si="84"/>
        <v>0</v>
      </c>
      <c r="CZ106" s="46"/>
      <c r="DA106" s="46"/>
      <c r="DB106" s="46"/>
      <c r="DC106" s="46"/>
      <c r="DD106" s="47">
        <f t="shared" si="85"/>
        <v>0</v>
      </c>
      <c r="DE106" s="46"/>
      <c r="DF106" s="46">
        <f t="shared" si="91"/>
        <v>0</v>
      </c>
      <c r="DG106" s="46"/>
      <c r="DH106" s="46">
        <f t="shared" si="61"/>
        <v>0</v>
      </c>
      <c r="DI106" s="46"/>
      <c r="DJ106" s="46"/>
      <c r="DK106" s="47">
        <f t="shared" si="86"/>
        <v>0</v>
      </c>
      <c r="DL106" s="47">
        <f t="shared" si="63"/>
        <v>0</v>
      </c>
      <c r="DM106" s="46"/>
      <c r="DN106" s="46">
        <f t="shared" si="73"/>
        <v>0</v>
      </c>
      <c r="DO106" s="46"/>
      <c r="DP106" s="46">
        <f t="shared" si="74"/>
        <v>0</v>
      </c>
      <c r="DQ106" s="46"/>
      <c r="DR106" s="46">
        <f t="shared" si="87"/>
        <v>0</v>
      </c>
      <c r="DS106" s="46"/>
      <c r="DT106" s="46">
        <f t="shared" si="92"/>
        <v>0</v>
      </c>
      <c r="DU106" s="46"/>
      <c r="DV106" s="46"/>
      <c r="DW106" s="46"/>
      <c r="DX106" s="47">
        <f t="shared" si="65"/>
        <v>0</v>
      </c>
      <c r="DY106" s="46"/>
      <c r="DZ106" s="46"/>
      <c r="EA106" s="46"/>
      <c r="EB106" s="46"/>
      <c r="EC106" s="46"/>
      <c r="ED106" s="46"/>
      <c r="EE106" s="47">
        <f t="shared" si="71"/>
        <v>0</v>
      </c>
      <c r="EF106" s="46"/>
      <c r="EG106" s="46"/>
      <c r="EH106" s="46"/>
      <c r="EI106" s="46"/>
      <c r="EJ106" s="46"/>
      <c r="EK106" s="47">
        <f t="shared" si="88"/>
        <v>0</v>
      </c>
      <c r="EL106" s="46">
        <f t="shared" si="89"/>
        <v>0</v>
      </c>
      <c r="EM106" s="46"/>
      <c r="EN106" s="46">
        <f t="shared" si="90"/>
        <v>0</v>
      </c>
      <c r="EQ106" s="84"/>
    </row>
    <row r="107" spans="2:147" s="48" customFormat="1" x14ac:dyDescent="0.25">
      <c r="B107" s="41">
        <v>8</v>
      </c>
      <c r="C107" s="42"/>
      <c r="D107" s="43"/>
      <c r="E107" s="42"/>
      <c r="F107" s="42"/>
      <c r="G107" s="42"/>
      <c r="H107" s="42"/>
      <c r="I107" s="42"/>
      <c r="J107" s="42"/>
      <c r="K107" s="42"/>
      <c r="L107" s="42"/>
      <c r="M107" s="42"/>
      <c r="N107" s="41"/>
      <c r="O107" s="41"/>
      <c r="P107" s="42"/>
      <c r="Q107" s="45"/>
      <c r="R107" s="45"/>
      <c r="S107" s="42"/>
      <c r="T107" s="46"/>
      <c r="U107" s="46"/>
      <c r="V107" s="46"/>
      <c r="W107" s="46"/>
      <c r="X107" s="46"/>
      <c r="Y107" s="46"/>
      <c r="Z107" s="42"/>
      <c r="AA107" s="42"/>
      <c r="AB107" s="42"/>
      <c r="AC107" s="42"/>
      <c r="AD107" s="42"/>
      <c r="AE107" s="42"/>
      <c r="AF107" s="42"/>
      <c r="AG107" s="42"/>
      <c r="AH107" s="42"/>
      <c r="AI107" s="46"/>
      <c r="AJ107" s="85"/>
      <c r="AK107" s="42"/>
      <c r="AL107" s="42"/>
      <c r="AM107" s="42"/>
      <c r="AN107" s="47">
        <f t="shared" si="54"/>
        <v>0</v>
      </c>
      <c r="AO107" s="47">
        <f t="shared" si="55"/>
        <v>0</v>
      </c>
      <c r="AP107" s="42" t="s">
        <v>98</v>
      </c>
      <c r="AQ107" s="46">
        <f>20%*AO107</f>
        <v>0</v>
      </c>
      <c r="AR107" s="42"/>
      <c r="AS107" s="42"/>
      <c r="AT107" s="46"/>
      <c r="AU107" s="47">
        <f t="shared" si="75"/>
        <v>0</v>
      </c>
      <c r="AV107" s="47"/>
      <c r="AW107" s="47">
        <f t="shared" si="76"/>
        <v>0</v>
      </c>
      <c r="AX107" s="47"/>
      <c r="AY107" s="47"/>
      <c r="AZ107" s="47"/>
      <c r="BA107" s="47"/>
      <c r="BB107" s="47"/>
      <c r="BC107" s="47">
        <f t="shared" si="77"/>
        <v>0</v>
      </c>
      <c r="BD107" s="47"/>
      <c r="BE107" s="47">
        <f t="shared" si="78"/>
        <v>0</v>
      </c>
      <c r="BF107" s="47"/>
      <c r="BG107" s="47"/>
      <c r="BH107" s="47"/>
      <c r="BI107" s="47"/>
      <c r="BJ107" s="47"/>
      <c r="BK107" s="46">
        <f t="shared" si="79"/>
        <v>0</v>
      </c>
      <c r="BL107" s="47"/>
      <c r="BM107" s="46">
        <f t="shared" si="80"/>
        <v>0</v>
      </c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6">
        <f t="shared" si="81"/>
        <v>0</v>
      </c>
      <c r="CQ107" s="47"/>
      <c r="CR107" s="47">
        <f t="shared" si="82"/>
        <v>0</v>
      </c>
      <c r="CS107" s="47"/>
      <c r="CT107" s="47"/>
      <c r="CU107" s="47"/>
      <c r="CV107" s="47"/>
      <c r="CW107" s="47">
        <f t="shared" si="83"/>
        <v>0</v>
      </c>
      <c r="CX107" s="46"/>
      <c r="CY107" s="47">
        <f t="shared" si="84"/>
        <v>0</v>
      </c>
      <c r="CZ107" s="47"/>
      <c r="DA107" s="47"/>
      <c r="DB107" s="47"/>
      <c r="DC107" s="47"/>
      <c r="DD107" s="47">
        <f t="shared" si="85"/>
        <v>0</v>
      </c>
      <c r="DE107" s="47"/>
      <c r="DF107" s="46">
        <f t="shared" si="91"/>
        <v>0</v>
      </c>
      <c r="DG107" s="46"/>
      <c r="DH107" s="46">
        <f t="shared" si="61"/>
        <v>0</v>
      </c>
      <c r="DI107" s="47"/>
      <c r="DJ107" s="47"/>
      <c r="DK107" s="47">
        <f t="shared" si="86"/>
        <v>0</v>
      </c>
      <c r="DL107" s="47">
        <f t="shared" si="63"/>
        <v>0</v>
      </c>
      <c r="DM107" s="46"/>
      <c r="DN107" s="46">
        <f t="shared" si="73"/>
        <v>0</v>
      </c>
      <c r="DO107" s="46"/>
      <c r="DP107" s="46">
        <f t="shared" si="74"/>
        <v>0</v>
      </c>
      <c r="DQ107" s="47"/>
      <c r="DR107" s="46">
        <f t="shared" si="87"/>
        <v>0</v>
      </c>
      <c r="DS107" s="47"/>
      <c r="DT107" s="46">
        <f t="shared" si="92"/>
        <v>0</v>
      </c>
      <c r="DU107" s="47"/>
      <c r="DV107" s="47"/>
      <c r="DW107" s="47"/>
      <c r="DX107" s="47">
        <f t="shared" si="65"/>
        <v>0</v>
      </c>
      <c r="DY107" s="47"/>
      <c r="DZ107" s="47"/>
      <c r="EA107" s="47"/>
      <c r="EB107" s="47"/>
      <c r="EC107" s="47"/>
      <c r="ED107" s="47"/>
      <c r="EE107" s="47">
        <f t="shared" si="71"/>
        <v>0</v>
      </c>
      <c r="EF107" s="47"/>
      <c r="EG107" s="47"/>
      <c r="EH107" s="47"/>
      <c r="EI107" s="47"/>
      <c r="EJ107" s="47"/>
      <c r="EK107" s="47">
        <f t="shared" si="88"/>
        <v>0</v>
      </c>
      <c r="EL107" s="46">
        <f t="shared" si="89"/>
        <v>0</v>
      </c>
      <c r="EM107" s="46"/>
      <c r="EN107" s="46">
        <f t="shared" si="90"/>
        <v>0</v>
      </c>
    </row>
    <row r="108" spans="2:147" ht="15" customHeight="1" x14ac:dyDescent="0.25">
      <c r="B108" s="41">
        <v>9</v>
      </c>
      <c r="C108" s="86"/>
      <c r="D108" s="87"/>
      <c r="E108" s="86"/>
      <c r="F108" s="86"/>
      <c r="G108" s="86"/>
      <c r="H108" s="86"/>
      <c r="I108" s="86"/>
      <c r="J108" s="86"/>
      <c r="K108" s="86"/>
      <c r="L108" s="86"/>
      <c r="M108" s="86"/>
      <c r="N108" s="88"/>
      <c r="O108" s="88"/>
      <c r="P108" s="86"/>
      <c r="Q108" s="89"/>
      <c r="R108" s="89"/>
      <c r="S108" s="86"/>
      <c r="T108" s="90"/>
      <c r="U108" s="90"/>
      <c r="V108" s="86"/>
      <c r="W108" s="86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>
        <f t="shared" si="54"/>
        <v>0</v>
      </c>
      <c r="AO108" s="90">
        <f t="shared" si="55"/>
        <v>0</v>
      </c>
      <c r="AP108" s="90" t="s">
        <v>98</v>
      </c>
      <c r="AQ108" s="90">
        <f>18%*AO108</f>
        <v>0</v>
      </c>
      <c r="AR108" s="90"/>
      <c r="AS108" s="90"/>
      <c r="AT108" s="90"/>
      <c r="AU108" s="64">
        <f t="shared" si="75"/>
        <v>0</v>
      </c>
      <c r="AV108" s="90"/>
      <c r="AW108" s="64">
        <f t="shared" si="76"/>
        <v>0</v>
      </c>
      <c r="AX108" s="90"/>
      <c r="AY108" s="90"/>
      <c r="AZ108" s="90"/>
      <c r="BA108" s="90"/>
      <c r="BB108" s="90"/>
      <c r="BC108" s="64">
        <f t="shared" si="77"/>
        <v>0</v>
      </c>
      <c r="BD108" s="90"/>
      <c r="BE108" s="64"/>
      <c r="BF108" s="90"/>
      <c r="BG108" s="90"/>
      <c r="BH108" s="90"/>
      <c r="BI108" s="90"/>
      <c r="BJ108" s="90"/>
      <c r="BK108" s="90">
        <f t="shared" si="79"/>
        <v>0</v>
      </c>
      <c r="BL108" s="90"/>
      <c r="BM108" s="90">
        <f t="shared" si="80"/>
        <v>0</v>
      </c>
      <c r="BN108" s="90"/>
      <c r="BO108" s="90"/>
      <c r="BP108" s="90"/>
      <c r="BQ108" s="90"/>
      <c r="BR108" s="90"/>
      <c r="BS108" s="90"/>
      <c r="BT108" s="90"/>
      <c r="BU108" s="90">
        <f>BS108</f>
        <v>0</v>
      </c>
      <c r="BV108" s="90"/>
      <c r="BW108" s="90"/>
      <c r="BX108" s="90"/>
      <c r="BY108" s="90"/>
      <c r="BZ108" s="90"/>
      <c r="CA108" s="90"/>
      <c r="CB108" s="90"/>
      <c r="CC108" s="90">
        <f>CA108</f>
        <v>0</v>
      </c>
      <c r="CD108" s="90"/>
      <c r="CE108" s="90"/>
      <c r="CF108" s="90"/>
      <c r="CG108" s="90"/>
      <c r="CH108" s="90"/>
      <c r="CI108" s="90"/>
      <c r="CJ108" s="90"/>
      <c r="CK108" s="90">
        <f>CI108</f>
        <v>0</v>
      </c>
      <c r="CL108" s="90"/>
      <c r="CM108" s="90"/>
      <c r="CN108" s="90"/>
      <c r="CO108" s="90"/>
      <c r="CP108" s="90">
        <f t="shared" si="81"/>
        <v>0</v>
      </c>
      <c r="CQ108" s="90"/>
      <c r="CR108" s="64">
        <f t="shared" si="82"/>
        <v>0</v>
      </c>
      <c r="CS108" s="90"/>
      <c r="CT108" s="90"/>
      <c r="CU108" s="90"/>
      <c r="CV108" s="90"/>
      <c r="CW108" s="64">
        <f t="shared" si="83"/>
        <v>0</v>
      </c>
      <c r="CX108" s="90"/>
      <c r="CY108" s="64">
        <f t="shared" si="84"/>
        <v>0</v>
      </c>
      <c r="CZ108" s="90"/>
      <c r="DA108" s="90"/>
      <c r="DB108" s="90"/>
      <c r="DC108" s="90"/>
      <c r="DD108" s="64">
        <f t="shared" si="85"/>
        <v>0</v>
      </c>
      <c r="DE108" s="90"/>
      <c r="DF108" s="90">
        <f t="shared" si="91"/>
        <v>0</v>
      </c>
      <c r="DG108" s="90"/>
      <c r="DH108" s="90">
        <f t="shared" si="61"/>
        <v>0</v>
      </c>
      <c r="DI108" s="90"/>
      <c r="DJ108" s="90"/>
      <c r="DK108" s="64">
        <f t="shared" si="86"/>
        <v>0</v>
      </c>
      <c r="DL108" s="64">
        <f t="shared" si="63"/>
        <v>0</v>
      </c>
      <c r="DM108" s="90"/>
      <c r="DN108" s="90">
        <f t="shared" si="73"/>
        <v>0</v>
      </c>
      <c r="DO108" s="90"/>
      <c r="DP108" s="90">
        <f t="shared" si="74"/>
        <v>0</v>
      </c>
      <c r="DQ108" s="90"/>
      <c r="DR108" s="90">
        <f t="shared" si="87"/>
        <v>0</v>
      </c>
      <c r="DS108" s="90"/>
      <c r="DT108" s="90">
        <f t="shared" si="92"/>
        <v>0</v>
      </c>
      <c r="DU108" s="90"/>
      <c r="DV108" s="90"/>
      <c r="DW108" s="90"/>
      <c r="DX108" s="64">
        <f t="shared" si="65"/>
        <v>0</v>
      </c>
      <c r="DY108" s="90"/>
      <c r="DZ108" s="90"/>
      <c r="EA108" s="90"/>
      <c r="EB108" s="90"/>
      <c r="EC108" s="90"/>
      <c r="ED108" s="90"/>
      <c r="EE108" s="64">
        <f t="shared" si="71"/>
        <v>0</v>
      </c>
      <c r="EF108" s="90"/>
      <c r="EG108" s="90"/>
      <c r="EH108" s="90"/>
      <c r="EI108" s="90"/>
      <c r="EJ108" s="90"/>
      <c r="EK108" s="64">
        <f t="shared" si="88"/>
        <v>0</v>
      </c>
      <c r="EL108" s="90">
        <f t="shared" si="89"/>
        <v>0</v>
      </c>
      <c r="EM108" s="90"/>
      <c r="EN108" s="90">
        <f t="shared" si="90"/>
        <v>0</v>
      </c>
    </row>
    <row r="109" spans="2:147" s="48" customFormat="1" ht="15" customHeight="1" x14ac:dyDescent="0.25">
      <c r="B109" s="41">
        <v>10</v>
      </c>
      <c r="C109" s="42"/>
      <c r="D109" s="43"/>
      <c r="E109" s="42"/>
      <c r="F109" s="42"/>
      <c r="G109" s="42"/>
      <c r="H109" s="42"/>
      <c r="I109" s="42"/>
      <c r="J109" s="42"/>
      <c r="K109" s="42"/>
      <c r="L109" s="42"/>
      <c r="M109" s="42"/>
      <c r="N109" s="41"/>
      <c r="O109" s="41"/>
      <c r="P109" s="42"/>
      <c r="Q109" s="45"/>
      <c r="R109" s="45"/>
      <c r="S109" s="42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2"/>
      <c r="AL109" s="46"/>
      <c r="AM109" s="46"/>
      <c r="AN109" s="47">
        <f t="shared" si="54"/>
        <v>0</v>
      </c>
      <c r="AO109" s="47">
        <f t="shared" si="55"/>
        <v>0</v>
      </c>
      <c r="AP109" s="42" t="s">
        <v>98</v>
      </c>
      <c r="AQ109" s="46">
        <f>18%*AO109</f>
        <v>0</v>
      </c>
      <c r="AR109" s="46"/>
      <c r="AS109" s="91"/>
      <c r="AT109" s="46"/>
      <c r="AU109" s="47">
        <f t="shared" si="75"/>
        <v>0</v>
      </c>
      <c r="AV109" s="46"/>
      <c r="AW109" s="47">
        <f t="shared" si="76"/>
        <v>0</v>
      </c>
      <c r="AX109" s="42"/>
      <c r="AY109" s="42"/>
      <c r="AZ109" s="42"/>
      <c r="BA109" s="42"/>
      <c r="BB109" s="42"/>
      <c r="BC109" s="47">
        <f t="shared" si="77"/>
        <v>0</v>
      </c>
      <c r="BD109" s="42"/>
      <c r="BE109" s="47">
        <f>+AY109+AZ109+BC109+BD109</f>
        <v>0</v>
      </c>
      <c r="BF109" s="42"/>
      <c r="BG109" s="42"/>
      <c r="BH109" s="42"/>
      <c r="BI109" s="42"/>
      <c r="BJ109" s="42"/>
      <c r="BK109" s="46">
        <f t="shared" si="79"/>
        <v>0</v>
      </c>
      <c r="BL109" s="42"/>
      <c r="BM109" s="46">
        <f t="shared" si="80"/>
        <v>0</v>
      </c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6">
        <f t="shared" si="81"/>
        <v>0</v>
      </c>
      <c r="CQ109" s="46"/>
      <c r="CR109" s="47">
        <f t="shared" si="82"/>
        <v>0</v>
      </c>
      <c r="CS109" s="46"/>
      <c r="CT109" s="46"/>
      <c r="CU109" s="46"/>
      <c r="CV109" s="46"/>
      <c r="CW109" s="47">
        <f t="shared" si="83"/>
        <v>0</v>
      </c>
      <c r="CX109" s="46"/>
      <c r="CY109" s="47">
        <f t="shared" si="84"/>
        <v>0</v>
      </c>
      <c r="CZ109" s="46"/>
      <c r="DA109" s="46"/>
      <c r="DB109" s="46"/>
      <c r="DC109" s="46"/>
      <c r="DD109" s="47">
        <f t="shared" si="85"/>
        <v>0</v>
      </c>
      <c r="DE109" s="42"/>
      <c r="DF109" s="46">
        <f t="shared" si="91"/>
        <v>0</v>
      </c>
      <c r="DG109" s="42"/>
      <c r="DH109" s="46">
        <f t="shared" si="61"/>
        <v>0</v>
      </c>
      <c r="DI109" s="46"/>
      <c r="DJ109" s="46"/>
      <c r="DK109" s="47">
        <f t="shared" si="86"/>
        <v>0</v>
      </c>
      <c r="DL109" s="47">
        <f t="shared" si="63"/>
        <v>0</v>
      </c>
      <c r="DM109" s="46"/>
      <c r="DN109" s="46">
        <f t="shared" si="73"/>
        <v>0</v>
      </c>
      <c r="DO109" s="42"/>
      <c r="DP109" s="46">
        <f t="shared" si="74"/>
        <v>0</v>
      </c>
      <c r="DQ109" s="42"/>
      <c r="DR109" s="46">
        <f t="shared" si="87"/>
        <v>0</v>
      </c>
      <c r="DS109" s="42"/>
      <c r="DT109" s="46">
        <f t="shared" si="92"/>
        <v>0</v>
      </c>
      <c r="DU109" s="42"/>
      <c r="DV109" s="46"/>
      <c r="DW109" s="42"/>
      <c r="DX109" s="47">
        <f t="shared" si="65"/>
        <v>0</v>
      </c>
      <c r="DY109" s="46"/>
      <c r="DZ109" s="46"/>
      <c r="EA109" s="46"/>
      <c r="EB109" s="46"/>
      <c r="EC109" s="46"/>
      <c r="ED109" s="46"/>
      <c r="EE109" s="47">
        <f t="shared" si="71"/>
        <v>0</v>
      </c>
      <c r="EF109" s="46"/>
      <c r="EG109" s="46"/>
      <c r="EH109" s="46"/>
      <c r="EI109" s="46"/>
      <c r="EJ109" s="46"/>
      <c r="EK109" s="47">
        <f t="shared" si="88"/>
        <v>0</v>
      </c>
      <c r="EL109" s="46">
        <f t="shared" si="89"/>
        <v>0</v>
      </c>
      <c r="EM109" s="46"/>
      <c r="EN109" s="46">
        <f t="shared" si="90"/>
        <v>0</v>
      </c>
    </row>
    <row r="110" spans="2:147" s="48" customFormat="1" ht="15" customHeight="1" x14ac:dyDescent="0.25">
      <c r="B110" s="41">
        <v>11</v>
      </c>
      <c r="C110" s="42"/>
      <c r="D110" s="43"/>
      <c r="E110" s="42"/>
      <c r="F110" s="42"/>
      <c r="G110" s="42"/>
      <c r="H110" s="42"/>
      <c r="I110" s="42"/>
      <c r="J110" s="42"/>
      <c r="K110" s="42"/>
      <c r="L110" s="42"/>
      <c r="M110" s="42"/>
      <c r="N110" s="41"/>
      <c r="O110" s="41"/>
      <c r="P110" s="42"/>
      <c r="Q110" s="45"/>
      <c r="R110" s="45"/>
      <c r="S110" s="42"/>
      <c r="T110" s="46"/>
      <c r="U110" s="46"/>
      <c r="V110" s="42"/>
      <c r="W110" s="42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7">
        <f t="shared" si="54"/>
        <v>0</v>
      </c>
      <c r="AO110" s="47">
        <f t="shared" si="55"/>
        <v>0</v>
      </c>
      <c r="AP110" s="46" t="s">
        <v>98</v>
      </c>
      <c r="AQ110" s="46">
        <f t="shared" ref="AQ110:AQ125" si="93">20%*AO110</f>
        <v>0</v>
      </c>
      <c r="AR110" s="46"/>
      <c r="AS110" s="46"/>
      <c r="AT110" s="46"/>
      <c r="AU110" s="47">
        <f t="shared" si="75"/>
        <v>0</v>
      </c>
      <c r="AV110" s="46"/>
      <c r="AW110" s="47">
        <f t="shared" si="76"/>
        <v>0</v>
      </c>
      <c r="AX110" s="46"/>
      <c r="AY110" s="46"/>
      <c r="AZ110" s="46"/>
      <c r="BA110" s="46"/>
      <c r="BB110" s="46"/>
      <c r="BC110" s="47">
        <f t="shared" si="77"/>
        <v>0</v>
      </c>
      <c r="BD110" s="46"/>
      <c r="BE110" s="47">
        <f>+AY110+AZ110+BC110+BD110</f>
        <v>0</v>
      </c>
      <c r="BF110" s="46"/>
      <c r="BG110" s="46"/>
      <c r="BH110" s="46"/>
      <c r="BI110" s="46"/>
      <c r="BJ110" s="46"/>
      <c r="BK110" s="46">
        <f t="shared" si="79"/>
        <v>0</v>
      </c>
      <c r="BL110" s="46"/>
      <c r="BM110" s="46">
        <f t="shared" si="80"/>
        <v>0</v>
      </c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>
        <f t="shared" si="81"/>
        <v>0</v>
      </c>
      <c r="CQ110" s="46"/>
      <c r="CR110" s="47">
        <f t="shared" si="82"/>
        <v>0</v>
      </c>
      <c r="CS110" s="46"/>
      <c r="CT110" s="46"/>
      <c r="CU110" s="46"/>
      <c r="CV110" s="46"/>
      <c r="CW110" s="47">
        <f t="shared" si="83"/>
        <v>0</v>
      </c>
      <c r="CX110" s="46"/>
      <c r="CY110" s="47">
        <f t="shared" si="84"/>
        <v>0</v>
      </c>
      <c r="CZ110" s="46"/>
      <c r="DA110" s="46"/>
      <c r="DB110" s="46"/>
      <c r="DC110" s="46"/>
      <c r="DD110" s="47">
        <f t="shared" si="85"/>
        <v>0</v>
      </c>
      <c r="DE110" s="46"/>
      <c r="DF110" s="46">
        <f t="shared" si="91"/>
        <v>0</v>
      </c>
      <c r="DG110" s="46"/>
      <c r="DH110" s="46">
        <f t="shared" si="61"/>
        <v>0</v>
      </c>
      <c r="DI110" s="46"/>
      <c r="DJ110" s="46"/>
      <c r="DK110" s="47">
        <f t="shared" si="86"/>
        <v>0</v>
      </c>
      <c r="DL110" s="47">
        <f t="shared" si="63"/>
        <v>0</v>
      </c>
      <c r="DM110" s="46"/>
      <c r="DN110" s="46">
        <f t="shared" si="73"/>
        <v>0</v>
      </c>
      <c r="DO110" s="46"/>
      <c r="DP110" s="46">
        <f t="shared" si="74"/>
        <v>0</v>
      </c>
      <c r="DQ110" s="46"/>
      <c r="DR110" s="46">
        <f t="shared" si="87"/>
        <v>0</v>
      </c>
      <c r="DS110" s="46"/>
      <c r="DT110" s="46">
        <f t="shared" si="92"/>
        <v>0</v>
      </c>
      <c r="DU110" s="46"/>
      <c r="DV110" s="46"/>
      <c r="DW110" s="46"/>
      <c r="DX110" s="47">
        <f t="shared" si="65"/>
        <v>0</v>
      </c>
      <c r="DY110" s="46"/>
      <c r="DZ110" s="46"/>
      <c r="EA110" s="46"/>
      <c r="EB110" s="46"/>
      <c r="EC110" s="46"/>
      <c r="ED110" s="46"/>
      <c r="EE110" s="47">
        <f t="shared" si="71"/>
        <v>0</v>
      </c>
      <c r="EF110" s="46"/>
      <c r="EG110" s="46"/>
      <c r="EH110" s="46"/>
      <c r="EI110" s="46"/>
      <c r="EJ110" s="46"/>
      <c r="EK110" s="47">
        <f t="shared" si="88"/>
        <v>0</v>
      </c>
      <c r="EL110" s="46">
        <f t="shared" si="89"/>
        <v>0</v>
      </c>
      <c r="EM110" s="46"/>
      <c r="EN110" s="46">
        <f t="shared" si="90"/>
        <v>0</v>
      </c>
    </row>
    <row r="111" spans="2:147" s="48" customFormat="1" ht="15" customHeight="1" x14ac:dyDescent="0.25">
      <c r="B111" s="41">
        <v>12</v>
      </c>
      <c r="C111" s="42"/>
      <c r="D111" s="43"/>
      <c r="E111" s="42"/>
      <c r="F111" s="42"/>
      <c r="G111" s="42"/>
      <c r="H111" s="42"/>
      <c r="I111" s="42"/>
      <c r="J111" s="42"/>
      <c r="K111" s="42"/>
      <c r="L111" s="42"/>
      <c r="M111" s="42"/>
      <c r="N111" s="41"/>
      <c r="O111" s="41"/>
      <c r="P111" s="42"/>
      <c r="Q111" s="45"/>
      <c r="R111" s="45"/>
      <c r="S111" s="42"/>
      <c r="T111" s="46"/>
      <c r="U111" s="46"/>
      <c r="V111" s="42"/>
      <c r="W111" s="42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7">
        <f t="shared" si="54"/>
        <v>0</v>
      </c>
      <c r="AO111" s="47">
        <f t="shared" si="55"/>
        <v>0</v>
      </c>
      <c r="AP111" s="46" t="s">
        <v>98</v>
      </c>
      <c r="AQ111" s="46">
        <f t="shared" si="93"/>
        <v>0</v>
      </c>
      <c r="AR111" s="46"/>
      <c r="AS111" s="46"/>
      <c r="AT111" s="46"/>
      <c r="AU111" s="47">
        <f t="shared" si="75"/>
        <v>0</v>
      </c>
      <c r="AV111" s="46"/>
      <c r="AW111" s="47">
        <f t="shared" si="76"/>
        <v>0</v>
      </c>
      <c r="AX111" s="46"/>
      <c r="AY111" s="46"/>
      <c r="AZ111" s="46"/>
      <c r="BA111" s="46"/>
      <c r="BB111" s="46"/>
      <c r="BC111" s="47">
        <f t="shared" si="77"/>
        <v>0</v>
      </c>
      <c r="BD111" s="46"/>
      <c r="BE111" s="47">
        <v>0</v>
      </c>
      <c r="BF111" s="46"/>
      <c r="BG111" s="46"/>
      <c r="BH111" s="46"/>
      <c r="BI111" s="46"/>
      <c r="BJ111" s="46"/>
      <c r="BK111" s="46">
        <f t="shared" si="79"/>
        <v>0</v>
      </c>
      <c r="BL111" s="46"/>
      <c r="BM111" s="46">
        <f t="shared" si="80"/>
        <v>0</v>
      </c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>
        <f t="shared" si="81"/>
        <v>0</v>
      </c>
      <c r="CQ111" s="46"/>
      <c r="CR111" s="47">
        <f t="shared" si="82"/>
        <v>0</v>
      </c>
      <c r="CS111" s="46"/>
      <c r="CT111" s="46"/>
      <c r="CU111" s="46"/>
      <c r="CV111" s="46"/>
      <c r="CW111" s="47">
        <f t="shared" si="83"/>
        <v>0</v>
      </c>
      <c r="CX111" s="46"/>
      <c r="CY111" s="47">
        <f t="shared" si="84"/>
        <v>0</v>
      </c>
      <c r="CZ111" s="46"/>
      <c r="DA111" s="46"/>
      <c r="DB111" s="46"/>
      <c r="DC111" s="46"/>
      <c r="DD111" s="47">
        <f t="shared" si="85"/>
        <v>0</v>
      </c>
      <c r="DE111" s="46"/>
      <c r="DF111" s="46">
        <f t="shared" si="91"/>
        <v>0</v>
      </c>
      <c r="DG111" s="46"/>
      <c r="DH111" s="46">
        <f t="shared" si="61"/>
        <v>0</v>
      </c>
      <c r="DI111" s="46"/>
      <c r="DJ111" s="46"/>
      <c r="DK111" s="47">
        <f t="shared" si="86"/>
        <v>0</v>
      </c>
      <c r="DL111" s="47">
        <f t="shared" si="63"/>
        <v>0</v>
      </c>
      <c r="DM111" s="46"/>
      <c r="DN111" s="46">
        <f t="shared" si="73"/>
        <v>0</v>
      </c>
      <c r="DO111" s="46"/>
      <c r="DP111" s="46">
        <f t="shared" si="74"/>
        <v>0</v>
      </c>
      <c r="DQ111" s="46"/>
      <c r="DR111" s="46">
        <f t="shared" si="87"/>
        <v>0</v>
      </c>
      <c r="DS111" s="46"/>
      <c r="DT111" s="46">
        <f t="shared" si="92"/>
        <v>0</v>
      </c>
      <c r="DU111" s="46"/>
      <c r="DV111" s="46"/>
      <c r="DW111" s="46"/>
      <c r="DX111" s="47">
        <f t="shared" si="65"/>
        <v>0</v>
      </c>
      <c r="DY111" s="46"/>
      <c r="DZ111" s="46"/>
      <c r="EA111" s="46"/>
      <c r="EB111" s="46"/>
      <c r="EC111" s="46"/>
      <c r="ED111" s="46"/>
      <c r="EE111" s="47">
        <f t="shared" si="71"/>
        <v>0</v>
      </c>
      <c r="EF111" s="46"/>
      <c r="EG111" s="46"/>
      <c r="EH111" s="46"/>
      <c r="EI111" s="46"/>
      <c r="EJ111" s="46"/>
      <c r="EK111" s="47">
        <f t="shared" si="88"/>
        <v>0</v>
      </c>
      <c r="EL111" s="46">
        <f t="shared" si="89"/>
        <v>0</v>
      </c>
      <c r="EM111" s="46"/>
      <c r="EN111" s="46">
        <f t="shared" si="90"/>
        <v>0</v>
      </c>
    </row>
    <row r="112" spans="2:147" s="48" customFormat="1" ht="15" customHeight="1" x14ac:dyDescent="0.25">
      <c r="B112" s="41">
        <v>13</v>
      </c>
      <c r="C112" s="42"/>
      <c r="D112" s="43"/>
      <c r="E112" s="42"/>
      <c r="F112" s="42"/>
      <c r="G112" s="42"/>
      <c r="H112" s="42"/>
      <c r="I112" s="42"/>
      <c r="J112" s="42"/>
      <c r="K112" s="42"/>
      <c r="L112" s="42"/>
      <c r="M112" s="42"/>
      <c r="N112" s="41"/>
      <c r="O112" s="41"/>
      <c r="P112" s="42"/>
      <c r="Q112" s="45"/>
      <c r="R112" s="45"/>
      <c r="S112" s="45"/>
      <c r="T112" s="46"/>
      <c r="U112" s="46"/>
      <c r="V112" s="45"/>
      <c r="W112" s="45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7">
        <f t="shared" si="54"/>
        <v>0</v>
      </c>
      <c r="AO112" s="47">
        <f t="shared" si="55"/>
        <v>0</v>
      </c>
      <c r="AP112" s="46" t="s">
        <v>98</v>
      </c>
      <c r="AQ112" s="46">
        <f t="shared" si="93"/>
        <v>0</v>
      </c>
      <c r="AR112" s="46"/>
      <c r="AS112" s="46"/>
      <c r="AT112" s="46"/>
      <c r="AU112" s="47">
        <f t="shared" si="75"/>
        <v>0</v>
      </c>
      <c r="AV112" s="46"/>
      <c r="AW112" s="47">
        <f t="shared" si="76"/>
        <v>0</v>
      </c>
      <c r="AX112" s="46"/>
      <c r="AY112" s="46"/>
      <c r="AZ112" s="46"/>
      <c r="BA112" s="46"/>
      <c r="BB112" s="46"/>
      <c r="BC112" s="47">
        <f t="shared" si="77"/>
        <v>0</v>
      </c>
      <c r="BD112" s="46"/>
      <c r="BE112" s="47">
        <v>0</v>
      </c>
      <c r="BF112" s="46"/>
      <c r="BG112" s="46"/>
      <c r="BH112" s="46"/>
      <c r="BI112" s="46"/>
      <c r="BJ112" s="46"/>
      <c r="BK112" s="46">
        <f t="shared" si="79"/>
        <v>0</v>
      </c>
      <c r="BL112" s="46"/>
      <c r="BM112" s="46">
        <f t="shared" si="80"/>
        <v>0</v>
      </c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>
        <f t="shared" si="81"/>
        <v>0</v>
      </c>
      <c r="CQ112" s="46"/>
      <c r="CR112" s="47">
        <f t="shared" si="82"/>
        <v>0</v>
      </c>
      <c r="CS112" s="46"/>
      <c r="CT112" s="46"/>
      <c r="CU112" s="46"/>
      <c r="CV112" s="46"/>
      <c r="CW112" s="47">
        <f t="shared" si="83"/>
        <v>0</v>
      </c>
      <c r="CX112" s="46"/>
      <c r="CY112" s="47">
        <f t="shared" si="84"/>
        <v>0</v>
      </c>
      <c r="CZ112" s="46"/>
      <c r="DA112" s="46"/>
      <c r="DB112" s="46"/>
      <c r="DC112" s="46"/>
      <c r="DD112" s="47">
        <f t="shared" si="85"/>
        <v>0</v>
      </c>
      <c r="DE112" s="46"/>
      <c r="DF112" s="46">
        <f t="shared" si="91"/>
        <v>0</v>
      </c>
      <c r="DG112" s="46"/>
      <c r="DH112" s="46">
        <f t="shared" si="61"/>
        <v>0</v>
      </c>
      <c r="DI112" s="46"/>
      <c r="DJ112" s="46"/>
      <c r="DK112" s="47">
        <f t="shared" si="86"/>
        <v>0</v>
      </c>
      <c r="DL112" s="47">
        <f t="shared" si="63"/>
        <v>0</v>
      </c>
      <c r="DM112" s="46"/>
      <c r="DN112" s="46">
        <f t="shared" si="73"/>
        <v>0</v>
      </c>
      <c r="DO112" s="46"/>
      <c r="DP112" s="46">
        <f t="shared" si="74"/>
        <v>0</v>
      </c>
      <c r="DQ112" s="46"/>
      <c r="DR112" s="46">
        <f t="shared" si="87"/>
        <v>0</v>
      </c>
      <c r="DS112" s="46"/>
      <c r="DT112" s="46">
        <f t="shared" si="92"/>
        <v>0</v>
      </c>
      <c r="DU112" s="46"/>
      <c r="DV112" s="46"/>
      <c r="DW112" s="46"/>
      <c r="DX112" s="47">
        <f t="shared" si="65"/>
        <v>0</v>
      </c>
      <c r="DY112" s="46"/>
      <c r="DZ112" s="46"/>
      <c r="EA112" s="46"/>
      <c r="EB112" s="46"/>
      <c r="EC112" s="46"/>
      <c r="ED112" s="46"/>
      <c r="EE112" s="47">
        <f t="shared" si="71"/>
        <v>0</v>
      </c>
      <c r="EF112" s="46"/>
      <c r="EG112" s="46"/>
      <c r="EH112" s="46"/>
      <c r="EI112" s="46"/>
      <c r="EJ112" s="46"/>
      <c r="EK112" s="47">
        <f t="shared" si="88"/>
        <v>0</v>
      </c>
      <c r="EL112" s="46">
        <f t="shared" si="89"/>
        <v>0</v>
      </c>
      <c r="EM112" s="46"/>
      <c r="EN112" s="46">
        <f t="shared" si="90"/>
        <v>0</v>
      </c>
    </row>
    <row r="113" spans="1:145" s="48" customFormat="1" ht="15" customHeight="1" x14ac:dyDescent="0.25">
      <c r="B113" s="41">
        <v>14</v>
      </c>
      <c r="C113" s="42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1"/>
      <c r="O113" s="41"/>
      <c r="P113" s="42"/>
      <c r="Q113" s="45"/>
      <c r="R113" s="45"/>
      <c r="S113" s="42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7">
        <f t="shared" si="54"/>
        <v>0</v>
      </c>
      <c r="AO113" s="47">
        <f t="shared" si="55"/>
        <v>0</v>
      </c>
      <c r="AP113" s="42" t="s">
        <v>98</v>
      </c>
      <c r="AQ113" s="46">
        <f t="shared" si="93"/>
        <v>0</v>
      </c>
      <c r="AR113" s="46"/>
      <c r="AS113" s="92"/>
      <c r="AT113" s="46"/>
      <c r="AU113" s="47">
        <f t="shared" si="75"/>
        <v>0</v>
      </c>
      <c r="AV113" s="46"/>
      <c r="AW113" s="47">
        <f t="shared" si="76"/>
        <v>0</v>
      </c>
      <c r="AX113" s="42"/>
      <c r="AY113" s="46"/>
      <c r="AZ113" s="46"/>
      <c r="BA113" s="46"/>
      <c r="BB113" s="46"/>
      <c r="BC113" s="47">
        <f t="shared" si="77"/>
        <v>0</v>
      </c>
      <c r="BD113" s="46"/>
      <c r="BE113" s="47">
        <f t="shared" ref="BE113:BE129" si="94">+AY113+AZ113+BC113+BD113</f>
        <v>0</v>
      </c>
      <c r="BF113" s="42"/>
      <c r="BG113" s="46"/>
      <c r="BH113" s="46"/>
      <c r="BI113" s="46"/>
      <c r="BJ113" s="46"/>
      <c r="BK113" s="46">
        <f t="shared" si="79"/>
        <v>0</v>
      </c>
      <c r="BL113" s="46"/>
      <c r="BM113" s="46">
        <f t="shared" si="80"/>
        <v>0</v>
      </c>
      <c r="BN113" s="42"/>
      <c r="BO113" s="46"/>
      <c r="BP113" s="46"/>
      <c r="BQ113" s="46"/>
      <c r="BR113" s="46"/>
      <c r="BS113" s="47">
        <f>+BQ113*BR113</f>
        <v>0</v>
      </c>
      <c r="BT113" s="46"/>
      <c r="BU113" s="47"/>
      <c r="BV113" s="42"/>
      <c r="BW113" s="46"/>
      <c r="BX113" s="46"/>
      <c r="BY113" s="46"/>
      <c r="BZ113" s="46"/>
      <c r="CA113" s="47">
        <f>+BY113*BZ113</f>
        <v>0</v>
      </c>
      <c r="CB113" s="46"/>
      <c r="CC113" s="47"/>
      <c r="CD113" s="42"/>
      <c r="CE113" s="46"/>
      <c r="CF113" s="46"/>
      <c r="CG113" s="46"/>
      <c r="CH113" s="46"/>
      <c r="CI113" s="47">
        <f>+CG113*CH113</f>
        <v>0</v>
      </c>
      <c r="CJ113" s="46"/>
      <c r="CK113" s="47"/>
      <c r="CL113" s="46"/>
      <c r="CM113" s="46"/>
      <c r="CN113" s="46"/>
      <c r="CO113" s="46"/>
      <c r="CP113" s="46">
        <f t="shared" si="81"/>
        <v>0</v>
      </c>
      <c r="CQ113" s="46"/>
      <c r="CR113" s="47">
        <f t="shared" si="82"/>
        <v>0</v>
      </c>
      <c r="CS113" s="46"/>
      <c r="CT113" s="46"/>
      <c r="CU113" s="46"/>
      <c r="CV113" s="46"/>
      <c r="CW113" s="47">
        <f t="shared" si="83"/>
        <v>0</v>
      </c>
      <c r="CX113" s="46"/>
      <c r="CY113" s="47">
        <f t="shared" si="84"/>
        <v>0</v>
      </c>
      <c r="CZ113" s="46"/>
      <c r="DA113" s="46"/>
      <c r="DB113" s="46"/>
      <c r="DC113" s="46"/>
      <c r="DD113" s="47">
        <f t="shared" si="85"/>
        <v>0</v>
      </c>
      <c r="DE113" s="46"/>
      <c r="DF113" s="46">
        <f t="shared" si="91"/>
        <v>0</v>
      </c>
      <c r="DG113" s="46"/>
      <c r="DH113" s="46">
        <f t="shared" si="61"/>
        <v>0</v>
      </c>
      <c r="DI113" s="46"/>
      <c r="DJ113" s="46"/>
      <c r="DK113" s="47">
        <f t="shared" si="86"/>
        <v>0</v>
      </c>
      <c r="DL113" s="47">
        <f t="shared" si="63"/>
        <v>0</v>
      </c>
      <c r="DM113" s="47"/>
      <c r="DN113" s="46">
        <f t="shared" si="73"/>
        <v>0</v>
      </c>
      <c r="DO113" s="46"/>
      <c r="DP113" s="46">
        <f t="shared" si="74"/>
        <v>0</v>
      </c>
      <c r="DQ113" s="46"/>
      <c r="DR113" s="46">
        <f t="shared" si="87"/>
        <v>0</v>
      </c>
      <c r="DS113" s="46"/>
      <c r="DT113" s="46">
        <f t="shared" si="92"/>
        <v>0</v>
      </c>
      <c r="DU113" s="46"/>
      <c r="DV113" s="46"/>
      <c r="DW113" s="46"/>
      <c r="DX113" s="47">
        <f t="shared" si="65"/>
        <v>0</v>
      </c>
      <c r="DY113" s="46"/>
      <c r="DZ113" s="46"/>
      <c r="EA113" s="46"/>
      <c r="EB113" s="46"/>
      <c r="EC113" s="46"/>
      <c r="ED113" s="46"/>
      <c r="EE113" s="47">
        <f t="shared" si="71"/>
        <v>0</v>
      </c>
      <c r="EF113" s="46"/>
      <c r="EG113" s="46"/>
      <c r="EH113" s="46"/>
      <c r="EI113" s="46"/>
      <c r="EJ113" s="46"/>
      <c r="EK113" s="47">
        <f t="shared" si="88"/>
        <v>0</v>
      </c>
      <c r="EL113" s="46">
        <f t="shared" si="89"/>
        <v>0</v>
      </c>
      <c r="EM113" s="46"/>
      <c r="EN113" s="46">
        <f t="shared" si="90"/>
        <v>0</v>
      </c>
    </row>
    <row r="114" spans="1:145" s="48" customFormat="1" ht="15" customHeight="1" x14ac:dyDescent="0.25">
      <c r="B114" s="41">
        <v>15</v>
      </c>
      <c r="C114" s="42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1"/>
      <c r="O114" s="41"/>
      <c r="P114" s="42"/>
      <c r="Q114" s="45"/>
      <c r="R114" s="45"/>
      <c r="S114" s="42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2"/>
      <c r="AL114" s="42"/>
      <c r="AM114" s="42"/>
      <c r="AN114" s="47">
        <f t="shared" si="54"/>
        <v>0</v>
      </c>
      <c r="AO114" s="47">
        <f t="shared" si="55"/>
        <v>0</v>
      </c>
      <c r="AP114" s="42" t="s">
        <v>98</v>
      </c>
      <c r="AQ114" s="46">
        <f t="shared" si="93"/>
        <v>0</v>
      </c>
      <c r="AR114" s="46"/>
      <c r="AS114" s="42"/>
      <c r="AT114" s="46"/>
      <c r="AU114" s="47">
        <f t="shared" si="75"/>
        <v>0</v>
      </c>
      <c r="AV114" s="46"/>
      <c r="AW114" s="47">
        <f t="shared" si="76"/>
        <v>0</v>
      </c>
      <c r="AX114" s="42"/>
      <c r="AY114" s="42"/>
      <c r="AZ114" s="42"/>
      <c r="BA114" s="42"/>
      <c r="BB114" s="42"/>
      <c r="BC114" s="47">
        <f t="shared" si="77"/>
        <v>0</v>
      </c>
      <c r="BD114" s="42"/>
      <c r="BE114" s="47">
        <f t="shared" si="94"/>
        <v>0</v>
      </c>
      <c r="BF114" s="42"/>
      <c r="BG114" s="42"/>
      <c r="BH114" s="42"/>
      <c r="BI114" s="42"/>
      <c r="BJ114" s="42"/>
      <c r="BK114" s="46">
        <f t="shared" si="79"/>
        <v>0</v>
      </c>
      <c r="BL114" s="42"/>
      <c r="BM114" s="46">
        <f t="shared" si="80"/>
        <v>0</v>
      </c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6">
        <f t="shared" si="81"/>
        <v>0</v>
      </c>
      <c r="CQ114" s="46"/>
      <c r="CR114" s="47">
        <f t="shared" si="82"/>
        <v>0</v>
      </c>
      <c r="CS114" s="46"/>
      <c r="CT114" s="46"/>
      <c r="CU114" s="46"/>
      <c r="CV114" s="46"/>
      <c r="CW114" s="47">
        <f t="shared" si="83"/>
        <v>0</v>
      </c>
      <c r="CX114" s="46"/>
      <c r="CY114" s="47">
        <f t="shared" si="84"/>
        <v>0</v>
      </c>
      <c r="CZ114" s="46"/>
      <c r="DA114" s="46"/>
      <c r="DB114" s="46"/>
      <c r="DC114" s="46"/>
      <c r="DD114" s="47">
        <f t="shared" si="85"/>
        <v>0</v>
      </c>
      <c r="DE114" s="42"/>
      <c r="DF114" s="46">
        <f t="shared" si="91"/>
        <v>0</v>
      </c>
      <c r="DG114" s="42"/>
      <c r="DH114" s="46">
        <f t="shared" si="61"/>
        <v>0</v>
      </c>
      <c r="DI114" s="46"/>
      <c r="DJ114" s="46"/>
      <c r="DK114" s="47">
        <f t="shared" si="86"/>
        <v>0</v>
      </c>
      <c r="DL114" s="47">
        <f t="shared" si="63"/>
        <v>0</v>
      </c>
      <c r="DM114" s="42"/>
      <c r="DN114" s="46">
        <f t="shared" si="73"/>
        <v>0</v>
      </c>
      <c r="DO114" s="85"/>
      <c r="DP114" s="46">
        <f t="shared" si="74"/>
        <v>0</v>
      </c>
      <c r="DQ114" s="85"/>
      <c r="DR114" s="46">
        <f t="shared" si="87"/>
        <v>0</v>
      </c>
      <c r="DS114" s="49"/>
      <c r="DT114" s="46">
        <f t="shared" si="92"/>
        <v>0</v>
      </c>
      <c r="DU114" s="42"/>
      <c r="DV114" s="46"/>
      <c r="DW114" s="42"/>
      <c r="DX114" s="47">
        <f t="shared" si="65"/>
        <v>0</v>
      </c>
      <c r="DY114" s="46"/>
      <c r="DZ114" s="46"/>
      <c r="EA114" s="46"/>
      <c r="EB114" s="46"/>
      <c r="EC114" s="46"/>
      <c r="ED114" s="46"/>
      <c r="EE114" s="47">
        <f t="shared" si="71"/>
        <v>0</v>
      </c>
      <c r="EF114" s="46"/>
      <c r="EG114" s="46"/>
      <c r="EH114" s="46"/>
      <c r="EI114" s="46"/>
      <c r="EJ114" s="46"/>
      <c r="EK114" s="47">
        <f t="shared" si="88"/>
        <v>0</v>
      </c>
      <c r="EL114" s="46">
        <f t="shared" si="89"/>
        <v>0</v>
      </c>
      <c r="EM114" s="46"/>
      <c r="EN114" s="46">
        <f t="shared" si="90"/>
        <v>0</v>
      </c>
    </row>
    <row r="115" spans="1:145" s="48" customFormat="1" ht="15" customHeight="1" x14ac:dyDescent="0.25">
      <c r="B115" s="41">
        <v>16</v>
      </c>
      <c r="C115" s="42"/>
      <c r="D115" s="43"/>
      <c r="E115" s="42"/>
      <c r="F115" s="42"/>
      <c r="G115" s="42"/>
      <c r="H115" s="42"/>
      <c r="I115" s="42"/>
      <c r="J115" s="42"/>
      <c r="K115" s="42"/>
      <c r="L115" s="42"/>
      <c r="M115" s="42"/>
      <c r="N115" s="41"/>
      <c r="O115" s="41"/>
      <c r="P115" s="42"/>
      <c r="Q115" s="45"/>
      <c r="R115" s="45"/>
      <c r="S115" s="42"/>
      <c r="T115" s="46"/>
      <c r="U115" s="46"/>
      <c r="V115" s="42"/>
      <c r="W115" s="42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7">
        <f t="shared" si="54"/>
        <v>0</v>
      </c>
      <c r="AO115" s="47">
        <f t="shared" si="55"/>
        <v>0</v>
      </c>
      <c r="AP115" s="46" t="s">
        <v>98</v>
      </c>
      <c r="AQ115" s="46">
        <f t="shared" si="93"/>
        <v>0</v>
      </c>
      <c r="AR115" s="46"/>
      <c r="AS115" s="46"/>
      <c r="AT115" s="46"/>
      <c r="AU115" s="47">
        <f t="shared" si="75"/>
        <v>0</v>
      </c>
      <c r="AV115" s="46"/>
      <c r="AW115" s="47">
        <f t="shared" si="76"/>
        <v>0</v>
      </c>
      <c r="AX115" s="46"/>
      <c r="AY115" s="46"/>
      <c r="AZ115" s="46"/>
      <c r="BA115" s="46"/>
      <c r="BB115" s="46"/>
      <c r="BC115" s="47">
        <f t="shared" si="77"/>
        <v>0</v>
      </c>
      <c r="BD115" s="46"/>
      <c r="BE115" s="47">
        <f t="shared" si="94"/>
        <v>0</v>
      </c>
      <c r="BF115" s="46"/>
      <c r="BG115" s="46"/>
      <c r="BH115" s="46"/>
      <c r="BI115" s="46"/>
      <c r="BJ115" s="46"/>
      <c r="BK115" s="46">
        <f t="shared" si="79"/>
        <v>0</v>
      </c>
      <c r="BL115" s="46"/>
      <c r="BM115" s="46">
        <f t="shared" si="80"/>
        <v>0</v>
      </c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>
        <f t="shared" si="81"/>
        <v>0</v>
      </c>
      <c r="CQ115" s="46"/>
      <c r="CR115" s="47">
        <f t="shared" si="82"/>
        <v>0</v>
      </c>
      <c r="CS115" s="46"/>
      <c r="CT115" s="46"/>
      <c r="CU115" s="46"/>
      <c r="CV115" s="46"/>
      <c r="CW115" s="47">
        <f t="shared" si="83"/>
        <v>0</v>
      </c>
      <c r="CX115" s="46"/>
      <c r="CY115" s="47">
        <f t="shared" si="84"/>
        <v>0</v>
      </c>
      <c r="CZ115" s="46"/>
      <c r="DA115" s="46"/>
      <c r="DB115" s="46"/>
      <c r="DC115" s="46"/>
      <c r="DD115" s="47">
        <f t="shared" si="85"/>
        <v>0</v>
      </c>
      <c r="DE115" s="46"/>
      <c r="DF115" s="46">
        <f t="shared" si="91"/>
        <v>0</v>
      </c>
      <c r="DG115" s="46"/>
      <c r="DH115" s="46">
        <f t="shared" si="61"/>
        <v>0</v>
      </c>
      <c r="DI115" s="46"/>
      <c r="DJ115" s="46"/>
      <c r="DK115" s="64">
        <f t="shared" si="86"/>
        <v>0</v>
      </c>
      <c r="DL115" s="47">
        <f t="shared" si="63"/>
        <v>0</v>
      </c>
      <c r="DM115" s="46"/>
      <c r="DN115" s="46">
        <f t="shared" si="73"/>
        <v>0</v>
      </c>
      <c r="DO115" s="46"/>
      <c r="DP115" s="46">
        <f t="shared" si="74"/>
        <v>0</v>
      </c>
      <c r="DQ115" s="46"/>
      <c r="DR115" s="46">
        <f t="shared" si="87"/>
        <v>0</v>
      </c>
      <c r="DS115" s="46"/>
      <c r="DT115" s="46">
        <f t="shared" si="92"/>
        <v>0</v>
      </c>
      <c r="DU115" s="46"/>
      <c r="DV115" s="46"/>
      <c r="DW115" s="46"/>
      <c r="DX115" s="47">
        <f t="shared" si="65"/>
        <v>0</v>
      </c>
      <c r="DY115" s="46"/>
      <c r="DZ115" s="46"/>
      <c r="EA115" s="46"/>
      <c r="EB115" s="46"/>
      <c r="EC115" s="46"/>
      <c r="ED115" s="46"/>
      <c r="EE115" s="47">
        <f t="shared" si="71"/>
        <v>0</v>
      </c>
      <c r="EF115" s="46"/>
      <c r="EG115" s="46"/>
      <c r="EH115" s="46"/>
      <c r="EI115" s="46"/>
      <c r="EJ115" s="46"/>
      <c r="EK115" s="47">
        <f t="shared" si="88"/>
        <v>0</v>
      </c>
      <c r="EL115" s="46">
        <f t="shared" si="89"/>
        <v>0</v>
      </c>
      <c r="EM115" s="46"/>
      <c r="EN115" s="46">
        <f t="shared" si="90"/>
        <v>0</v>
      </c>
    </row>
    <row r="116" spans="1:145" s="48" customFormat="1" x14ac:dyDescent="0.25">
      <c r="A116" s="58"/>
      <c r="B116" s="41">
        <v>17</v>
      </c>
      <c r="C116" s="49"/>
      <c r="D116" s="59"/>
      <c r="E116" s="42"/>
      <c r="F116" s="49"/>
      <c r="G116" s="49"/>
      <c r="H116" s="49"/>
      <c r="I116" s="49"/>
      <c r="J116" s="49"/>
      <c r="K116" s="49"/>
      <c r="L116" s="49"/>
      <c r="M116" s="42"/>
      <c r="N116" s="41"/>
      <c r="O116" s="41"/>
      <c r="P116" s="42"/>
      <c r="Q116" s="45"/>
      <c r="R116" s="45"/>
      <c r="S116" s="42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7">
        <f t="shared" si="54"/>
        <v>0</v>
      </c>
      <c r="AO116" s="46">
        <f t="shared" si="55"/>
        <v>0</v>
      </c>
      <c r="AP116" s="46" t="s">
        <v>98</v>
      </c>
      <c r="AQ116" s="46">
        <f t="shared" si="93"/>
        <v>0</v>
      </c>
      <c r="AR116" s="46"/>
      <c r="AS116" s="46"/>
      <c r="AT116" s="46"/>
      <c r="AU116" s="47">
        <f t="shared" si="75"/>
        <v>0</v>
      </c>
      <c r="AV116" s="46"/>
      <c r="AW116" s="47">
        <f t="shared" si="76"/>
        <v>0</v>
      </c>
      <c r="AX116" s="46"/>
      <c r="AY116" s="46"/>
      <c r="AZ116" s="46"/>
      <c r="BA116" s="46"/>
      <c r="BB116" s="46"/>
      <c r="BC116" s="47">
        <f t="shared" si="77"/>
        <v>0</v>
      </c>
      <c r="BD116" s="46"/>
      <c r="BE116" s="47">
        <f t="shared" si="94"/>
        <v>0</v>
      </c>
      <c r="BF116" s="46"/>
      <c r="BG116" s="46"/>
      <c r="BH116" s="46"/>
      <c r="BI116" s="46"/>
      <c r="BJ116" s="46"/>
      <c r="BK116" s="46"/>
      <c r="BL116" s="46"/>
      <c r="BM116" s="47">
        <f>+BG116+BH116+BK116+BL116</f>
        <v>0</v>
      </c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7">
        <f t="shared" si="82"/>
        <v>0</v>
      </c>
      <c r="CS116" s="46"/>
      <c r="CT116" s="46"/>
      <c r="CU116" s="46"/>
      <c r="CV116" s="46"/>
      <c r="CW116" s="47">
        <f t="shared" si="83"/>
        <v>0</v>
      </c>
      <c r="CX116" s="46"/>
      <c r="CY116" s="47">
        <f t="shared" si="84"/>
        <v>0</v>
      </c>
      <c r="CZ116" s="46"/>
      <c r="DA116" s="46"/>
      <c r="DB116" s="46"/>
      <c r="DC116" s="46"/>
      <c r="DD116" s="47"/>
      <c r="DE116" s="46"/>
      <c r="DF116" s="46">
        <f t="shared" si="91"/>
        <v>0</v>
      </c>
      <c r="DG116" s="46"/>
      <c r="DH116" s="46">
        <f t="shared" si="61"/>
        <v>0</v>
      </c>
      <c r="DI116" s="46"/>
      <c r="DJ116" s="46"/>
      <c r="DK116" s="47">
        <f t="shared" si="86"/>
        <v>0</v>
      </c>
      <c r="DL116" s="47">
        <f t="shared" si="63"/>
        <v>0</v>
      </c>
      <c r="DM116" s="46"/>
      <c r="DN116" s="46">
        <f>7%*AQ116</f>
        <v>0</v>
      </c>
      <c r="DO116" s="46"/>
      <c r="DP116" s="46">
        <f t="shared" si="74"/>
        <v>0</v>
      </c>
      <c r="DQ116" s="46"/>
      <c r="DR116" s="46">
        <f t="shared" si="87"/>
        <v>0</v>
      </c>
      <c r="DS116" s="46"/>
      <c r="DT116" s="46">
        <f>75%*DP116</f>
        <v>0</v>
      </c>
      <c r="DU116" s="46"/>
      <c r="DV116" s="46"/>
      <c r="DW116" s="46"/>
      <c r="DX116" s="47">
        <f t="shared" si="65"/>
        <v>0</v>
      </c>
      <c r="DY116" s="46"/>
      <c r="DZ116" s="46"/>
      <c r="EA116" s="46"/>
      <c r="EB116" s="46"/>
      <c r="EC116" s="46"/>
      <c r="ED116" s="46"/>
      <c r="EE116" s="47">
        <f t="shared" si="71"/>
        <v>0</v>
      </c>
      <c r="EF116" s="46"/>
      <c r="EG116" s="46"/>
      <c r="EH116" s="46"/>
      <c r="EI116" s="46"/>
      <c r="EJ116" s="46"/>
      <c r="EK116" s="47">
        <f t="shared" si="88"/>
        <v>0</v>
      </c>
      <c r="EL116" s="46">
        <f t="shared" si="89"/>
        <v>0</v>
      </c>
      <c r="EM116" s="46"/>
      <c r="EN116" s="46">
        <f t="shared" si="90"/>
        <v>0</v>
      </c>
    </row>
    <row r="117" spans="1:145" s="48" customFormat="1" ht="15" customHeight="1" x14ac:dyDescent="0.25">
      <c r="B117" s="41">
        <v>18</v>
      </c>
      <c r="C117" s="42"/>
      <c r="D117" s="43"/>
      <c r="E117" s="42"/>
      <c r="F117" s="42"/>
      <c r="G117" s="42"/>
      <c r="H117" s="42"/>
      <c r="I117" s="42"/>
      <c r="J117" s="42"/>
      <c r="K117" s="42"/>
      <c r="L117" s="42"/>
      <c r="M117" s="42"/>
      <c r="N117" s="41"/>
      <c r="O117" s="41"/>
      <c r="P117" s="42"/>
      <c r="Q117" s="45"/>
      <c r="R117" s="45"/>
      <c r="S117" s="42"/>
      <c r="T117" s="46"/>
      <c r="U117" s="46"/>
      <c r="V117" s="42"/>
      <c r="W117" s="42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7">
        <f t="shared" si="54"/>
        <v>0</v>
      </c>
      <c r="AO117" s="47">
        <f t="shared" si="55"/>
        <v>0</v>
      </c>
      <c r="AP117" s="46" t="s">
        <v>98</v>
      </c>
      <c r="AQ117" s="71">
        <f t="shared" si="93"/>
        <v>0</v>
      </c>
      <c r="AR117" s="46"/>
      <c r="AS117" s="46"/>
      <c r="AT117" s="46"/>
      <c r="AU117" s="47">
        <f t="shared" si="75"/>
        <v>0</v>
      </c>
      <c r="AV117" s="46"/>
      <c r="AW117" s="47">
        <f t="shared" si="76"/>
        <v>0</v>
      </c>
      <c r="AX117" s="46"/>
      <c r="AY117" s="46"/>
      <c r="AZ117" s="46"/>
      <c r="BA117" s="46"/>
      <c r="BB117" s="46"/>
      <c r="BC117" s="47">
        <f t="shared" si="77"/>
        <v>0</v>
      </c>
      <c r="BD117" s="46"/>
      <c r="BE117" s="47">
        <f t="shared" si="94"/>
        <v>0</v>
      </c>
      <c r="BF117" s="46"/>
      <c r="BG117" s="46"/>
      <c r="BH117" s="46"/>
      <c r="BI117" s="46"/>
      <c r="BJ117" s="46"/>
      <c r="BK117" s="46">
        <f t="shared" ref="BK117:BK129" si="95">BI117*BJ117</f>
        <v>0</v>
      </c>
      <c r="BL117" s="46"/>
      <c r="BM117" s="46">
        <f t="shared" ref="BM117:BM129" si="96">BK117</f>
        <v>0</v>
      </c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>
        <f t="shared" ref="CP117:CP129" si="97">CN117*CO117</f>
        <v>0</v>
      </c>
      <c r="CQ117" s="46"/>
      <c r="CR117" s="47">
        <f t="shared" si="82"/>
        <v>0</v>
      </c>
      <c r="CS117" s="46"/>
      <c r="CT117" s="46"/>
      <c r="CU117" s="46"/>
      <c r="CV117" s="46"/>
      <c r="CW117" s="47">
        <f t="shared" si="83"/>
        <v>0</v>
      </c>
      <c r="CX117" s="46"/>
      <c r="CY117" s="47">
        <f t="shared" si="84"/>
        <v>0</v>
      </c>
      <c r="CZ117" s="46"/>
      <c r="DA117" s="46"/>
      <c r="DB117" s="46"/>
      <c r="DC117" s="46"/>
      <c r="DD117" s="47">
        <f>+DB117*DC117</f>
        <v>0</v>
      </c>
      <c r="DE117" s="46"/>
      <c r="DF117" s="46">
        <f t="shared" si="91"/>
        <v>0</v>
      </c>
      <c r="DG117" s="46"/>
      <c r="DH117" s="46">
        <f t="shared" si="61"/>
        <v>0</v>
      </c>
      <c r="DI117" s="46"/>
      <c r="DJ117" s="46"/>
      <c r="DK117" s="64">
        <f t="shared" si="86"/>
        <v>0</v>
      </c>
      <c r="DL117" s="47">
        <f t="shared" si="63"/>
        <v>0</v>
      </c>
      <c r="DM117" s="46"/>
      <c r="DN117" s="46">
        <f t="shared" ref="DN117:DN156" si="98">7.5%*AQ117</f>
        <v>0</v>
      </c>
      <c r="DO117" s="46"/>
      <c r="DP117" s="46">
        <f t="shared" si="74"/>
        <v>0</v>
      </c>
      <c r="DQ117" s="46"/>
      <c r="DR117" s="46">
        <f t="shared" si="87"/>
        <v>0</v>
      </c>
      <c r="DS117" s="46"/>
      <c r="DT117" s="46">
        <f t="shared" ref="DT117:DT153" si="99">75%*DR117</f>
        <v>0</v>
      </c>
      <c r="DU117" s="46"/>
      <c r="DV117" s="46"/>
      <c r="DW117" s="46"/>
      <c r="DX117" s="47">
        <f t="shared" si="65"/>
        <v>0</v>
      </c>
      <c r="DY117" s="46"/>
      <c r="DZ117" s="46"/>
      <c r="EA117" s="46"/>
      <c r="EB117" s="46"/>
      <c r="EC117" s="46"/>
      <c r="ED117" s="46"/>
      <c r="EE117" s="47">
        <f t="shared" si="71"/>
        <v>0</v>
      </c>
      <c r="EF117" s="46"/>
      <c r="EG117" s="46"/>
      <c r="EH117" s="46"/>
      <c r="EI117" s="46"/>
      <c r="EJ117" s="46"/>
      <c r="EK117" s="47">
        <f t="shared" si="88"/>
        <v>0</v>
      </c>
      <c r="EL117" s="46">
        <f t="shared" si="89"/>
        <v>0</v>
      </c>
      <c r="EM117" s="46"/>
      <c r="EN117" s="46">
        <f t="shared" si="90"/>
        <v>0</v>
      </c>
    </row>
    <row r="118" spans="1:145" s="48" customFormat="1" ht="15" customHeight="1" x14ac:dyDescent="0.25">
      <c r="B118" s="41">
        <v>19</v>
      </c>
      <c r="C118" s="42"/>
      <c r="D118" s="43"/>
      <c r="E118" s="42"/>
      <c r="F118" s="42"/>
      <c r="G118" s="42"/>
      <c r="H118" s="42"/>
      <c r="I118" s="42"/>
      <c r="J118" s="42"/>
      <c r="K118" s="42"/>
      <c r="L118" s="42"/>
      <c r="M118" s="42"/>
      <c r="N118" s="41"/>
      <c r="O118" s="41"/>
      <c r="P118" s="42"/>
      <c r="Q118" s="45"/>
      <c r="R118" s="45"/>
      <c r="S118" s="42"/>
      <c r="T118" s="46"/>
      <c r="U118" s="46"/>
      <c r="V118" s="42"/>
      <c r="W118" s="42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>
        <f t="shared" si="54"/>
        <v>0</v>
      </c>
      <c r="AO118" s="47">
        <f t="shared" si="55"/>
        <v>0</v>
      </c>
      <c r="AP118" s="46" t="s">
        <v>98</v>
      </c>
      <c r="AQ118" s="71">
        <f t="shared" si="93"/>
        <v>0</v>
      </c>
      <c r="AR118" s="46"/>
      <c r="AS118" s="46"/>
      <c r="AT118" s="46"/>
      <c r="AU118" s="47">
        <f t="shared" si="75"/>
        <v>0</v>
      </c>
      <c r="AV118" s="46"/>
      <c r="AW118" s="47">
        <f t="shared" si="76"/>
        <v>0</v>
      </c>
      <c r="AX118" s="46"/>
      <c r="AY118" s="46"/>
      <c r="AZ118" s="46"/>
      <c r="BA118" s="46"/>
      <c r="BB118" s="46"/>
      <c r="BC118" s="47">
        <f t="shared" si="77"/>
        <v>0</v>
      </c>
      <c r="BD118" s="46"/>
      <c r="BE118" s="47">
        <f t="shared" si="94"/>
        <v>0</v>
      </c>
      <c r="BF118" s="46"/>
      <c r="BG118" s="46"/>
      <c r="BH118" s="46"/>
      <c r="BI118" s="46"/>
      <c r="BJ118" s="46"/>
      <c r="BK118" s="46">
        <f t="shared" si="95"/>
        <v>0</v>
      </c>
      <c r="BL118" s="46"/>
      <c r="BM118" s="46">
        <f t="shared" si="96"/>
        <v>0</v>
      </c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>
        <f t="shared" si="97"/>
        <v>0</v>
      </c>
      <c r="CQ118" s="46"/>
      <c r="CR118" s="47">
        <f t="shared" si="82"/>
        <v>0</v>
      </c>
      <c r="CS118" s="46"/>
      <c r="CT118" s="46"/>
      <c r="CU118" s="46"/>
      <c r="CV118" s="46"/>
      <c r="CW118" s="47">
        <f t="shared" si="83"/>
        <v>0</v>
      </c>
      <c r="CX118" s="46"/>
      <c r="CY118" s="47">
        <f t="shared" si="84"/>
        <v>0</v>
      </c>
      <c r="CZ118" s="46"/>
      <c r="DA118" s="46"/>
      <c r="DB118" s="46"/>
      <c r="DC118" s="46"/>
      <c r="DD118" s="47">
        <f>+DB118*DC118</f>
        <v>0</v>
      </c>
      <c r="DE118" s="46"/>
      <c r="DF118" s="46">
        <f t="shared" si="91"/>
        <v>0</v>
      </c>
      <c r="DG118" s="46"/>
      <c r="DH118" s="46">
        <f t="shared" si="61"/>
        <v>0</v>
      </c>
      <c r="DI118" s="46"/>
      <c r="DJ118" s="46"/>
      <c r="DK118" s="64">
        <f t="shared" si="86"/>
        <v>0</v>
      </c>
      <c r="DL118" s="47">
        <f t="shared" si="63"/>
        <v>0</v>
      </c>
      <c r="DM118" s="46"/>
      <c r="DN118" s="46">
        <f t="shared" si="98"/>
        <v>0</v>
      </c>
      <c r="DO118" s="46"/>
      <c r="DP118" s="46">
        <f t="shared" si="74"/>
        <v>0</v>
      </c>
      <c r="DQ118" s="46"/>
      <c r="DR118" s="46">
        <f t="shared" si="87"/>
        <v>0</v>
      </c>
      <c r="DS118" s="46"/>
      <c r="DT118" s="46">
        <f t="shared" si="99"/>
        <v>0</v>
      </c>
      <c r="DU118" s="46"/>
      <c r="DV118" s="46"/>
      <c r="DW118" s="46"/>
      <c r="DX118" s="47">
        <f t="shared" si="65"/>
        <v>0</v>
      </c>
      <c r="DY118" s="46"/>
      <c r="DZ118" s="46"/>
      <c r="EA118" s="46"/>
      <c r="EB118" s="46"/>
      <c r="EC118" s="46"/>
      <c r="ED118" s="46"/>
      <c r="EE118" s="47">
        <f t="shared" si="71"/>
        <v>0</v>
      </c>
      <c r="EF118" s="46"/>
      <c r="EG118" s="46"/>
      <c r="EH118" s="46"/>
      <c r="EI118" s="46"/>
      <c r="EJ118" s="46"/>
      <c r="EK118" s="47">
        <f t="shared" si="88"/>
        <v>0</v>
      </c>
      <c r="EL118" s="46">
        <f t="shared" si="89"/>
        <v>0</v>
      </c>
      <c r="EM118" s="46"/>
      <c r="EN118" s="46">
        <f t="shared" si="90"/>
        <v>0</v>
      </c>
    </row>
    <row r="119" spans="1:145" s="48" customFormat="1" ht="15" customHeight="1" x14ac:dyDescent="0.25">
      <c r="B119" s="41">
        <v>20</v>
      </c>
      <c r="C119" s="42"/>
      <c r="D119" s="43"/>
      <c r="E119" s="42"/>
      <c r="F119" s="42"/>
      <c r="G119" s="42"/>
      <c r="H119" s="42"/>
      <c r="I119" s="42"/>
      <c r="J119" s="42"/>
      <c r="K119" s="42"/>
      <c r="L119" s="42"/>
      <c r="M119" s="42"/>
      <c r="N119" s="41"/>
      <c r="O119" s="41"/>
      <c r="P119" s="42"/>
      <c r="Q119" s="45"/>
      <c r="R119" s="45"/>
      <c r="S119" s="42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2"/>
      <c r="AL119" s="42"/>
      <c r="AM119" s="42"/>
      <c r="AN119" s="46">
        <f t="shared" si="54"/>
        <v>0</v>
      </c>
      <c r="AO119" s="47">
        <f t="shared" si="55"/>
        <v>0</v>
      </c>
      <c r="AP119" s="42" t="s">
        <v>98</v>
      </c>
      <c r="AQ119" s="71">
        <f t="shared" si="93"/>
        <v>0</v>
      </c>
      <c r="AR119" s="42"/>
      <c r="AS119" s="42"/>
      <c r="AT119" s="46"/>
      <c r="AU119" s="47">
        <f t="shared" si="75"/>
        <v>0</v>
      </c>
      <c r="AV119" s="46"/>
      <c r="AW119" s="47">
        <f t="shared" si="76"/>
        <v>0</v>
      </c>
      <c r="AX119" s="42"/>
      <c r="AY119" s="42"/>
      <c r="AZ119" s="42"/>
      <c r="BA119" s="42"/>
      <c r="BB119" s="42"/>
      <c r="BC119" s="47">
        <f t="shared" si="77"/>
        <v>0</v>
      </c>
      <c r="BD119" s="42"/>
      <c r="BE119" s="47">
        <f t="shared" si="94"/>
        <v>0</v>
      </c>
      <c r="BF119" s="42"/>
      <c r="BG119" s="42"/>
      <c r="BH119" s="42"/>
      <c r="BI119" s="42"/>
      <c r="BJ119" s="42"/>
      <c r="BK119" s="46">
        <f t="shared" si="95"/>
        <v>0</v>
      </c>
      <c r="BL119" s="42"/>
      <c r="BM119" s="46">
        <f t="shared" si="96"/>
        <v>0</v>
      </c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6">
        <f t="shared" si="97"/>
        <v>0</v>
      </c>
      <c r="CQ119" s="46"/>
      <c r="CR119" s="47">
        <f t="shared" si="82"/>
        <v>0</v>
      </c>
      <c r="CS119" s="46"/>
      <c r="CT119" s="46"/>
      <c r="CU119" s="46"/>
      <c r="CV119" s="46"/>
      <c r="CW119" s="47">
        <f t="shared" si="83"/>
        <v>0</v>
      </c>
      <c r="CX119" s="46"/>
      <c r="CY119" s="47">
        <f t="shared" si="84"/>
        <v>0</v>
      </c>
      <c r="CZ119" s="46"/>
      <c r="DA119" s="46"/>
      <c r="DB119" s="46"/>
      <c r="DC119" s="46"/>
      <c r="DD119" s="47">
        <f>+DB119*DC119</f>
        <v>0</v>
      </c>
      <c r="DE119" s="42"/>
      <c r="DF119" s="46">
        <f t="shared" si="91"/>
        <v>0</v>
      </c>
      <c r="DG119" s="42"/>
      <c r="DH119" s="46">
        <f t="shared" si="61"/>
        <v>0</v>
      </c>
      <c r="DI119" s="46"/>
      <c r="DJ119" s="46"/>
      <c r="DK119" s="47"/>
      <c r="DL119" s="47">
        <f t="shared" si="63"/>
        <v>0</v>
      </c>
      <c r="DM119" s="42"/>
      <c r="DN119" s="46">
        <f t="shared" si="98"/>
        <v>0</v>
      </c>
      <c r="DO119" s="42"/>
      <c r="DP119" s="46">
        <f t="shared" si="74"/>
        <v>0</v>
      </c>
      <c r="DQ119" s="42"/>
      <c r="DR119" s="46">
        <f t="shared" si="87"/>
        <v>0</v>
      </c>
      <c r="DS119" s="42"/>
      <c r="DT119" s="46">
        <f t="shared" si="99"/>
        <v>0</v>
      </c>
      <c r="DU119" s="42"/>
      <c r="DV119" s="46"/>
      <c r="DW119" s="42"/>
      <c r="DX119" s="47">
        <f t="shared" si="65"/>
        <v>0</v>
      </c>
      <c r="DY119" s="46"/>
      <c r="DZ119" s="46"/>
      <c r="EA119" s="46"/>
      <c r="EB119" s="46"/>
      <c r="EC119" s="46"/>
      <c r="ED119" s="46"/>
      <c r="EE119" s="47">
        <f t="shared" si="71"/>
        <v>0</v>
      </c>
      <c r="EF119" s="46"/>
      <c r="EG119" s="46"/>
      <c r="EH119" s="46"/>
      <c r="EI119" s="46"/>
      <c r="EJ119" s="46"/>
      <c r="EK119" s="47">
        <f t="shared" si="88"/>
        <v>0</v>
      </c>
      <c r="EL119" s="46">
        <f t="shared" si="89"/>
        <v>0</v>
      </c>
      <c r="EM119" s="46"/>
      <c r="EN119" s="46">
        <f t="shared" si="90"/>
        <v>0</v>
      </c>
    </row>
    <row r="120" spans="1:145" s="48" customFormat="1" ht="15" customHeight="1" x14ac:dyDescent="0.25">
      <c r="B120" s="41">
        <v>21</v>
      </c>
      <c r="C120" s="42"/>
      <c r="D120" s="43"/>
      <c r="E120" s="42"/>
      <c r="F120" s="42"/>
      <c r="G120" s="42"/>
      <c r="H120" s="42"/>
      <c r="I120" s="42"/>
      <c r="J120" s="42"/>
      <c r="K120" s="42"/>
      <c r="L120" s="42"/>
      <c r="M120" s="42"/>
      <c r="N120" s="41"/>
      <c r="O120" s="41"/>
      <c r="P120" s="42"/>
      <c r="Q120" s="45"/>
      <c r="R120" s="45"/>
      <c r="S120" s="42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2"/>
      <c r="AL120" s="42"/>
      <c r="AM120" s="42"/>
      <c r="AN120" s="46">
        <f t="shared" si="54"/>
        <v>0</v>
      </c>
      <c r="AO120" s="47">
        <f t="shared" si="55"/>
        <v>0</v>
      </c>
      <c r="AP120" s="42" t="s">
        <v>98</v>
      </c>
      <c r="AQ120" s="71">
        <f t="shared" si="93"/>
        <v>0</v>
      </c>
      <c r="AR120" s="42"/>
      <c r="AS120" s="42"/>
      <c r="AT120" s="46"/>
      <c r="AU120" s="47">
        <f t="shared" si="75"/>
        <v>0</v>
      </c>
      <c r="AV120" s="46"/>
      <c r="AW120" s="47">
        <f t="shared" si="76"/>
        <v>0</v>
      </c>
      <c r="AX120" s="42"/>
      <c r="AY120" s="42"/>
      <c r="AZ120" s="42"/>
      <c r="BA120" s="42"/>
      <c r="BB120" s="42"/>
      <c r="BC120" s="47">
        <f t="shared" si="77"/>
        <v>0</v>
      </c>
      <c r="BD120" s="42"/>
      <c r="BE120" s="47">
        <f t="shared" si="94"/>
        <v>0</v>
      </c>
      <c r="BF120" s="42"/>
      <c r="BG120" s="42"/>
      <c r="BH120" s="42"/>
      <c r="BI120" s="42"/>
      <c r="BJ120" s="42"/>
      <c r="BK120" s="46">
        <f t="shared" si="95"/>
        <v>0</v>
      </c>
      <c r="BL120" s="42"/>
      <c r="BM120" s="46">
        <f t="shared" si="96"/>
        <v>0</v>
      </c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6">
        <f t="shared" si="97"/>
        <v>0</v>
      </c>
      <c r="CQ120" s="46"/>
      <c r="CR120" s="47">
        <f t="shared" si="82"/>
        <v>0</v>
      </c>
      <c r="CS120" s="46"/>
      <c r="CT120" s="46"/>
      <c r="CU120" s="46"/>
      <c r="CV120" s="46"/>
      <c r="CW120" s="47">
        <f t="shared" si="83"/>
        <v>0</v>
      </c>
      <c r="CX120" s="46"/>
      <c r="CY120" s="47">
        <f t="shared" si="84"/>
        <v>0</v>
      </c>
      <c r="CZ120" s="46"/>
      <c r="DA120" s="46"/>
      <c r="DB120" s="46"/>
      <c r="DC120" s="46"/>
      <c r="DD120" s="47"/>
      <c r="DE120" s="42"/>
      <c r="DF120" s="46">
        <f t="shared" si="91"/>
        <v>0</v>
      </c>
      <c r="DG120" s="42"/>
      <c r="DH120" s="46">
        <f t="shared" si="61"/>
        <v>0</v>
      </c>
      <c r="DI120" s="46"/>
      <c r="DJ120" s="46"/>
      <c r="DK120" s="47"/>
      <c r="DL120" s="47">
        <f t="shared" si="63"/>
        <v>0</v>
      </c>
      <c r="DM120" s="42"/>
      <c r="DN120" s="46">
        <f t="shared" si="98"/>
        <v>0</v>
      </c>
      <c r="DO120" s="42"/>
      <c r="DP120" s="46">
        <f t="shared" si="74"/>
        <v>0</v>
      </c>
      <c r="DQ120" s="42"/>
      <c r="DR120" s="46">
        <f t="shared" si="87"/>
        <v>0</v>
      </c>
      <c r="DS120" s="42"/>
      <c r="DT120" s="46">
        <f t="shared" si="99"/>
        <v>0</v>
      </c>
      <c r="DU120" s="42"/>
      <c r="DV120" s="46"/>
      <c r="DW120" s="42"/>
      <c r="DX120" s="47">
        <f t="shared" si="65"/>
        <v>0</v>
      </c>
      <c r="DY120" s="46"/>
      <c r="DZ120" s="46"/>
      <c r="EA120" s="46"/>
      <c r="EB120" s="46"/>
      <c r="EC120" s="46"/>
      <c r="ED120" s="46"/>
      <c r="EE120" s="47">
        <f t="shared" si="71"/>
        <v>0</v>
      </c>
      <c r="EF120" s="46"/>
      <c r="EG120" s="46"/>
      <c r="EH120" s="46"/>
      <c r="EI120" s="46"/>
      <c r="EJ120" s="46"/>
      <c r="EK120" s="47">
        <f t="shared" si="88"/>
        <v>0</v>
      </c>
      <c r="EL120" s="46">
        <f t="shared" si="89"/>
        <v>0</v>
      </c>
      <c r="EM120" s="46"/>
      <c r="EN120" s="46">
        <f t="shared" si="90"/>
        <v>0</v>
      </c>
    </row>
    <row r="121" spans="1:145" s="48" customFormat="1" ht="15" customHeight="1" x14ac:dyDescent="0.25">
      <c r="B121" s="41">
        <v>22</v>
      </c>
      <c r="C121" s="42"/>
      <c r="D121" s="43"/>
      <c r="E121" s="42"/>
      <c r="F121" s="42"/>
      <c r="G121" s="42"/>
      <c r="H121" s="42"/>
      <c r="I121" s="42"/>
      <c r="J121" s="42"/>
      <c r="K121" s="42"/>
      <c r="L121" s="42"/>
      <c r="M121" s="42"/>
      <c r="N121" s="41"/>
      <c r="O121" s="41"/>
      <c r="P121" s="42"/>
      <c r="Q121" s="45"/>
      <c r="R121" s="45"/>
      <c r="S121" s="42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2"/>
      <c r="AL121" s="42"/>
      <c r="AM121" s="42"/>
      <c r="AN121" s="46">
        <f t="shared" si="54"/>
        <v>0</v>
      </c>
      <c r="AO121" s="47">
        <f t="shared" si="55"/>
        <v>0</v>
      </c>
      <c r="AP121" s="42" t="s">
        <v>98</v>
      </c>
      <c r="AQ121" s="71">
        <f t="shared" si="93"/>
        <v>0</v>
      </c>
      <c r="AR121" s="42"/>
      <c r="AS121" s="42"/>
      <c r="AT121" s="46"/>
      <c r="AU121" s="47">
        <f t="shared" si="75"/>
        <v>0</v>
      </c>
      <c r="AV121" s="46"/>
      <c r="AW121" s="47">
        <f t="shared" si="76"/>
        <v>0</v>
      </c>
      <c r="AX121" s="42"/>
      <c r="AY121" s="42"/>
      <c r="AZ121" s="42"/>
      <c r="BA121" s="42"/>
      <c r="BB121" s="42"/>
      <c r="BC121" s="47">
        <f t="shared" si="77"/>
        <v>0</v>
      </c>
      <c r="BD121" s="42"/>
      <c r="BE121" s="47">
        <f t="shared" si="94"/>
        <v>0</v>
      </c>
      <c r="BF121" s="42"/>
      <c r="BG121" s="42"/>
      <c r="BH121" s="42"/>
      <c r="BI121" s="42"/>
      <c r="BJ121" s="42"/>
      <c r="BK121" s="46">
        <f t="shared" si="95"/>
        <v>0</v>
      </c>
      <c r="BL121" s="42"/>
      <c r="BM121" s="46">
        <f t="shared" si="96"/>
        <v>0</v>
      </c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6">
        <f t="shared" si="97"/>
        <v>0</v>
      </c>
      <c r="CQ121" s="46"/>
      <c r="CR121" s="47">
        <f t="shared" si="82"/>
        <v>0</v>
      </c>
      <c r="CS121" s="46"/>
      <c r="CT121" s="46"/>
      <c r="CU121" s="46"/>
      <c r="CV121" s="46"/>
      <c r="CW121" s="47">
        <f t="shared" si="83"/>
        <v>0</v>
      </c>
      <c r="CX121" s="46"/>
      <c r="CY121" s="47">
        <f t="shared" si="84"/>
        <v>0</v>
      </c>
      <c r="CZ121" s="46"/>
      <c r="DA121" s="46"/>
      <c r="DB121" s="46"/>
      <c r="DC121" s="46"/>
      <c r="DD121" s="47"/>
      <c r="DE121" s="42"/>
      <c r="DF121" s="46">
        <f t="shared" si="91"/>
        <v>0</v>
      </c>
      <c r="DG121" s="42"/>
      <c r="DH121" s="46">
        <f t="shared" si="61"/>
        <v>0</v>
      </c>
      <c r="DI121" s="46"/>
      <c r="DJ121" s="46"/>
      <c r="DK121" s="47"/>
      <c r="DL121" s="47">
        <f t="shared" si="63"/>
        <v>0</v>
      </c>
      <c r="DM121" s="42"/>
      <c r="DN121" s="46">
        <f t="shared" si="98"/>
        <v>0</v>
      </c>
      <c r="DO121" s="42"/>
      <c r="DP121" s="46">
        <f t="shared" si="74"/>
        <v>0</v>
      </c>
      <c r="DQ121" s="42"/>
      <c r="DR121" s="46">
        <f t="shared" si="87"/>
        <v>0</v>
      </c>
      <c r="DS121" s="42"/>
      <c r="DT121" s="46">
        <f t="shared" si="99"/>
        <v>0</v>
      </c>
      <c r="DU121" s="42"/>
      <c r="DV121" s="46"/>
      <c r="DW121" s="42"/>
      <c r="DX121" s="47">
        <f t="shared" si="65"/>
        <v>0</v>
      </c>
      <c r="DY121" s="46"/>
      <c r="DZ121" s="46"/>
      <c r="EA121" s="46"/>
      <c r="EB121" s="46"/>
      <c r="EC121" s="46"/>
      <c r="ED121" s="46"/>
      <c r="EE121" s="47">
        <f t="shared" si="71"/>
        <v>0</v>
      </c>
      <c r="EF121" s="46"/>
      <c r="EG121" s="46"/>
      <c r="EH121" s="46"/>
      <c r="EI121" s="46"/>
      <c r="EJ121" s="46"/>
      <c r="EK121" s="47">
        <f t="shared" si="88"/>
        <v>0</v>
      </c>
      <c r="EL121" s="46">
        <f t="shared" si="89"/>
        <v>0</v>
      </c>
      <c r="EM121" s="46"/>
      <c r="EN121" s="46">
        <f t="shared" si="90"/>
        <v>0</v>
      </c>
    </row>
    <row r="122" spans="1:145" s="48" customFormat="1" ht="15" customHeight="1" x14ac:dyDescent="0.25">
      <c r="B122" s="41"/>
      <c r="C122" s="81" t="s">
        <v>106</v>
      </c>
      <c r="D122" s="43"/>
      <c r="E122" s="42"/>
      <c r="F122" s="42"/>
      <c r="G122" s="42"/>
      <c r="H122" s="42"/>
      <c r="I122" s="42"/>
      <c r="J122" s="42"/>
      <c r="K122" s="42"/>
      <c r="L122" s="42"/>
      <c r="M122" s="42"/>
      <c r="N122" s="41"/>
      <c r="O122" s="41"/>
      <c r="P122" s="42"/>
      <c r="Q122" s="45"/>
      <c r="R122" s="45"/>
      <c r="S122" s="42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2"/>
      <c r="AL122" s="42"/>
      <c r="AM122" s="42"/>
      <c r="AN122" s="46">
        <f t="shared" si="54"/>
        <v>0</v>
      </c>
      <c r="AO122" s="47">
        <f t="shared" si="55"/>
        <v>0</v>
      </c>
      <c r="AP122" s="42" t="s">
        <v>98</v>
      </c>
      <c r="AQ122" s="71">
        <f t="shared" si="93"/>
        <v>0</v>
      </c>
      <c r="AR122" s="42"/>
      <c r="AS122" s="42"/>
      <c r="AT122" s="46"/>
      <c r="AU122" s="47">
        <f t="shared" si="75"/>
        <v>0</v>
      </c>
      <c r="AV122" s="46"/>
      <c r="AW122" s="47">
        <f t="shared" si="76"/>
        <v>0</v>
      </c>
      <c r="AX122" s="42"/>
      <c r="AY122" s="42"/>
      <c r="AZ122" s="42"/>
      <c r="BA122" s="42"/>
      <c r="BB122" s="42"/>
      <c r="BC122" s="47">
        <f t="shared" si="77"/>
        <v>0</v>
      </c>
      <c r="BD122" s="42"/>
      <c r="BE122" s="47">
        <f t="shared" si="94"/>
        <v>0</v>
      </c>
      <c r="BF122" s="42"/>
      <c r="BG122" s="42"/>
      <c r="BH122" s="42"/>
      <c r="BI122" s="42"/>
      <c r="BJ122" s="42"/>
      <c r="BK122" s="46">
        <f t="shared" si="95"/>
        <v>0</v>
      </c>
      <c r="BL122" s="42"/>
      <c r="BM122" s="46">
        <f t="shared" si="96"/>
        <v>0</v>
      </c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6">
        <f t="shared" si="97"/>
        <v>0</v>
      </c>
      <c r="CQ122" s="46"/>
      <c r="CR122" s="47">
        <f t="shared" si="82"/>
        <v>0</v>
      </c>
      <c r="CS122" s="46"/>
      <c r="CT122" s="46"/>
      <c r="CU122" s="46"/>
      <c r="CV122" s="46"/>
      <c r="CW122" s="47">
        <f t="shared" si="83"/>
        <v>0</v>
      </c>
      <c r="CX122" s="46"/>
      <c r="CY122" s="47">
        <f t="shared" si="84"/>
        <v>0</v>
      </c>
      <c r="CZ122" s="46"/>
      <c r="DA122" s="46"/>
      <c r="DB122" s="46"/>
      <c r="DC122" s="46"/>
      <c r="DD122" s="47"/>
      <c r="DE122" s="42"/>
      <c r="DF122" s="46">
        <f t="shared" si="91"/>
        <v>0</v>
      </c>
      <c r="DG122" s="42"/>
      <c r="DH122" s="46">
        <f t="shared" si="61"/>
        <v>0</v>
      </c>
      <c r="DI122" s="46"/>
      <c r="DJ122" s="46"/>
      <c r="DK122" s="47"/>
      <c r="DL122" s="47">
        <f t="shared" si="63"/>
        <v>0</v>
      </c>
      <c r="DM122" s="42"/>
      <c r="DN122" s="46">
        <f t="shared" si="98"/>
        <v>0</v>
      </c>
      <c r="DO122" s="42"/>
      <c r="DP122" s="46">
        <f t="shared" si="74"/>
        <v>0</v>
      </c>
      <c r="DQ122" s="42"/>
      <c r="DR122" s="46">
        <f t="shared" si="87"/>
        <v>0</v>
      </c>
      <c r="DS122" s="42"/>
      <c r="DT122" s="46">
        <f t="shared" si="99"/>
        <v>0</v>
      </c>
      <c r="DU122" s="42"/>
      <c r="DV122" s="46"/>
      <c r="DW122" s="42"/>
      <c r="DX122" s="47">
        <f t="shared" si="65"/>
        <v>0</v>
      </c>
      <c r="DY122" s="46"/>
      <c r="DZ122" s="46"/>
      <c r="EA122" s="46"/>
      <c r="EB122" s="46"/>
      <c r="EC122" s="46"/>
      <c r="ED122" s="46"/>
      <c r="EE122" s="47">
        <f t="shared" si="71"/>
        <v>0</v>
      </c>
      <c r="EF122" s="46"/>
      <c r="EG122" s="46"/>
      <c r="EH122" s="46"/>
      <c r="EI122" s="46"/>
      <c r="EJ122" s="46"/>
      <c r="EK122" s="47">
        <f t="shared" si="88"/>
        <v>0</v>
      </c>
      <c r="EL122" s="46">
        <f t="shared" si="89"/>
        <v>0</v>
      </c>
      <c r="EM122" s="46"/>
      <c r="EN122" s="46">
        <f t="shared" si="90"/>
        <v>0</v>
      </c>
    </row>
    <row r="123" spans="1:145" s="48" customFormat="1" ht="15" customHeight="1" x14ac:dyDescent="0.25">
      <c r="B123" s="41">
        <v>1</v>
      </c>
      <c r="C123" s="42"/>
      <c r="D123" s="43"/>
      <c r="E123" s="42"/>
      <c r="F123" s="42"/>
      <c r="G123" s="42"/>
      <c r="H123" s="42"/>
      <c r="I123" s="42"/>
      <c r="J123" s="42"/>
      <c r="K123" s="42"/>
      <c r="L123" s="42"/>
      <c r="M123" s="42"/>
      <c r="N123" s="41"/>
      <c r="O123" s="41"/>
      <c r="P123" s="42"/>
      <c r="Q123" s="45"/>
      <c r="R123" s="45"/>
      <c r="S123" s="42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2"/>
      <c r="AL123" s="42"/>
      <c r="AM123" s="42"/>
      <c r="AN123" s="46">
        <f t="shared" si="54"/>
        <v>0</v>
      </c>
      <c r="AO123" s="47">
        <f t="shared" si="55"/>
        <v>0</v>
      </c>
      <c r="AP123" s="42" t="s">
        <v>98</v>
      </c>
      <c r="AQ123" s="71">
        <f t="shared" si="93"/>
        <v>0</v>
      </c>
      <c r="AR123" s="42"/>
      <c r="AS123" s="42"/>
      <c r="AT123" s="46"/>
      <c r="AU123" s="47">
        <f t="shared" si="75"/>
        <v>0</v>
      </c>
      <c r="AV123" s="46"/>
      <c r="AW123" s="47">
        <f t="shared" si="76"/>
        <v>0</v>
      </c>
      <c r="AX123" s="42"/>
      <c r="AY123" s="42"/>
      <c r="AZ123" s="42"/>
      <c r="BA123" s="42"/>
      <c r="BB123" s="42"/>
      <c r="BC123" s="47">
        <f t="shared" si="77"/>
        <v>0</v>
      </c>
      <c r="BD123" s="42"/>
      <c r="BE123" s="47">
        <f t="shared" si="94"/>
        <v>0</v>
      </c>
      <c r="BF123" s="42"/>
      <c r="BG123" s="42"/>
      <c r="BH123" s="42"/>
      <c r="BI123" s="42"/>
      <c r="BJ123" s="42"/>
      <c r="BK123" s="46">
        <f t="shared" si="95"/>
        <v>0</v>
      </c>
      <c r="BL123" s="42"/>
      <c r="BM123" s="46">
        <f t="shared" si="96"/>
        <v>0</v>
      </c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6">
        <f t="shared" si="97"/>
        <v>0</v>
      </c>
      <c r="CQ123" s="46"/>
      <c r="CR123" s="47">
        <f t="shared" si="82"/>
        <v>0</v>
      </c>
      <c r="CS123" s="46"/>
      <c r="CT123" s="46"/>
      <c r="CU123" s="46"/>
      <c r="CV123" s="46"/>
      <c r="CW123" s="47">
        <f t="shared" si="83"/>
        <v>0</v>
      </c>
      <c r="CX123" s="46"/>
      <c r="CY123" s="47">
        <f t="shared" si="84"/>
        <v>0</v>
      </c>
      <c r="CZ123" s="46"/>
      <c r="DA123" s="46"/>
      <c r="DB123" s="46"/>
      <c r="DC123" s="46"/>
      <c r="DD123" s="47"/>
      <c r="DE123" s="42"/>
      <c r="DF123" s="46">
        <f t="shared" si="91"/>
        <v>0</v>
      </c>
      <c r="DG123" s="42"/>
      <c r="DH123" s="46">
        <f t="shared" si="61"/>
        <v>0</v>
      </c>
      <c r="DI123" s="46"/>
      <c r="DJ123" s="46"/>
      <c r="DK123" s="47"/>
      <c r="DL123" s="47">
        <f t="shared" si="63"/>
        <v>0</v>
      </c>
      <c r="DM123" s="42"/>
      <c r="DN123" s="46">
        <f t="shared" si="98"/>
        <v>0</v>
      </c>
      <c r="DO123" s="42"/>
      <c r="DP123" s="46">
        <f t="shared" si="74"/>
        <v>0</v>
      </c>
      <c r="DQ123" s="42"/>
      <c r="DR123" s="46">
        <f t="shared" si="87"/>
        <v>0</v>
      </c>
      <c r="DS123" s="42"/>
      <c r="DT123" s="46">
        <f t="shared" si="99"/>
        <v>0</v>
      </c>
      <c r="DU123" s="42"/>
      <c r="DV123" s="46"/>
      <c r="DW123" s="42"/>
      <c r="DX123" s="47">
        <f t="shared" si="65"/>
        <v>0</v>
      </c>
      <c r="DY123" s="46"/>
      <c r="DZ123" s="46"/>
      <c r="EA123" s="46"/>
      <c r="EB123" s="46"/>
      <c r="EC123" s="46"/>
      <c r="ED123" s="46"/>
      <c r="EE123" s="47">
        <f t="shared" si="71"/>
        <v>0</v>
      </c>
      <c r="EF123" s="46"/>
      <c r="EG123" s="46"/>
      <c r="EH123" s="46"/>
      <c r="EI123" s="46"/>
      <c r="EJ123" s="46"/>
      <c r="EK123" s="47">
        <f t="shared" si="88"/>
        <v>0</v>
      </c>
      <c r="EL123" s="46">
        <f t="shared" si="89"/>
        <v>0</v>
      </c>
      <c r="EM123" s="46"/>
      <c r="EN123" s="46">
        <f t="shared" si="90"/>
        <v>0</v>
      </c>
    </row>
    <row r="124" spans="1:145" s="48" customFormat="1" ht="15" customHeight="1" x14ac:dyDescent="0.25">
      <c r="B124" s="41"/>
      <c r="C124" s="42"/>
      <c r="D124" s="43"/>
      <c r="E124" s="42"/>
      <c r="F124" s="42"/>
      <c r="G124" s="42"/>
      <c r="H124" s="42"/>
      <c r="I124" s="42"/>
      <c r="J124" s="42"/>
      <c r="K124" s="42"/>
      <c r="L124" s="42"/>
      <c r="M124" s="42"/>
      <c r="N124" s="41"/>
      <c r="O124" s="41"/>
      <c r="P124" s="42"/>
      <c r="Q124" s="45"/>
      <c r="R124" s="45"/>
      <c r="S124" s="42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2"/>
      <c r="AL124" s="42"/>
      <c r="AM124" s="42"/>
      <c r="AN124" s="46">
        <f t="shared" si="54"/>
        <v>0</v>
      </c>
      <c r="AO124" s="47">
        <f t="shared" si="55"/>
        <v>0</v>
      </c>
      <c r="AP124" s="42" t="s">
        <v>98</v>
      </c>
      <c r="AQ124" s="71">
        <f t="shared" si="93"/>
        <v>0</v>
      </c>
      <c r="AR124" s="42"/>
      <c r="AS124" s="42"/>
      <c r="AT124" s="46"/>
      <c r="AU124" s="47">
        <f t="shared" si="75"/>
        <v>0</v>
      </c>
      <c r="AV124" s="46"/>
      <c r="AW124" s="47">
        <f t="shared" si="76"/>
        <v>0</v>
      </c>
      <c r="AX124" s="42"/>
      <c r="AY124" s="42"/>
      <c r="AZ124" s="42"/>
      <c r="BA124" s="42"/>
      <c r="BB124" s="42"/>
      <c r="BC124" s="47">
        <f t="shared" si="77"/>
        <v>0</v>
      </c>
      <c r="BD124" s="42"/>
      <c r="BE124" s="47">
        <f t="shared" si="94"/>
        <v>0</v>
      </c>
      <c r="BF124" s="42"/>
      <c r="BG124" s="42"/>
      <c r="BH124" s="42"/>
      <c r="BI124" s="42"/>
      <c r="BJ124" s="42"/>
      <c r="BK124" s="46">
        <f t="shared" si="95"/>
        <v>0</v>
      </c>
      <c r="BL124" s="42"/>
      <c r="BM124" s="46">
        <f t="shared" si="96"/>
        <v>0</v>
      </c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6">
        <f t="shared" si="97"/>
        <v>0</v>
      </c>
      <c r="CQ124" s="46"/>
      <c r="CR124" s="47">
        <f t="shared" si="82"/>
        <v>0</v>
      </c>
      <c r="CS124" s="46"/>
      <c r="CT124" s="46"/>
      <c r="CU124" s="46"/>
      <c r="CV124" s="46"/>
      <c r="CW124" s="47">
        <f t="shared" si="83"/>
        <v>0</v>
      </c>
      <c r="CX124" s="46"/>
      <c r="CY124" s="47">
        <f t="shared" si="84"/>
        <v>0</v>
      </c>
      <c r="CZ124" s="46"/>
      <c r="DA124" s="46"/>
      <c r="DB124" s="46"/>
      <c r="DC124" s="46"/>
      <c r="DD124" s="47"/>
      <c r="DE124" s="42"/>
      <c r="DF124" s="46">
        <f t="shared" si="91"/>
        <v>0</v>
      </c>
      <c r="DG124" s="42"/>
      <c r="DH124" s="46">
        <f t="shared" si="61"/>
        <v>0</v>
      </c>
      <c r="DI124" s="46"/>
      <c r="DJ124" s="46"/>
      <c r="DK124" s="47"/>
      <c r="DL124" s="47">
        <f t="shared" si="63"/>
        <v>0</v>
      </c>
      <c r="DM124" s="42"/>
      <c r="DN124" s="46">
        <f t="shared" si="98"/>
        <v>0</v>
      </c>
      <c r="DO124" s="42"/>
      <c r="DP124" s="46">
        <f t="shared" si="74"/>
        <v>0</v>
      </c>
      <c r="DQ124" s="42"/>
      <c r="DR124" s="46">
        <f t="shared" si="87"/>
        <v>0</v>
      </c>
      <c r="DS124" s="42"/>
      <c r="DT124" s="46">
        <f t="shared" si="99"/>
        <v>0</v>
      </c>
      <c r="DU124" s="42"/>
      <c r="DV124" s="46"/>
      <c r="DW124" s="42"/>
      <c r="DX124" s="47">
        <f t="shared" si="65"/>
        <v>0</v>
      </c>
      <c r="DY124" s="46"/>
      <c r="DZ124" s="46"/>
      <c r="EA124" s="46"/>
      <c r="EB124" s="46"/>
      <c r="EC124" s="46"/>
      <c r="ED124" s="46"/>
      <c r="EE124" s="47">
        <f t="shared" si="71"/>
        <v>0</v>
      </c>
      <c r="EF124" s="46"/>
      <c r="EG124" s="46"/>
      <c r="EH124" s="46"/>
      <c r="EI124" s="46"/>
      <c r="EJ124" s="46"/>
      <c r="EK124" s="47">
        <f t="shared" si="88"/>
        <v>0</v>
      </c>
      <c r="EL124" s="46">
        <f t="shared" si="89"/>
        <v>0</v>
      </c>
      <c r="EM124" s="46"/>
      <c r="EN124" s="46">
        <f t="shared" si="90"/>
        <v>0</v>
      </c>
    </row>
    <row r="125" spans="1:145" s="48" customFormat="1" ht="15" customHeight="1" x14ac:dyDescent="0.25">
      <c r="B125" s="41"/>
      <c r="C125" s="81" t="s">
        <v>107</v>
      </c>
      <c r="D125" s="43"/>
      <c r="E125" s="42"/>
      <c r="F125" s="42"/>
      <c r="G125" s="42"/>
      <c r="H125" s="42"/>
      <c r="I125" s="42"/>
      <c r="J125" s="42"/>
      <c r="K125" s="42"/>
      <c r="L125" s="42"/>
      <c r="M125" s="42"/>
      <c r="N125" s="41"/>
      <c r="O125" s="41"/>
      <c r="P125" s="42"/>
      <c r="Q125" s="45"/>
      <c r="R125" s="45"/>
      <c r="S125" s="42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2"/>
      <c r="AL125" s="42"/>
      <c r="AM125" s="42"/>
      <c r="AN125" s="46">
        <f t="shared" si="54"/>
        <v>0</v>
      </c>
      <c r="AO125" s="47">
        <f t="shared" si="55"/>
        <v>0</v>
      </c>
      <c r="AP125" s="42" t="s">
        <v>98</v>
      </c>
      <c r="AQ125" s="71">
        <f t="shared" si="93"/>
        <v>0</v>
      </c>
      <c r="AR125" s="42"/>
      <c r="AS125" s="42"/>
      <c r="AT125" s="46"/>
      <c r="AU125" s="47">
        <f t="shared" si="75"/>
        <v>0</v>
      </c>
      <c r="AV125" s="46"/>
      <c r="AW125" s="47">
        <f t="shared" si="76"/>
        <v>0</v>
      </c>
      <c r="AX125" s="42"/>
      <c r="AY125" s="42"/>
      <c r="AZ125" s="42"/>
      <c r="BA125" s="42"/>
      <c r="BB125" s="42"/>
      <c r="BC125" s="47">
        <f t="shared" si="77"/>
        <v>0</v>
      </c>
      <c r="BD125" s="42"/>
      <c r="BE125" s="47">
        <f t="shared" si="94"/>
        <v>0</v>
      </c>
      <c r="BF125" s="42"/>
      <c r="BG125" s="42"/>
      <c r="BH125" s="42"/>
      <c r="BI125" s="42"/>
      <c r="BJ125" s="42"/>
      <c r="BK125" s="46">
        <f t="shared" si="95"/>
        <v>0</v>
      </c>
      <c r="BL125" s="42"/>
      <c r="BM125" s="46">
        <f t="shared" si="96"/>
        <v>0</v>
      </c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6">
        <f t="shared" si="97"/>
        <v>0</v>
      </c>
      <c r="CQ125" s="46"/>
      <c r="CR125" s="47">
        <f t="shared" si="82"/>
        <v>0</v>
      </c>
      <c r="CS125" s="46"/>
      <c r="CT125" s="46"/>
      <c r="CU125" s="46"/>
      <c r="CV125" s="46"/>
      <c r="CW125" s="47">
        <f t="shared" si="83"/>
        <v>0</v>
      </c>
      <c r="CX125" s="46"/>
      <c r="CY125" s="47">
        <f t="shared" si="84"/>
        <v>0</v>
      </c>
      <c r="CZ125" s="46"/>
      <c r="DA125" s="46"/>
      <c r="DB125" s="46"/>
      <c r="DC125" s="46"/>
      <c r="DD125" s="47"/>
      <c r="DE125" s="42"/>
      <c r="DF125" s="46">
        <f t="shared" si="91"/>
        <v>0</v>
      </c>
      <c r="DG125" s="42"/>
      <c r="DH125" s="46">
        <f t="shared" si="61"/>
        <v>0</v>
      </c>
      <c r="DI125" s="46"/>
      <c r="DJ125" s="46"/>
      <c r="DK125" s="47"/>
      <c r="DL125" s="47">
        <f t="shared" si="63"/>
        <v>0</v>
      </c>
      <c r="DM125" s="42"/>
      <c r="DN125" s="46">
        <f t="shared" si="98"/>
        <v>0</v>
      </c>
      <c r="DO125" s="42"/>
      <c r="DP125" s="46">
        <f t="shared" si="74"/>
        <v>0</v>
      </c>
      <c r="DQ125" s="42"/>
      <c r="DR125" s="46">
        <f t="shared" si="87"/>
        <v>0</v>
      </c>
      <c r="DS125" s="42"/>
      <c r="DT125" s="46">
        <f t="shared" si="99"/>
        <v>0</v>
      </c>
      <c r="DU125" s="42"/>
      <c r="DV125" s="46"/>
      <c r="DW125" s="42"/>
      <c r="DX125" s="47">
        <f t="shared" si="65"/>
        <v>0</v>
      </c>
      <c r="DY125" s="46"/>
      <c r="DZ125" s="46"/>
      <c r="EA125" s="46"/>
      <c r="EB125" s="46"/>
      <c r="EC125" s="46"/>
      <c r="ED125" s="46"/>
      <c r="EE125" s="47">
        <f t="shared" si="71"/>
        <v>0</v>
      </c>
      <c r="EF125" s="46"/>
      <c r="EG125" s="46"/>
      <c r="EH125" s="46"/>
      <c r="EI125" s="46"/>
      <c r="EJ125" s="46"/>
      <c r="EK125" s="47">
        <f t="shared" si="88"/>
        <v>0</v>
      </c>
      <c r="EL125" s="46">
        <f t="shared" si="89"/>
        <v>0</v>
      </c>
      <c r="EM125" s="46"/>
      <c r="EN125" s="46">
        <f t="shared" si="90"/>
        <v>0</v>
      </c>
    </row>
    <row r="126" spans="1:145" s="48" customFormat="1" ht="15" customHeight="1" x14ac:dyDescent="0.25">
      <c r="B126" s="41">
        <v>1</v>
      </c>
      <c r="C126" s="42"/>
      <c r="D126" s="43"/>
      <c r="E126" s="42"/>
      <c r="F126" s="42"/>
      <c r="G126" s="42"/>
      <c r="H126" s="42"/>
      <c r="I126" s="42"/>
      <c r="J126" s="42"/>
      <c r="K126" s="42"/>
      <c r="L126" s="42"/>
      <c r="M126" s="42"/>
      <c r="N126" s="93"/>
      <c r="O126" s="41"/>
      <c r="P126" s="42"/>
      <c r="Q126" s="45"/>
      <c r="R126" s="45"/>
      <c r="S126" s="42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2"/>
      <c r="AL126" s="42"/>
      <c r="AM126" s="42"/>
      <c r="AN126" s="46">
        <f t="shared" si="54"/>
        <v>0</v>
      </c>
      <c r="AO126" s="47">
        <f t="shared" si="55"/>
        <v>0</v>
      </c>
      <c r="AP126" s="42" t="s">
        <v>102</v>
      </c>
      <c r="AQ126" s="46"/>
      <c r="AR126" s="42"/>
      <c r="AS126" s="42"/>
      <c r="AT126" s="46"/>
      <c r="AU126" s="47">
        <f t="shared" si="75"/>
        <v>0</v>
      </c>
      <c r="AV126" s="46"/>
      <c r="AW126" s="47">
        <f t="shared" si="76"/>
        <v>0</v>
      </c>
      <c r="AX126" s="42"/>
      <c r="AY126" s="42"/>
      <c r="AZ126" s="42"/>
      <c r="BA126" s="42"/>
      <c r="BB126" s="42"/>
      <c r="BC126" s="47">
        <f t="shared" si="77"/>
        <v>0</v>
      </c>
      <c r="BD126" s="42"/>
      <c r="BE126" s="47">
        <f t="shared" si="94"/>
        <v>0</v>
      </c>
      <c r="BF126" s="42"/>
      <c r="BG126" s="42"/>
      <c r="BH126" s="42"/>
      <c r="BI126" s="42"/>
      <c r="BJ126" s="42"/>
      <c r="BK126" s="46">
        <f t="shared" si="95"/>
        <v>0</v>
      </c>
      <c r="BL126" s="42"/>
      <c r="BM126" s="46">
        <f t="shared" si="96"/>
        <v>0</v>
      </c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6">
        <f t="shared" si="97"/>
        <v>0</v>
      </c>
      <c r="CQ126" s="46"/>
      <c r="CR126" s="47">
        <f t="shared" si="82"/>
        <v>0</v>
      </c>
      <c r="CS126" s="46"/>
      <c r="CT126" s="46"/>
      <c r="CU126" s="46"/>
      <c r="CV126" s="46"/>
      <c r="CW126" s="47">
        <f t="shared" si="83"/>
        <v>0</v>
      </c>
      <c r="CX126" s="46"/>
      <c r="CY126" s="47">
        <f t="shared" si="84"/>
        <v>0</v>
      </c>
      <c r="CZ126" s="46"/>
      <c r="DA126" s="46"/>
      <c r="DB126" s="46"/>
      <c r="DC126" s="46"/>
      <c r="DD126" s="47"/>
      <c r="DE126" s="42"/>
      <c r="DF126" s="46">
        <f t="shared" si="91"/>
        <v>0</v>
      </c>
      <c r="DG126" s="42"/>
      <c r="DH126" s="46">
        <f t="shared" si="61"/>
        <v>0</v>
      </c>
      <c r="DI126" s="46"/>
      <c r="DJ126" s="46"/>
      <c r="DK126" s="47">
        <f>DI126*DJ126</f>
        <v>0</v>
      </c>
      <c r="DL126" s="47">
        <f t="shared" si="63"/>
        <v>0</v>
      </c>
      <c r="DM126" s="42"/>
      <c r="DN126" s="46">
        <f t="shared" si="98"/>
        <v>0</v>
      </c>
      <c r="DO126" s="42"/>
      <c r="DP126" s="46">
        <f t="shared" si="74"/>
        <v>0</v>
      </c>
      <c r="DQ126" s="42"/>
      <c r="DR126" s="46">
        <f t="shared" si="87"/>
        <v>0</v>
      </c>
      <c r="DS126" s="42"/>
      <c r="DT126" s="46">
        <f t="shared" si="99"/>
        <v>0</v>
      </c>
      <c r="DU126" s="42"/>
      <c r="DV126" s="46"/>
      <c r="DW126" s="42"/>
      <c r="DX126" s="47">
        <f t="shared" si="65"/>
        <v>0</v>
      </c>
      <c r="DY126" s="46"/>
      <c r="DZ126" s="46"/>
      <c r="EA126" s="46"/>
      <c r="EB126" s="46"/>
      <c r="EC126" s="46"/>
      <c r="ED126" s="46"/>
      <c r="EE126" s="47">
        <f t="shared" si="71"/>
        <v>0</v>
      </c>
      <c r="EF126" s="46"/>
      <c r="EG126" s="46"/>
      <c r="EH126" s="46"/>
      <c r="EI126" s="46"/>
      <c r="EJ126" s="46"/>
      <c r="EK126" s="47">
        <f t="shared" si="88"/>
        <v>0</v>
      </c>
      <c r="EL126" s="46">
        <f t="shared" si="89"/>
        <v>0</v>
      </c>
      <c r="EM126" s="46"/>
      <c r="EN126" s="46">
        <f t="shared" si="90"/>
        <v>0</v>
      </c>
    </row>
    <row r="127" spans="1:145" s="48" customFormat="1" ht="15" customHeight="1" x14ac:dyDescent="0.25">
      <c r="B127" s="41">
        <v>2</v>
      </c>
      <c r="C127" s="42"/>
      <c r="D127" s="43"/>
      <c r="E127" s="42"/>
      <c r="F127" s="42"/>
      <c r="G127" s="42"/>
      <c r="H127" s="42"/>
      <c r="I127" s="42"/>
      <c r="J127" s="42"/>
      <c r="K127" s="42"/>
      <c r="L127" s="42"/>
      <c r="M127" s="42"/>
      <c r="N127" s="93"/>
      <c r="O127" s="41"/>
      <c r="P127" s="42"/>
      <c r="Q127" s="45"/>
      <c r="R127" s="45"/>
      <c r="S127" s="42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2"/>
      <c r="AL127" s="42"/>
      <c r="AM127" s="42"/>
      <c r="AN127" s="46">
        <f t="shared" si="54"/>
        <v>0</v>
      </c>
      <c r="AO127" s="47">
        <f t="shared" si="55"/>
        <v>0</v>
      </c>
      <c r="AP127" s="42" t="s">
        <v>101</v>
      </c>
      <c r="AQ127" s="46">
        <f>20%*AO127</f>
        <v>0</v>
      </c>
      <c r="AR127" s="42"/>
      <c r="AS127" s="42"/>
      <c r="AT127" s="46"/>
      <c r="AU127" s="47">
        <f t="shared" si="75"/>
        <v>0</v>
      </c>
      <c r="AV127" s="46"/>
      <c r="AW127" s="47">
        <f t="shared" si="76"/>
        <v>0</v>
      </c>
      <c r="AX127" s="42"/>
      <c r="AY127" s="42"/>
      <c r="AZ127" s="42"/>
      <c r="BA127" s="42"/>
      <c r="BB127" s="42"/>
      <c r="BC127" s="47">
        <f t="shared" si="77"/>
        <v>0</v>
      </c>
      <c r="BD127" s="42"/>
      <c r="BE127" s="47">
        <f t="shared" si="94"/>
        <v>0</v>
      </c>
      <c r="BF127" s="42"/>
      <c r="BG127" s="42"/>
      <c r="BH127" s="42"/>
      <c r="BI127" s="42"/>
      <c r="BJ127" s="42"/>
      <c r="BK127" s="46">
        <f t="shared" si="95"/>
        <v>0</v>
      </c>
      <c r="BL127" s="42"/>
      <c r="BM127" s="46">
        <f t="shared" si="96"/>
        <v>0</v>
      </c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6">
        <f t="shared" si="97"/>
        <v>0</v>
      </c>
      <c r="CQ127" s="46"/>
      <c r="CR127" s="47">
        <f t="shared" si="82"/>
        <v>0</v>
      </c>
      <c r="CS127" s="46"/>
      <c r="CT127" s="46"/>
      <c r="CU127" s="46"/>
      <c r="CV127" s="46"/>
      <c r="CW127" s="47">
        <f t="shared" si="83"/>
        <v>0</v>
      </c>
      <c r="CX127" s="46"/>
      <c r="CY127" s="47">
        <f t="shared" si="84"/>
        <v>0</v>
      </c>
      <c r="CZ127" s="46"/>
      <c r="DA127" s="46"/>
      <c r="DB127" s="46"/>
      <c r="DC127" s="46"/>
      <c r="DD127" s="47"/>
      <c r="DE127" s="42"/>
      <c r="DF127" s="46">
        <f t="shared" si="91"/>
        <v>0</v>
      </c>
      <c r="DG127" s="42"/>
      <c r="DH127" s="46">
        <f t="shared" si="61"/>
        <v>0</v>
      </c>
      <c r="DI127" s="46"/>
      <c r="DJ127" s="46"/>
      <c r="DK127" s="47">
        <f>DI127*DJ127</f>
        <v>0</v>
      </c>
      <c r="DL127" s="47">
        <f t="shared" si="63"/>
        <v>0</v>
      </c>
      <c r="DM127" s="42"/>
      <c r="DN127" s="46">
        <f t="shared" si="98"/>
        <v>0</v>
      </c>
      <c r="DO127" s="42"/>
      <c r="DP127" s="46">
        <f t="shared" si="74"/>
        <v>0</v>
      </c>
      <c r="DQ127" s="42"/>
      <c r="DR127" s="46">
        <f t="shared" si="87"/>
        <v>0</v>
      </c>
      <c r="DS127" s="42"/>
      <c r="DT127" s="46">
        <f t="shared" si="99"/>
        <v>0</v>
      </c>
      <c r="DU127" s="42"/>
      <c r="DV127" s="46"/>
      <c r="DW127" s="42"/>
      <c r="DX127" s="47">
        <f t="shared" si="65"/>
        <v>0</v>
      </c>
      <c r="DY127" s="46"/>
      <c r="DZ127" s="46"/>
      <c r="EA127" s="46"/>
      <c r="EB127" s="46"/>
      <c r="EC127" s="46"/>
      <c r="ED127" s="46"/>
      <c r="EE127" s="47">
        <f t="shared" si="71"/>
        <v>0</v>
      </c>
      <c r="EF127" s="46"/>
      <c r="EG127" s="46"/>
      <c r="EH127" s="46"/>
      <c r="EI127" s="46"/>
      <c r="EJ127" s="46"/>
      <c r="EK127" s="47">
        <f t="shared" si="88"/>
        <v>0</v>
      </c>
      <c r="EL127" s="46">
        <f t="shared" si="89"/>
        <v>0</v>
      </c>
      <c r="EM127" s="46"/>
      <c r="EN127" s="46">
        <f t="shared" si="90"/>
        <v>0</v>
      </c>
    </row>
    <row r="128" spans="1:145" s="48" customFormat="1" ht="15" customHeight="1" x14ac:dyDescent="0.25">
      <c r="B128" s="41">
        <v>3</v>
      </c>
      <c r="C128" s="42"/>
      <c r="D128" s="43"/>
      <c r="E128" s="42"/>
      <c r="F128" s="42"/>
      <c r="G128" s="42"/>
      <c r="H128" s="42"/>
      <c r="I128" s="42"/>
      <c r="J128" s="42"/>
      <c r="K128" s="42"/>
      <c r="L128" s="42"/>
      <c r="M128" s="42"/>
      <c r="N128" s="41"/>
      <c r="O128" s="41"/>
      <c r="P128" s="42"/>
      <c r="Q128" s="45"/>
      <c r="R128" s="45"/>
      <c r="S128" s="42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2"/>
      <c r="AL128" s="42"/>
      <c r="AM128" s="42"/>
      <c r="AN128" s="46">
        <f t="shared" si="54"/>
        <v>0</v>
      </c>
      <c r="AO128" s="47">
        <f t="shared" si="55"/>
        <v>0</v>
      </c>
      <c r="AP128" s="42" t="s">
        <v>98</v>
      </c>
      <c r="AQ128" s="46">
        <f>20%*AO128</f>
        <v>0</v>
      </c>
      <c r="AR128" s="42"/>
      <c r="AS128" s="42"/>
      <c r="AT128" s="46"/>
      <c r="AU128" s="47">
        <f t="shared" si="75"/>
        <v>0</v>
      </c>
      <c r="AV128" s="46"/>
      <c r="AW128" s="47">
        <f t="shared" si="76"/>
        <v>0</v>
      </c>
      <c r="AX128" s="42"/>
      <c r="AY128" s="42"/>
      <c r="AZ128" s="42"/>
      <c r="BA128" s="42"/>
      <c r="BB128" s="42"/>
      <c r="BC128" s="47">
        <f t="shared" si="77"/>
        <v>0</v>
      </c>
      <c r="BD128" s="42"/>
      <c r="BE128" s="47">
        <f t="shared" si="94"/>
        <v>0</v>
      </c>
      <c r="BF128" s="42"/>
      <c r="BG128" s="42"/>
      <c r="BH128" s="42"/>
      <c r="BI128" s="42"/>
      <c r="BJ128" s="42"/>
      <c r="BK128" s="46">
        <f t="shared" si="95"/>
        <v>0</v>
      </c>
      <c r="BL128" s="42"/>
      <c r="BM128" s="46">
        <f t="shared" si="96"/>
        <v>0</v>
      </c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6">
        <f t="shared" si="97"/>
        <v>0</v>
      </c>
      <c r="CQ128" s="46"/>
      <c r="CR128" s="47">
        <f t="shared" si="82"/>
        <v>0</v>
      </c>
      <c r="CS128" s="46"/>
      <c r="CT128" s="46"/>
      <c r="CU128" s="46"/>
      <c r="CV128" s="46"/>
      <c r="CW128" s="47"/>
      <c r="CX128" s="46"/>
      <c r="CY128" s="47">
        <f t="shared" si="84"/>
        <v>0</v>
      </c>
      <c r="CZ128" s="46"/>
      <c r="DA128" s="46"/>
      <c r="DB128" s="46"/>
      <c r="DC128" s="46"/>
      <c r="DD128" s="47"/>
      <c r="DE128" s="42"/>
      <c r="DF128" s="46">
        <f t="shared" si="91"/>
        <v>0</v>
      </c>
      <c r="DG128" s="42"/>
      <c r="DH128" s="46">
        <f t="shared" si="61"/>
        <v>0</v>
      </c>
      <c r="DI128" s="46"/>
      <c r="DJ128" s="46"/>
      <c r="DK128" s="47">
        <f>DI128*DJ128</f>
        <v>0</v>
      </c>
      <c r="DL128" s="47">
        <f t="shared" si="63"/>
        <v>0</v>
      </c>
      <c r="DM128" s="42"/>
      <c r="DN128" s="46">
        <f t="shared" si="98"/>
        <v>0</v>
      </c>
      <c r="DO128" s="42"/>
      <c r="DP128" s="46">
        <f t="shared" si="74"/>
        <v>0</v>
      </c>
      <c r="DQ128" s="42"/>
      <c r="DR128" s="46">
        <f t="shared" si="87"/>
        <v>0</v>
      </c>
      <c r="DS128" s="42"/>
      <c r="DT128" s="46">
        <f t="shared" si="99"/>
        <v>0</v>
      </c>
      <c r="DU128" s="42"/>
      <c r="DV128" s="46"/>
      <c r="DW128" s="42"/>
      <c r="DX128" s="47">
        <f t="shared" si="65"/>
        <v>0</v>
      </c>
      <c r="DY128" s="46"/>
      <c r="DZ128" s="46"/>
      <c r="EA128" s="46"/>
      <c r="EB128" s="46"/>
      <c r="EC128" s="46"/>
      <c r="ED128" s="46"/>
      <c r="EE128" s="47">
        <f t="shared" si="71"/>
        <v>0</v>
      </c>
      <c r="EF128" s="46"/>
      <c r="EG128" s="46"/>
      <c r="EH128" s="46"/>
      <c r="EI128" s="46"/>
      <c r="EJ128" s="46"/>
      <c r="EK128" s="47">
        <f t="shared" si="88"/>
        <v>0</v>
      </c>
      <c r="EL128" s="46">
        <f t="shared" si="89"/>
        <v>0</v>
      </c>
      <c r="EM128" s="46"/>
      <c r="EN128" s="46">
        <f t="shared" si="90"/>
        <v>0</v>
      </c>
      <c r="EO128" s="62"/>
    </row>
    <row r="129" spans="2:144" s="48" customFormat="1" ht="15" customHeight="1" x14ac:dyDescent="0.25">
      <c r="B129" s="41">
        <v>4</v>
      </c>
      <c r="C129" s="42"/>
      <c r="D129" s="43"/>
      <c r="E129" s="42"/>
      <c r="F129" s="42"/>
      <c r="G129" s="42"/>
      <c r="H129" s="42"/>
      <c r="I129" s="42"/>
      <c r="J129" s="42"/>
      <c r="K129" s="42"/>
      <c r="L129" s="42"/>
      <c r="M129" s="42"/>
      <c r="N129" s="41"/>
      <c r="O129" s="41"/>
      <c r="P129" s="42"/>
      <c r="Q129" s="45"/>
      <c r="R129" s="45"/>
      <c r="S129" s="42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2"/>
      <c r="AL129" s="42"/>
      <c r="AM129" s="42"/>
      <c r="AN129" s="46">
        <f t="shared" si="54"/>
        <v>0</v>
      </c>
      <c r="AO129" s="47">
        <f t="shared" si="55"/>
        <v>0</v>
      </c>
      <c r="AP129" s="42" t="s">
        <v>98</v>
      </c>
      <c r="AQ129" s="46">
        <f>20%*AO129</f>
        <v>0</v>
      </c>
      <c r="AR129" s="42"/>
      <c r="AS129" s="42"/>
      <c r="AT129" s="46"/>
      <c r="AU129" s="47">
        <f t="shared" si="75"/>
        <v>0</v>
      </c>
      <c r="AV129" s="46"/>
      <c r="AW129" s="47">
        <f t="shared" si="76"/>
        <v>0</v>
      </c>
      <c r="AX129" s="42"/>
      <c r="AY129" s="42"/>
      <c r="AZ129" s="42"/>
      <c r="BA129" s="42"/>
      <c r="BB129" s="42"/>
      <c r="BC129" s="47">
        <f t="shared" si="77"/>
        <v>0</v>
      </c>
      <c r="BD129" s="42"/>
      <c r="BE129" s="47">
        <f t="shared" si="94"/>
        <v>0</v>
      </c>
      <c r="BF129" s="42"/>
      <c r="BG129" s="42"/>
      <c r="BH129" s="42"/>
      <c r="BI129" s="42"/>
      <c r="BJ129" s="42"/>
      <c r="BK129" s="46">
        <f t="shared" si="95"/>
        <v>0</v>
      </c>
      <c r="BL129" s="42"/>
      <c r="BM129" s="46">
        <f t="shared" si="96"/>
        <v>0</v>
      </c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6">
        <f t="shared" si="97"/>
        <v>0</v>
      </c>
      <c r="CQ129" s="46"/>
      <c r="CR129" s="47">
        <f t="shared" si="82"/>
        <v>0</v>
      </c>
      <c r="CS129" s="46"/>
      <c r="CT129" s="46"/>
      <c r="CU129" s="46"/>
      <c r="CV129" s="46"/>
      <c r="CW129" s="47"/>
      <c r="CX129" s="46"/>
      <c r="CY129" s="47">
        <f t="shared" si="84"/>
        <v>0</v>
      </c>
      <c r="CZ129" s="46"/>
      <c r="DA129" s="46"/>
      <c r="DB129" s="46"/>
      <c r="DC129" s="46"/>
      <c r="DD129" s="47"/>
      <c r="DE129" s="42"/>
      <c r="DF129" s="46">
        <f t="shared" si="91"/>
        <v>0</v>
      </c>
      <c r="DG129" s="42"/>
      <c r="DH129" s="46">
        <f t="shared" si="61"/>
        <v>0</v>
      </c>
      <c r="DI129" s="46"/>
      <c r="DJ129" s="46"/>
      <c r="DK129" s="47">
        <f>DI129*DJ129</f>
        <v>0</v>
      </c>
      <c r="DL129" s="47">
        <f t="shared" si="63"/>
        <v>0</v>
      </c>
      <c r="DM129" s="42"/>
      <c r="DN129" s="46">
        <f t="shared" si="98"/>
        <v>0</v>
      </c>
      <c r="DO129" s="42"/>
      <c r="DP129" s="46">
        <f t="shared" si="74"/>
        <v>0</v>
      </c>
      <c r="DQ129" s="42"/>
      <c r="DR129" s="46">
        <f t="shared" si="87"/>
        <v>0</v>
      </c>
      <c r="DS129" s="42"/>
      <c r="DT129" s="46">
        <f t="shared" si="99"/>
        <v>0</v>
      </c>
      <c r="DU129" s="42"/>
      <c r="DV129" s="46"/>
      <c r="DW129" s="42"/>
      <c r="DX129" s="47">
        <f t="shared" si="65"/>
        <v>0</v>
      </c>
      <c r="DY129" s="46"/>
      <c r="DZ129" s="46"/>
      <c r="EA129" s="46"/>
      <c r="EB129" s="46"/>
      <c r="EC129" s="46"/>
      <c r="ED129" s="46"/>
      <c r="EE129" s="47">
        <f t="shared" si="71"/>
        <v>0</v>
      </c>
      <c r="EF129" s="46"/>
      <c r="EG129" s="46"/>
      <c r="EH129" s="46"/>
      <c r="EI129" s="46"/>
      <c r="EJ129" s="46"/>
      <c r="EK129" s="47">
        <f t="shared" si="88"/>
        <v>0</v>
      </c>
      <c r="EL129" s="46">
        <f t="shared" si="89"/>
        <v>0</v>
      </c>
      <c r="EM129" s="46"/>
      <c r="EN129" s="46">
        <f t="shared" si="90"/>
        <v>0</v>
      </c>
    </row>
    <row r="130" spans="2:144" s="48" customFormat="1" ht="15" customHeight="1" x14ac:dyDescent="0.25">
      <c r="B130" s="41">
        <v>5</v>
      </c>
      <c r="C130" s="42"/>
      <c r="D130" s="43"/>
      <c r="E130" s="42"/>
      <c r="F130" s="42"/>
      <c r="G130" s="42"/>
      <c r="H130" s="42"/>
      <c r="I130" s="42"/>
      <c r="J130" s="42"/>
      <c r="K130" s="42"/>
      <c r="L130" s="42"/>
      <c r="M130" s="42"/>
      <c r="N130" s="41"/>
      <c r="O130" s="41"/>
      <c r="P130" s="42"/>
      <c r="Q130" s="45"/>
      <c r="R130" s="45"/>
      <c r="S130" s="42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2"/>
      <c r="AL130" s="42"/>
      <c r="AM130" s="42"/>
      <c r="AN130" s="46">
        <f t="shared" si="54"/>
        <v>0</v>
      </c>
      <c r="AO130" s="47">
        <f t="shared" si="55"/>
        <v>0</v>
      </c>
      <c r="AP130" s="42" t="s">
        <v>101</v>
      </c>
      <c r="AQ130" s="46">
        <f>20%*AO130</f>
        <v>0</v>
      </c>
      <c r="AR130" s="42"/>
      <c r="AS130" s="42"/>
      <c r="AT130" s="46"/>
      <c r="AU130" s="47">
        <f t="shared" si="75"/>
        <v>0</v>
      </c>
      <c r="AV130" s="46"/>
      <c r="AW130" s="47">
        <f t="shared" si="76"/>
        <v>0</v>
      </c>
      <c r="AX130" s="42"/>
      <c r="AY130" s="42"/>
      <c r="AZ130" s="42"/>
      <c r="BA130" s="42"/>
      <c r="BB130" s="42"/>
      <c r="BC130" s="47"/>
      <c r="BD130" s="42"/>
      <c r="BE130" s="47"/>
      <c r="BF130" s="42"/>
      <c r="BG130" s="42"/>
      <c r="BH130" s="42"/>
      <c r="BI130" s="42"/>
      <c r="BJ130" s="42"/>
      <c r="BK130" s="46"/>
      <c r="BL130" s="42"/>
      <c r="BM130" s="46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6"/>
      <c r="CQ130" s="46"/>
      <c r="CR130" s="47">
        <f t="shared" si="82"/>
        <v>0</v>
      </c>
      <c r="CS130" s="46"/>
      <c r="CT130" s="46"/>
      <c r="CU130" s="46"/>
      <c r="CV130" s="46"/>
      <c r="CW130" s="47"/>
      <c r="CX130" s="46"/>
      <c r="CY130" s="47">
        <f t="shared" si="84"/>
        <v>0</v>
      </c>
      <c r="CZ130" s="46"/>
      <c r="DA130" s="46"/>
      <c r="DB130" s="46"/>
      <c r="DC130" s="46"/>
      <c r="DD130" s="47"/>
      <c r="DE130" s="42"/>
      <c r="DF130" s="46"/>
      <c r="DG130" s="42"/>
      <c r="DH130" s="46">
        <f t="shared" si="61"/>
        <v>0</v>
      </c>
      <c r="DI130" s="46"/>
      <c r="DJ130" s="46"/>
      <c r="DK130" s="47">
        <f>DI130*DJ130</f>
        <v>0</v>
      </c>
      <c r="DL130" s="47">
        <f t="shared" si="63"/>
        <v>0</v>
      </c>
      <c r="DM130" s="42"/>
      <c r="DN130" s="46">
        <f t="shared" si="98"/>
        <v>0</v>
      </c>
      <c r="DO130" s="42"/>
      <c r="DP130" s="46">
        <f t="shared" si="74"/>
        <v>0</v>
      </c>
      <c r="DQ130" s="42"/>
      <c r="DR130" s="46">
        <f t="shared" si="87"/>
        <v>0</v>
      </c>
      <c r="DS130" s="42"/>
      <c r="DT130" s="46">
        <f t="shared" si="99"/>
        <v>0</v>
      </c>
      <c r="DU130" s="42"/>
      <c r="DV130" s="46"/>
      <c r="DW130" s="42"/>
      <c r="DX130" s="47">
        <f t="shared" si="65"/>
        <v>0</v>
      </c>
      <c r="DY130" s="46"/>
      <c r="DZ130" s="46"/>
      <c r="EA130" s="46"/>
      <c r="EB130" s="46"/>
      <c r="EC130" s="46"/>
      <c r="ED130" s="46"/>
      <c r="EE130" s="47">
        <f t="shared" si="71"/>
        <v>0</v>
      </c>
      <c r="EF130" s="46"/>
      <c r="EG130" s="46"/>
      <c r="EH130" s="46"/>
      <c r="EI130" s="46"/>
      <c r="EJ130" s="46"/>
      <c r="EK130" s="47">
        <f t="shared" si="88"/>
        <v>0</v>
      </c>
      <c r="EL130" s="46">
        <f t="shared" si="89"/>
        <v>0</v>
      </c>
      <c r="EM130" s="46"/>
      <c r="EN130" s="46">
        <f t="shared" si="90"/>
        <v>0</v>
      </c>
    </row>
    <row r="131" spans="2:144" s="48" customFormat="1" ht="15" customHeight="1" x14ac:dyDescent="0.25">
      <c r="B131" s="41"/>
      <c r="C131" s="42"/>
      <c r="D131" s="43"/>
      <c r="E131" s="42"/>
      <c r="F131" s="42"/>
      <c r="G131" s="42"/>
      <c r="H131" s="42"/>
      <c r="I131" s="42"/>
      <c r="J131" s="42"/>
      <c r="K131" s="42"/>
      <c r="L131" s="42"/>
      <c r="M131" s="42"/>
      <c r="N131" s="41"/>
      <c r="O131" s="41"/>
      <c r="P131" s="42"/>
      <c r="Q131" s="45"/>
      <c r="R131" s="45"/>
      <c r="S131" s="42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2"/>
      <c r="AL131" s="42"/>
      <c r="AM131" s="42"/>
      <c r="AN131" s="46"/>
      <c r="AO131" s="47"/>
      <c r="AP131" s="42"/>
      <c r="AQ131" s="46"/>
      <c r="AR131" s="42"/>
      <c r="AS131" s="42"/>
      <c r="AT131" s="46"/>
      <c r="AU131" s="47"/>
      <c r="AV131" s="46"/>
      <c r="AW131" s="47"/>
      <c r="AX131" s="42"/>
      <c r="AY131" s="42"/>
      <c r="AZ131" s="42"/>
      <c r="BA131" s="42"/>
      <c r="BB131" s="42"/>
      <c r="BC131" s="47"/>
      <c r="BD131" s="42"/>
      <c r="BE131" s="47"/>
      <c r="BF131" s="42"/>
      <c r="BG131" s="42"/>
      <c r="BH131" s="42"/>
      <c r="BI131" s="42"/>
      <c r="BJ131" s="42"/>
      <c r="BK131" s="46"/>
      <c r="BL131" s="42"/>
      <c r="BM131" s="46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6"/>
      <c r="CQ131" s="46"/>
      <c r="CR131" s="47">
        <f t="shared" si="82"/>
        <v>0</v>
      </c>
      <c r="CS131" s="46"/>
      <c r="CT131" s="46"/>
      <c r="CU131" s="46"/>
      <c r="CV131" s="46"/>
      <c r="CW131" s="47"/>
      <c r="CX131" s="46"/>
      <c r="CY131" s="47">
        <f t="shared" si="84"/>
        <v>0</v>
      </c>
      <c r="CZ131" s="46"/>
      <c r="DA131" s="46"/>
      <c r="DB131" s="46"/>
      <c r="DC131" s="46"/>
      <c r="DD131" s="47"/>
      <c r="DE131" s="42"/>
      <c r="DF131" s="46"/>
      <c r="DG131" s="42"/>
      <c r="DH131" s="46">
        <f t="shared" si="61"/>
        <v>0</v>
      </c>
      <c r="DI131" s="46"/>
      <c r="DJ131" s="46"/>
      <c r="DK131" s="47"/>
      <c r="DL131" s="47"/>
      <c r="DM131" s="42"/>
      <c r="DN131" s="46">
        <f t="shared" si="98"/>
        <v>0</v>
      </c>
      <c r="DO131" s="42"/>
      <c r="DP131" s="46">
        <f t="shared" si="74"/>
        <v>0</v>
      </c>
      <c r="DQ131" s="42"/>
      <c r="DR131" s="46">
        <f t="shared" si="87"/>
        <v>0</v>
      </c>
      <c r="DS131" s="42"/>
      <c r="DT131" s="46">
        <f t="shared" si="99"/>
        <v>0</v>
      </c>
      <c r="DU131" s="42"/>
      <c r="DV131" s="46"/>
      <c r="DW131" s="42"/>
      <c r="DX131" s="47">
        <f t="shared" si="65"/>
        <v>0</v>
      </c>
      <c r="DY131" s="46"/>
      <c r="DZ131" s="46"/>
      <c r="EA131" s="46"/>
      <c r="EB131" s="46"/>
      <c r="EC131" s="46"/>
      <c r="ED131" s="46"/>
      <c r="EE131" s="47">
        <f t="shared" si="71"/>
        <v>0</v>
      </c>
      <c r="EF131" s="46"/>
      <c r="EG131" s="46"/>
      <c r="EH131" s="46"/>
      <c r="EI131" s="46"/>
      <c r="EJ131" s="46"/>
      <c r="EK131" s="47"/>
      <c r="EL131" s="46"/>
      <c r="EM131" s="46"/>
      <c r="EN131" s="46"/>
    </row>
    <row r="132" spans="2:144" s="48" customFormat="1" ht="15" customHeight="1" x14ac:dyDescent="0.25">
      <c r="B132" s="41"/>
      <c r="C132" s="42"/>
      <c r="D132" s="43"/>
      <c r="E132" s="42"/>
      <c r="F132" s="42"/>
      <c r="G132" s="42"/>
      <c r="H132" s="42"/>
      <c r="I132" s="42"/>
      <c r="J132" s="42"/>
      <c r="K132" s="42"/>
      <c r="L132" s="42"/>
      <c r="M132" s="42"/>
      <c r="N132" s="41"/>
      <c r="O132" s="41"/>
      <c r="P132" s="42"/>
      <c r="Q132" s="45"/>
      <c r="R132" s="45"/>
      <c r="S132" s="42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2"/>
      <c r="AL132" s="42"/>
      <c r="AM132" s="42"/>
      <c r="AN132" s="46"/>
      <c r="AO132" s="47"/>
      <c r="AP132" s="42"/>
      <c r="AQ132" s="46"/>
      <c r="AR132" s="42"/>
      <c r="AS132" s="42"/>
      <c r="AT132" s="46"/>
      <c r="AU132" s="47"/>
      <c r="AV132" s="46"/>
      <c r="AW132" s="47"/>
      <c r="AX132" s="42"/>
      <c r="AY132" s="42"/>
      <c r="AZ132" s="42"/>
      <c r="BA132" s="42"/>
      <c r="BB132" s="42"/>
      <c r="BC132" s="47"/>
      <c r="BD132" s="42"/>
      <c r="BE132" s="47"/>
      <c r="BF132" s="42"/>
      <c r="BG132" s="42"/>
      <c r="BH132" s="42"/>
      <c r="BI132" s="42"/>
      <c r="BJ132" s="42"/>
      <c r="BK132" s="46"/>
      <c r="BL132" s="42"/>
      <c r="BM132" s="46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6"/>
      <c r="CQ132" s="46"/>
      <c r="CR132" s="47">
        <f t="shared" si="82"/>
        <v>0</v>
      </c>
      <c r="CS132" s="46"/>
      <c r="CT132" s="46"/>
      <c r="CU132" s="46"/>
      <c r="CV132" s="46"/>
      <c r="CW132" s="47"/>
      <c r="CX132" s="46"/>
      <c r="CY132" s="47">
        <f t="shared" si="84"/>
        <v>0</v>
      </c>
      <c r="CZ132" s="46"/>
      <c r="DA132" s="46"/>
      <c r="DB132" s="46"/>
      <c r="DC132" s="46"/>
      <c r="DD132" s="47"/>
      <c r="DE132" s="42"/>
      <c r="DF132" s="46"/>
      <c r="DG132" s="42"/>
      <c r="DH132" s="46"/>
      <c r="DI132" s="46"/>
      <c r="DJ132" s="46"/>
      <c r="DK132" s="47"/>
      <c r="DL132" s="47"/>
      <c r="DM132" s="42"/>
      <c r="DN132" s="46">
        <f t="shared" si="98"/>
        <v>0</v>
      </c>
      <c r="DO132" s="42"/>
      <c r="DP132" s="46">
        <f t="shared" si="74"/>
        <v>0</v>
      </c>
      <c r="DQ132" s="42"/>
      <c r="DR132" s="46">
        <f t="shared" si="87"/>
        <v>0</v>
      </c>
      <c r="DS132" s="42"/>
      <c r="DT132" s="46">
        <f t="shared" si="99"/>
        <v>0</v>
      </c>
      <c r="DU132" s="42"/>
      <c r="DV132" s="46"/>
      <c r="DW132" s="42"/>
      <c r="DX132" s="47">
        <f t="shared" si="65"/>
        <v>0</v>
      </c>
      <c r="DY132" s="46"/>
      <c r="DZ132" s="46"/>
      <c r="EA132" s="46"/>
      <c r="EB132" s="46"/>
      <c r="EC132" s="46"/>
      <c r="ED132" s="46"/>
      <c r="EE132" s="47">
        <f t="shared" si="71"/>
        <v>0</v>
      </c>
      <c r="EF132" s="46"/>
      <c r="EG132" s="46"/>
      <c r="EH132" s="46"/>
      <c r="EI132" s="46"/>
      <c r="EJ132" s="46"/>
      <c r="EK132" s="47"/>
      <c r="EL132" s="46"/>
      <c r="EM132" s="46"/>
      <c r="EN132" s="46"/>
    </row>
    <row r="133" spans="2:144" s="48" customFormat="1" ht="15" customHeight="1" x14ac:dyDescent="0.25">
      <c r="B133" s="41"/>
      <c r="C133" s="81" t="s">
        <v>108</v>
      </c>
      <c r="D133" s="43"/>
      <c r="E133" s="42"/>
      <c r="F133" s="42"/>
      <c r="G133" s="42"/>
      <c r="H133" s="42"/>
      <c r="I133" s="42"/>
      <c r="J133" s="42"/>
      <c r="K133" s="42"/>
      <c r="L133" s="42"/>
      <c r="M133" s="42"/>
      <c r="N133" s="41"/>
      <c r="O133" s="41"/>
      <c r="P133" s="42"/>
      <c r="Q133" s="45"/>
      <c r="R133" s="45"/>
      <c r="S133" s="42"/>
      <c r="T133" s="46"/>
      <c r="U133" s="46"/>
      <c r="V133" s="42"/>
      <c r="W133" s="42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>
        <f t="shared" ref="AN133:AN196" si="100">+X133+Y133+Z133+AA133+AB133+AC133+AD133+AE133+AF133+AG133+AH133+AI133+AJ133+AL133+AM133</f>
        <v>0</v>
      </c>
      <c r="AO133" s="47">
        <f t="shared" ref="AO133:AO196" si="101">+T133-AN133</f>
        <v>0</v>
      </c>
      <c r="AP133" s="42"/>
      <c r="AQ133" s="46">
        <f>20%*AO133</f>
        <v>0</v>
      </c>
      <c r="AR133" s="46"/>
      <c r="AS133" s="46"/>
      <c r="AT133" s="46"/>
      <c r="AU133" s="47">
        <f t="shared" ref="AU133:AU152" si="102">AS133*AT133</f>
        <v>0</v>
      </c>
      <c r="AV133" s="46"/>
      <c r="AW133" s="47">
        <f>AQ133+AU133+AV133+AR133</f>
        <v>0</v>
      </c>
      <c r="AX133" s="46"/>
      <c r="AY133" s="46"/>
      <c r="AZ133" s="46"/>
      <c r="BA133" s="46"/>
      <c r="BB133" s="46"/>
      <c r="BC133" s="47">
        <f>BA133*BB133</f>
        <v>0</v>
      </c>
      <c r="BD133" s="46"/>
      <c r="BE133" s="47">
        <f>+AY133+AZ133+BC133+BD133</f>
        <v>0</v>
      </c>
      <c r="BF133" s="46"/>
      <c r="BG133" s="46"/>
      <c r="BH133" s="46"/>
      <c r="BI133" s="46"/>
      <c r="BJ133" s="46"/>
      <c r="BK133" s="46">
        <f>BI133*BJ133</f>
        <v>0</v>
      </c>
      <c r="BL133" s="46"/>
      <c r="BM133" s="46">
        <f>BK133</f>
        <v>0</v>
      </c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>
        <f>CN133*CO133</f>
        <v>0</v>
      </c>
      <c r="CQ133" s="46"/>
      <c r="CR133" s="47">
        <f t="shared" si="82"/>
        <v>0</v>
      </c>
      <c r="CS133" s="46"/>
      <c r="CT133" s="46"/>
      <c r="CU133" s="46"/>
      <c r="CV133" s="46"/>
      <c r="CW133" s="47">
        <f>CU133*CV133</f>
        <v>0</v>
      </c>
      <c r="CX133" s="46"/>
      <c r="CY133" s="47">
        <f t="shared" si="84"/>
        <v>0</v>
      </c>
      <c r="CZ133" s="46"/>
      <c r="DA133" s="46"/>
      <c r="DB133" s="46"/>
      <c r="DC133" s="46"/>
      <c r="DD133" s="47">
        <f>+DB133*DC133</f>
        <v>0</v>
      </c>
      <c r="DE133" s="46"/>
      <c r="DF133" s="46">
        <f>DC133</f>
        <v>0</v>
      </c>
      <c r="DG133" s="46"/>
      <c r="DH133" s="46">
        <f t="shared" ref="DH133:DH156" si="103">AQ133/2</f>
        <v>0</v>
      </c>
      <c r="DI133" s="46"/>
      <c r="DJ133" s="46"/>
      <c r="DK133" s="47"/>
      <c r="DL133" s="47">
        <f t="shared" ref="DL133:DL196" si="104">+DH133+DK133</f>
        <v>0</v>
      </c>
      <c r="DM133" s="46"/>
      <c r="DN133" s="46">
        <f t="shared" si="98"/>
        <v>0</v>
      </c>
      <c r="DO133" s="46"/>
      <c r="DP133" s="46">
        <f t="shared" si="74"/>
        <v>0</v>
      </c>
      <c r="DQ133" s="46"/>
      <c r="DR133" s="46">
        <f t="shared" si="87"/>
        <v>0</v>
      </c>
      <c r="DS133" s="46"/>
      <c r="DT133" s="46">
        <f t="shared" si="99"/>
        <v>0</v>
      </c>
      <c r="DU133" s="46"/>
      <c r="DV133" s="46"/>
      <c r="DW133" s="46"/>
      <c r="DX133" s="47">
        <f t="shared" si="65"/>
        <v>0</v>
      </c>
      <c r="DY133" s="46"/>
      <c r="DZ133" s="46"/>
      <c r="EA133" s="46"/>
      <c r="EB133" s="46"/>
      <c r="EC133" s="46"/>
      <c r="ED133" s="46"/>
      <c r="EE133" s="47">
        <f t="shared" si="71"/>
        <v>0</v>
      </c>
      <c r="EF133" s="46"/>
      <c r="EG133" s="46"/>
      <c r="EH133" s="46"/>
      <c r="EI133" s="46"/>
      <c r="EJ133" s="46"/>
      <c r="EK133" s="47">
        <f t="shared" ref="EK133:EK196" si="105">+EG133+EH133+EI133+EJ133</f>
        <v>0</v>
      </c>
      <c r="EL133" s="46">
        <f t="shared" ref="EL133:EL196" si="106">+AO133-EE133-EK133</f>
        <v>0</v>
      </c>
      <c r="EM133" s="46"/>
      <c r="EN133" s="46">
        <f t="shared" ref="EN133:EN196" si="107">EL133+EM133</f>
        <v>0</v>
      </c>
    </row>
    <row r="134" spans="2:144" s="48" customFormat="1" ht="15" customHeight="1" x14ac:dyDescent="0.25">
      <c r="B134" s="41">
        <v>1</v>
      </c>
      <c r="C134" s="42"/>
      <c r="D134" s="43"/>
      <c r="E134" s="42"/>
      <c r="F134" s="42"/>
      <c r="G134" s="42"/>
      <c r="H134" s="42"/>
      <c r="I134" s="42"/>
      <c r="J134" s="42"/>
      <c r="K134" s="42"/>
      <c r="L134" s="42"/>
      <c r="M134" s="42"/>
      <c r="N134" s="41"/>
      <c r="O134" s="41"/>
      <c r="P134" s="42"/>
      <c r="Q134" s="45"/>
      <c r="R134" s="45"/>
      <c r="S134" s="42"/>
      <c r="T134" s="46"/>
      <c r="U134" s="46"/>
      <c r="V134" s="42"/>
      <c r="W134" s="42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>
        <f t="shared" si="100"/>
        <v>0</v>
      </c>
      <c r="AO134" s="47">
        <f t="shared" si="101"/>
        <v>0</v>
      </c>
      <c r="AP134" s="46" t="s">
        <v>101</v>
      </c>
      <c r="AQ134" s="46">
        <f>18%*AO134</f>
        <v>0</v>
      </c>
      <c r="AR134" s="46"/>
      <c r="AS134" s="46"/>
      <c r="AT134" s="46"/>
      <c r="AU134" s="47">
        <f t="shared" si="102"/>
        <v>0</v>
      </c>
      <c r="AV134" s="46"/>
      <c r="AW134" s="47">
        <f>AQ134+AU134+AV134+AR134</f>
        <v>0</v>
      </c>
      <c r="AX134" s="46"/>
      <c r="AY134" s="46"/>
      <c r="AZ134" s="46"/>
      <c r="BA134" s="46"/>
      <c r="BB134" s="46"/>
      <c r="BC134" s="47">
        <f>BA134*BB134</f>
        <v>0</v>
      </c>
      <c r="BD134" s="46"/>
      <c r="BE134" s="47">
        <f>+AY134+AZ134+BC134+BD134</f>
        <v>0</v>
      </c>
      <c r="BF134" s="46"/>
      <c r="BG134" s="46"/>
      <c r="BH134" s="46"/>
      <c r="BI134" s="46"/>
      <c r="BJ134" s="46"/>
      <c r="BK134" s="46"/>
      <c r="BL134" s="46"/>
      <c r="BM134" s="46">
        <f>BK134</f>
        <v>0</v>
      </c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>
        <f>CN134*CO134</f>
        <v>0</v>
      </c>
      <c r="CQ134" s="46"/>
      <c r="CR134" s="47">
        <f t="shared" si="82"/>
        <v>0</v>
      </c>
      <c r="CS134" s="46"/>
      <c r="CT134" s="46"/>
      <c r="CU134" s="46"/>
      <c r="CV134" s="46"/>
      <c r="CW134" s="47">
        <f>CU134*CV134</f>
        <v>0</v>
      </c>
      <c r="CX134" s="46"/>
      <c r="CY134" s="47">
        <f t="shared" si="84"/>
        <v>0</v>
      </c>
      <c r="CZ134" s="46"/>
      <c r="DA134" s="46"/>
      <c r="DB134" s="46"/>
      <c r="DC134" s="46"/>
      <c r="DD134" s="47">
        <f>+DB134*DC134</f>
        <v>0</v>
      </c>
      <c r="DE134" s="46"/>
      <c r="DF134" s="46">
        <f>DC134</f>
        <v>0</v>
      </c>
      <c r="DG134" s="46"/>
      <c r="DH134" s="46">
        <f t="shared" si="103"/>
        <v>0</v>
      </c>
      <c r="DI134" s="46"/>
      <c r="DJ134" s="46"/>
      <c r="DK134" s="47">
        <f t="shared" ref="DK134:DK146" si="108">DI134*DJ134</f>
        <v>0</v>
      </c>
      <c r="DL134" s="47">
        <f t="shared" si="104"/>
        <v>0</v>
      </c>
      <c r="DM134" s="46"/>
      <c r="DN134" s="46">
        <f t="shared" si="98"/>
        <v>0</v>
      </c>
      <c r="DO134" s="46"/>
      <c r="DP134" s="46">
        <f t="shared" si="74"/>
        <v>0</v>
      </c>
      <c r="DQ134" s="46"/>
      <c r="DR134" s="46">
        <f t="shared" si="87"/>
        <v>0</v>
      </c>
      <c r="DS134" s="46"/>
      <c r="DT134" s="46">
        <f t="shared" si="99"/>
        <v>0</v>
      </c>
      <c r="DU134" s="46"/>
      <c r="DV134" s="46"/>
      <c r="DW134" s="46"/>
      <c r="DX134" s="47">
        <f t="shared" si="65"/>
        <v>0</v>
      </c>
      <c r="DY134" s="46"/>
      <c r="DZ134" s="46"/>
      <c r="EA134" s="46"/>
      <c r="EB134" s="46"/>
      <c r="EC134" s="46"/>
      <c r="ED134" s="46"/>
      <c r="EE134" s="47">
        <f t="shared" si="71"/>
        <v>0</v>
      </c>
      <c r="EF134" s="46"/>
      <c r="EG134" s="46"/>
      <c r="EH134" s="46"/>
      <c r="EI134" s="46"/>
      <c r="EJ134" s="46"/>
      <c r="EK134" s="47">
        <f t="shared" si="105"/>
        <v>0</v>
      </c>
      <c r="EL134" s="46">
        <f t="shared" si="106"/>
        <v>0</v>
      </c>
      <c r="EM134" s="46"/>
      <c r="EN134" s="46">
        <f t="shared" si="107"/>
        <v>0</v>
      </c>
    </row>
    <row r="135" spans="2:144" s="48" customFormat="1" ht="15" customHeight="1" x14ac:dyDescent="0.25">
      <c r="B135" s="41">
        <v>2</v>
      </c>
      <c r="C135" s="42"/>
      <c r="D135" s="43"/>
      <c r="E135" s="42"/>
      <c r="F135" s="42"/>
      <c r="G135" s="42"/>
      <c r="H135" s="42"/>
      <c r="I135" s="42"/>
      <c r="J135" s="42"/>
      <c r="K135" s="42"/>
      <c r="L135" s="42"/>
      <c r="M135" s="42"/>
      <c r="N135" s="41"/>
      <c r="O135" s="41"/>
      <c r="P135" s="42"/>
      <c r="Q135" s="45"/>
      <c r="R135" s="45"/>
      <c r="S135" s="42"/>
      <c r="T135" s="46"/>
      <c r="U135" s="46"/>
      <c r="V135" s="42"/>
      <c r="W135" s="42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>
        <f t="shared" si="100"/>
        <v>0</v>
      </c>
      <c r="AO135" s="47">
        <f t="shared" si="101"/>
        <v>0</v>
      </c>
      <c r="AP135" s="46" t="s">
        <v>98</v>
      </c>
      <c r="AQ135" s="46">
        <f>18%*AO135</f>
        <v>0</v>
      </c>
      <c r="AR135" s="46"/>
      <c r="AS135" s="46"/>
      <c r="AT135" s="46"/>
      <c r="AU135" s="47">
        <f t="shared" si="102"/>
        <v>0</v>
      </c>
      <c r="AV135" s="46"/>
      <c r="AW135" s="47">
        <f>AQ135+AU135+AV135+AR135</f>
        <v>0</v>
      </c>
      <c r="AX135" s="46"/>
      <c r="AY135" s="46"/>
      <c r="AZ135" s="46"/>
      <c r="BA135" s="46"/>
      <c r="BB135" s="46"/>
      <c r="BC135" s="47"/>
      <c r="BD135" s="46"/>
      <c r="BE135" s="47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7">
        <f t="shared" si="82"/>
        <v>0</v>
      </c>
      <c r="CS135" s="46"/>
      <c r="CT135" s="46"/>
      <c r="CU135" s="46"/>
      <c r="CV135" s="46"/>
      <c r="CW135" s="47"/>
      <c r="CX135" s="46"/>
      <c r="CY135" s="47">
        <f t="shared" si="84"/>
        <v>0</v>
      </c>
      <c r="CZ135" s="46"/>
      <c r="DA135" s="46"/>
      <c r="DB135" s="46"/>
      <c r="DC135" s="46"/>
      <c r="DD135" s="47"/>
      <c r="DE135" s="46"/>
      <c r="DF135" s="46"/>
      <c r="DG135" s="46"/>
      <c r="DH135" s="46">
        <f t="shared" si="103"/>
        <v>0</v>
      </c>
      <c r="DI135" s="46"/>
      <c r="DJ135" s="46"/>
      <c r="DK135" s="47">
        <f t="shared" si="108"/>
        <v>0</v>
      </c>
      <c r="DL135" s="47">
        <f t="shared" si="104"/>
        <v>0</v>
      </c>
      <c r="DM135" s="46"/>
      <c r="DN135" s="46">
        <f t="shared" si="98"/>
        <v>0</v>
      </c>
      <c r="DO135" s="46"/>
      <c r="DP135" s="46">
        <f t="shared" si="74"/>
        <v>0</v>
      </c>
      <c r="DQ135" s="46"/>
      <c r="DR135" s="46">
        <f t="shared" si="87"/>
        <v>0</v>
      </c>
      <c r="DS135" s="46"/>
      <c r="DT135" s="46">
        <f t="shared" si="99"/>
        <v>0</v>
      </c>
      <c r="DU135" s="46"/>
      <c r="DV135" s="46"/>
      <c r="DW135" s="46"/>
      <c r="DX135" s="47">
        <f t="shared" si="65"/>
        <v>0</v>
      </c>
      <c r="DY135" s="46"/>
      <c r="DZ135" s="46"/>
      <c r="EA135" s="46"/>
      <c r="EB135" s="46"/>
      <c r="EC135" s="46"/>
      <c r="ED135" s="46"/>
      <c r="EE135" s="47">
        <f t="shared" si="71"/>
        <v>0</v>
      </c>
      <c r="EF135" s="46"/>
      <c r="EG135" s="46"/>
      <c r="EH135" s="46"/>
      <c r="EI135" s="46"/>
      <c r="EJ135" s="46"/>
      <c r="EK135" s="47">
        <f t="shared" si="105"/>
        <v>0</v>
      </c>
      <c r="EL135" s="46">
        <f t="shared" si="106"/>
        <v>0</v>
      </c>
      <c r="EM135" s="46"/>
      <c r="EN135" s="46">
        <f t="shared" si="107"/>
        <v>0</v>
      </c>
    </row>
    <row r="136" spans="2:144" s="48" customFormat="1" ht="15" customHeight="1" x14ac:dyDescent="0.25">
      <c r="B136" s="41">
        <v>3</v>
      </c>
      <c r="C136" s="42"/>
      <c r="D136" s="43"/>
      <c r="E136" s="42"/>
      <c r="F136" s="42"/>
      <c r="G136" s="42"/>
      <c r="H136" s="42"/>
      <c r="I136" s="42"/>
      <c r="J136" s="42"/>
      <c r="K136" s="42"/>
      <c r="L136" s="42"/>
      <c r="M136" s="42"/>
      <c r="N136" s="41"/>
      <c r="O136" s="41"/>
      <c r="P136" s="42"/>
      <c r="Q136" s="45"/>
      <c r="R136" s="45"/>
      <c r="S136" s="42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2"/>
      <c r="AL136" s="42"/>
      <c r="AM136" s="42"/>
      <c r="AN136" s="46">
        <f t="shared" si="100"/>
        <v>0</v>
      </c>
      <c r="AO136" s="47">
        <f t="shared" si="101"/>
        <v>0</v>
      </c>
      <c r="AP136" s="46" t="s">
        <v>98</v>
      </c>
      <c r="AQ136" s="46">
        <f>18%*AO136</f>
        <v>0</v>
      </c>
      <c r="AR136" s="42"/>
      <c r="AS136" s="42"/>
      <c r="AT136" s="46"/>
      <c r="AU136" s="47">
        <f t="shared" si="102"/>
        <v>0</v>
      </c>
      <c r="AV136" s="46"/>
      <c r="AW136" s="47">
        <f>AQ136+AU136+AV136+AR136</f>
        <v>0</v>
      </c>
      <c r="AX136" s="42"/>
      <c r="AY136" s="42"/>
      <c r="AZ136" s="42"/>
      <c r="BA136" s="42"/>
      <c r="BB136" s="42"/>
      <c r="BC136" s="47">
        <f t="shared" ref="BC136:BC144" si="109">BA136*BB136</f>
        <v>0</v>
      </c>
      <c r="BD136" s="42"/>
      <c r="BE136" s="47">
        <f>+AY136+AZ136+BC136+BD136</f>
        <v>0</v>
      </c>
      <c r="BF136" s="42"/>
      <c r="BG136" s="42"/>
      <c r="BH136" s="42"/>
      <c r="BI136" s="42"/>
      <c r="BJ136" s="42"/>
      <c r="BK136" s="42"/>
      <c r="BL136" s="42"/>
      <c r="BM136" s="46">
        <f t="shared" ref="BM136:BM141" si="110">BK136</f>
        <v>0</v>
      </c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6">
        <f t="shared" ref="CP136:CP141" si="111">CN136*CO136</f>
        <v>0</v>
      </c>
      <c r="CQ136" s="46"/>
      <c r="CR136" s="47">
        <f t="shared" si="82"/>
        <v>0</v>
      </c>
      <c r="CS136" s="46"/>
      <c r="CT136" s="46"/>
      <c r="CU136" s="46"/>
      <c r="CV136" s="46"/>
      <c r="CW136" s="47">
        <f t="shared" ref="CW136:CW144" si="112">CU136*CV136</f>
        <v>0</v>
      </c>
      <c r="CX136" s="46"/>
      <c r="CY136" s="47">
        <f t="shared" si="84"/>
        <v>0</v>
      </c>
      <c r="CZ136" s="46"/>
      <c r="DA136" s="46"/>
      <c r="DB136" s="46"/>
      <c r="DC136" s="46"/>
      <c r="DD136" s="47">
        <f>+DB136*DC136</f>
        <v>0</v>
      </c>
      <c r="DE136" s="42"/>
      <c r="DF136" s="46">
        <f t="shared" ref="DF136:DF141" si="113">DC136</f>
        <v>0</v>
      </c>
      <c r="DG136" s="42"/>
      <c r="DH136" s="46">
        <f t="shared" si="103"/>
        <v>0</v>
      </c>
      <c r="DI136" s="46"/>
      <c r="DJ136" s="46"/>
      <c r="DK136" s="47">
        <f t="shared" si="108"/>
        <v>0</v>
      </c>
      <c r="DL136" s="47">
        <f t="shared" si="104"/>
        <v>0</v>
      </c>
      <c r="DM136" s="42"/>
      <c r="DN136" s="46">
        <f t="shared" si="98"/>
        <v>0</v>
      </c>
      <c r="DO136" s="42"/>
      <c r="DP136" s="46">
        <f t="shared" si="74"/>
        <v>0</v>
      </c>
      <c r="DQ136" s="42"/>
      <c r="DR136" s="46">
        <f t="shared" si="87"/>
        <v>0</v>
      </c>
      <c r="DS136" s="42"/>
      <c r="DT136" s="46">
        <f t="shared" si="99"/>
        <v>0</v>
      </c>
      <c r="DU136" s="42"/>
      <c r="DV136" s="46"/>
      <c r="DW136" s="42"/>
      <c r="DX136" s="47">
        <f t="shared" si="65"/>
        <v>0</v>
      </c>
      <c r="DY136" s="46"/>
      <c r="DZ136" s="46"/>
      <c r="EA136" s="46"/>
      <c r="EB136" s="46"/>
      <c r="EC136" s="46"/>
      <c r="ED136" s="46"/>
      <c r="EE136" s="47">
        <f t="shared" si="71"/>
        <v>0</v>
      </c>
      <c r="EF136" s="46"/>
      <c r="EG136" s="46"/>
      <c r="EH136" s="46"/>
      <c r="EI136" s="46"/>
      <c r="EJ136" s="46"/>
      <c r="EK136" s="47">
        <f t="shared" si="105"/>
        <v>0</v>
      </c>
      <c r="EL136" s="46">
        <f t="shared" si="106"/>
        <v>0</v>
      </c>
      <c r="EM136" s="46"/>
      <c r="EN136" s="46">
        <f t="shared" si="107"/>
        <v>0</v>
      </c>
    </row>
    <row r="137" spans="2:144" s="48" customFormat="1" ht="15" customHeight="1" x14ac:dyDescent="0.25">
      <c r="B137" s="41">
        <v>4</v>
      </c>
      <c r="C137" s="42"/>
      <c r="D137" s="43"/>
      <c r="E137" s="42"/>
      <c r="F137" s="42"/>
      <c r="G137" s="42"/>
      <c r="H137" s="42"/>
      <c r="I137" s="42"/>
      <c r="J137" s="42"/>
      <c r="K137" s="42"/>
      <c r="L137" s="42"/>
      <c r="M137" s="42"/>
      <c r="N137" s="41"/>
      <c r="O137" s="41"/>
      <c r="P137" s="42"/>
      <c r="Q137" s="45"/>
      <c r="R137" s="45"/>
      <c r="S137" s="42"/>
      <c r="T137" s="46"/>
      <c r="U137" s="46"/>
      <c r="V137" s="42"/>
      <c r="W137" s="42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>
        <f t="shared" si="100"/>
        <v>0</v>
      </c>
      <c r="AO137" s="47">
        <f t="shared" si="101"/>
        <v>0</v>
      </c>
      <c r="AP137" s="46" t="s">
        <v>98</v>
      </c>
      <c r="AQ137" s="46">
        <f>18%*AO137</f>
        <v>0</v>
      </c>
      <c r="AR137" s="46"/>
      <c r="AS137" s="46"/>
      <c r="AT137" s="46"/>
      <c r="AU137" s="47">
        <f t="shared" si="102"/>
        <v>0</v>
      </c>
      <c r="AV137" s="46"/>
      <c r="AW137" s="47">
        <f>AQ137+AU137+AV137+AR137</f>
        <v>0</v>
      </c>
      <c r="AX137" s="46"/>
      <c r="AY137" s="46"/>
      <c r="AZ137" s="46"/>
      <c r="BA137" s="46"/>
      <c r="BB137" s="46"/>
      <c r="BC137" s="47">
        <f t="shared" si="109"/>
        <v>0</v>
      </c>
      <c r="BD137" s="46"/>
      <c r="BE137" s="47">
        <f>+AY137+AZ137+BC137+BD137</f>
        <v>0</v>
      </c>
      <c r="BF137" s="46"/>
      <c r="BG137" s="46"/>
      <c r="BH137" s="46"/>
      <c r="BI137" s="46"/>
      <c r="BJ137" s="46"/>
      <c r="BK137" s="46"/>
      <c r="BL137" s="46"/>
      <c r="BM137" s="46">
        <f t="shared" si="110"/>
        <v>0</v>
      </c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>
        <f t="shared" si="111"/>
        <v>0</v>
      </c>
      <c r="CQ137" s="46"/>
      <c r="CR137" s="47">
        <f t="shared" si="82"/>
        <v>0</v>
      </c>
      <c r="CS137" s="46"/>
      <c r="CT137" s="46"/>
      <c r="CU137" s="46"/>
      <c r="CV137" s="46"/>
      <c r="CW137" s="47">
        <f t="shared" si="112"/>
        <v>0</v>
      </c>
      <c r="CX137" s="46"/>
      <c r="CY137" s="47">
        <f t="shared" si="84"/>
        <v>0</v>
      </c>
      <c r="CZ137" s="46"/>
      <c r="DA137" s="46"/>
      <c r="DB137" s="46"/>
      <c r="DC137" s="46"/>
      <c r="DD137" s="47">
        <f>+DB137*DC137</f>
        <v>0</v>
      </c>
      <c r="DE137" s="46"/>
      <c r="DF137" s="46">
        <f t="shared" si="113"/>
        <v>0</v>
      </c>
      <c r="DG137" s="42"/>
      <c r="DH137" s="46">
        <f t="shared" si="103"/>
        <v>0</v>
      </c>
      <c r="DI137" s="46"/>
      <c r="DJ137" s="46"/>
      <c r="DK137" s="47">
        <f t="shared" si="108"/>
        <v>0</v>
      </c>
      <c r="DL137" s="47">
        <f t="shared" si="104"/>
        <v>0</v>
      </c>
      <c r="DM137" s="42"/>
      <c r="DN137" s="46">
        <f t="shared" si="98"/>
        <v>0</v>
      </c>
      <c r="DO137" s="46"/>
      <c r="DP137" s="46">
        <f t="shared" si="74"/>
        <v>0</v>
      </c>
      <c r="DQ137" s="46"/>
      <c r="DR137" s="46">
        <f t="shared" si="87"/>
        <v>0</v>
      </c>
      <c r="DS137" s="46"/>
      <c r="DT137" s="46">
        <f t="shared" si="99"/>
        <v>0</v>
      </c>
      <c r="DU137" s="46"/>
      <c r="DV137" s="46"/>
      <c r="DW137" s="46"/>
      <c r="DX137" s="47">
        <f t="shared" ref="DX137:DX200" si="114">+DN137+DP137+DR137+DT137+DV137</f>
        <v>0</v>
      </c>
      <c r="DY137" s="46"/>
      <c r="DZ137" s="46"/>
      <c r="EA137" s="46"/>
      <c r="EB137" s="46"/>
      <c r="EC137" s="46"/>
      <c r="ED137" s="46"/>
      <c r="EE137" s="47">
        <f t="shared" si="71"/>
        <v>0</v>
      </c>
      <c r="EF137" s="46"/>
      <c r="EG137" s="46"/>
      <c r="EH137" s="46"/>
      <c r="EI137" s="46"/>
      <c r="EJ137" s="46"/>
      <c r="EK137" s="47">
        <f t="shared" si="105"/>
        <v>0</v>
      </c>
      <c r="EL137" s="46">
        <f t="shared" si="106"/>
        <v>0</v>
      </c>
      <c r="EM137" s="46"/>
      <c r="EN137" s="46">
        <f t="shared" si="107"/>
        <v>0</v>
      </c>
    </row>
    <row r="138" spans="2:144" s="48" customFormat="1" ht="15" customHeight="1" x14ac:dyDescent="0.25">
      <c r="B138" s="41">
        <v>5</v>
      </c>
      <c r="C138" s="42"/>
      <c r="D138" s="43"/>
      <c r="E138" s="42"/>
      <c r="F138" s="42"/>
      <c r="G138" s="42"/>
      <c r="H138" s="42"/>
      <c r="I138" s="42"/>
      <c r="J138" s="42"/>
      <c r="K138" s="42"/>
      <c r="L138" s="42"/>
      <c r="M138" s="42"/>
      <c r="N138" s="41"/>
      <c r="O138" s="93"/>
      <c r="P138" s="42"/>
      <c r="Q138" s="45"/>
      <c r="R138" s="45"/>
      <c r="S138" s="42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2"/>
      <c r="AL138" s="46"/>
      <c r="AM138" s="42"/>
      <c r="AN138" s="46">
        <f t="shared" si="100"/>
        <v>0</v>
      </c>
      <c r="AO138" s="47">
        <f t="shared" si="101"/>
        <v>0</v>
      </c>
      <c r="AP138" s="42" t="s">
        <v>101</v>
      </c>
      <c r="AQ138" s="46">
        <f>18%*AO138</f>
        <v>0</v>
      </c>
      <c r="AR138" s="46"/>
      <c r="AS138" s="42"/>
      <c r="AT138" s="46"/>
      <c r="AU138" s="47">
        <f t="shared" si="102"/>
        <v>0</v>
      </c>
      <c r="AV138" s="46"/>
      <c r="AW138" s="47">
        <f>AQ138+AR138+AU138+AV138</f>
        <v>0</v>
      </c>
      <c r="AX138" s="42"/>
      <c r="AY138" s="42"/>
      <c r="AZ138" s="42"/>
      <c r="BA138" s="42"/>
      <c r="BB138" s="42"/>
      <c r="BC138" s="47">
        <f t="shared" si="109"/>
        <v>0</v>
      </c>
      <c r="BD138" s="42"/>
      <c r="BE138" s="47">
        <f>+AY138+AZ138+BC138+BD138</f>
        <v>0</v>
      </c>
      <c r="BF138" s="42"/>
      <c r="BG138" s="42"/>
      <c r="BH138" s="42"/>
      <c r="BI138" s="42"/>
      <c r="BJ138" s="42"/>
      <c r="BK138" s="42"/>
      <c r="BL138" s="42"/>
      <c r="BM138" s="46">
        <f t="shared" si="110"/>
        <v>0</v>
      </c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6">
        <f t="shared" si="111"/>
        <v>0</v>
      </c>
      <c r="CQ138" s="46"/>
      <c r="CR138" s="47">
        <f t="shared" si="82"/>
        <v>0</v>
      </c>
      <c r="CS138" s="46"/>
      <c r="CT138" s="46"/>
      <c r="CU138" s="46"/>
      <c r="CV138" s="46"/>
      <c r="CW138" s="47">
        <f t="shared" si="112"/>
        <v>0</v>
      </c>
      <c r="CX138" s="46"/>
      <c r="CY138" s="47">
        <f t="shared" si="84"/>
        <v>0</v>
      </c>
      <c r="CZ138" s="46"/>
      <c r="DA138" s="46"/>
      <c r="DB138" s="46"/>
      <c r="DC138" s="46"/>
      <c r="DD138" s="47">
        <f>+DB138*DC138</f>
        <v>0</v>
      </c>
      <c r="DE138" s="42"/>
      <c r="DF138" s="46">
        <f t="shared" si="113"/>
        <v>0</v>
      </c>
      <c r="DG138" s="42"/>
      <c r="DH138" s="46">
        <f t="shared" si="103"/>
        <v>0</v>
      </c>
      <c r="DI138" s="46"/>
      <c r="DJ138" s="46"/>
      <c r="DK138" s="47">
        <f t="shared" si="108"/>
        <v>0</v>
      </c>
      <c r="DL138" s="47">
        <f t="shared" si="104"/>
        <v>0</v>
      </c>
      <c r="DM138" s="42"/>
      <c r="DN138" s="46">
        <f t="shared" si="98"/>
        <v>0</v>
      </c>
      <c r="DO138" s="42"/>
      <c r="DP138" s="46">
        <f t="shared" si="74"/>
        <v>0</v>
      </c>
      <c r="DQ138" s="42"/>
      <c r="DR138" s="46">
        <f t="shared" si="87"/>
        <v>0</v>
      </c>
      <c r="DS138" s="42"/>
      <c r="DT138" s="46">
        <f t="shared" si="99"/>
        <v>0</v>
      </c>
      <c r="DU138" s="42"/>
      <c r="DV138" s="46"/>
      <c r="DW138" s="42"/>
      <c r="DX138" s="47">
        <f t="shared" si="114"/>
        <v>0</v>
      </c>
      <c r="DY138" s="46"/>
      <c r="DZ138" s="46"/>
      <c r="EA138" s="46"/>
      <c r="EB138" s="46"/>
      <c r="EC138" s="46"/>
      <c r="ED138" s="46"/>
      <c r="EE138" s="47">
        <f t="shared" si="71"/>
        <v>0</v>
      </c>
      <c r="EF138" s="46"/>
      <c r="EG138" s="46"/>
      <c r="EH138" s="46"/>
      <c r="EI138" s="46"/>
      <c r="EJ138" s="46"/>
      <c r="EK138" s="47">
        <f t="shared" si="105"/>
        <v>0</v>
      </c>
      <c r="EL138" s="46">
        <f t="shared" si="106"/>
        <v>0</v>
      </c>
      <c r="EM138" s="46"/>
      <c r="EN138" s="46">
        <f t="shared" si="107"/>
        <v>0</v>
      </c>
    </row>
    <row r="139" spans="2:144" s="48" customFormat="1" x14ac:dyDescent="0.25">
      <c r="B139" s="41">
        <v>6</v>
      </c>
      <c r="C139" s="42"/>
      <c r="D139" s="43"/>
      <c r="E139" s="42"/>
      <c r="F139" s="42"/>
      <c r="G139" s="42"/>
      <c r="H139" s="42"/>
      <c r="I139" s="42"/>
      <c r="J139" s="42"/>
      <c r="K139" s="42"/>
      <c r="L139" s="42"/>
      <c r="M139" s="42"/>
      <c r="N139" s="41"/>
      <c r="O139" s="41"/>
      <c r="P139" s="42"/>
      <c r="Q139" s="45"/>
      <c r="R139" s="45"/>
      <c r="S139" s="42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2"/>
      <c r="AL139" s="42"/>
      <c r="AM139" s="42"/>
      <c r="AN139" s="46">
        <f t="shared" si="100"/>
        <v>0</v>
      </c>
      <c r="AO139" s="47">
        <f t="shared" si="101"/>
        <v>0</v>
      </c>
      <c r="AP139" s="42" t="s">
        <v>98</v>
      </c>
      <c r="AQ139" s="46">
        <f>20%*AO139</f>
        <v>0</v>
      </c>
      <c r="AR139" s="42"/>
      <c r="AS139" s="42"/>
      <c r="AT139" s="46"/>
      <c r="AU139" s="47">
        <f t="shared" si="102"/>
        <v>0</v>
      </c>
      <c r="AV139" s="46"/>
      <c r="AW139" s="47">
        <f>AQ139+AR139+AU139+AV139</f>
        <v>0</v>
      </c>
      <c r="AX139" s="42"/>
      <c r="AY139" s="42"/>
      <c r="AZ139" s="42"/>
      <c r="BA139" s="42"/>
      <c r="BB139" s="42"/>
      <c r="BC139" s="47">
        <f t="shared" si="109"/>
        <v>0</v>
      </c>
      <c r="BD139" s="42"/>
      <c r="BE139" s="47">
        <f>+AY139+AZ139+BC139+BD139</f>
        <v>0</v>
      </c>
      <c r="BF139" s="42"/>
      <c r="BG139" s="42"/>
      <c r="BH139" s="42"/>
      <c r="BI139" s="42"/>
      <c r="BJ139" s="42"/>
      <c r="BK139" s="42"/>
      <c r="BL139" s="42"/>
      <c r="BM139" s="46">
        <f t="shared" si="110"/>
        <v>0</v>
      </c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6">
        <f t="shared" si="111"/>
        <v>0</v>
      </c>
      <c r="CQ139" s="46"/>
      <c r="CR139" s="47">
        <f t="shared" si="82"/>
        <v>0</v>
      </c>
      <c r="CS139" s="46"/>
      <c r="CT139" s="46"/>
      <c r="CU139" s="46"/>
      <c r="CV139" s="46"/>
      <c r="CW139" s="47">
        <f t="shared" si="112"/>
        <v>0</v>
      </c>
      <c r="CX139" s="46"/>
      <c r="CY139" s="47">
        <f t="shared" si="84"/>
        <v>0</v>
      </c>
      <c r="CZ139" s="46"/>
      <c r="DA139" s="46"/>
      <c r="DB139" s="46"/>
      <c r="DC139" s="46"/>
      <c r="DD139" s="47">
        <f>+DB139*DC139</f>
        <v>0</v>
      </c>
      <c r="DE139" s="42"/>
      <c r="DF139" s="46">
        <f t="shared" si="113"/>
        <v>0</v>
      </c>
      <c r="DG139" s="42"/>
      <c r="DH139" s="46">
        <f t="shared" si="103"/>
        <v>0</v>
      </c>
      <c r="DI139" s="46"/>
      <c r="DJ139" s="46"/>
      <c r="DK139" s="47">
        <f t="shared" si="108"/>
        <v>0</v>
      </c>
      <c r="DL139" s="47">
        <f t="shared" si="104"/>
        <v>0</v>
      </c>
      <c r="DM139" s="42"/>
      <c r="DN139" s="46">
        <f t="shared" si="98"/>
        <v>0</v>
      </c>
      <c r="DO139" s="42"/>
      <c r="DP139" s="46">
        <f t="shared" si="74"/>
        <v>0</v>
      </c>
      <c r="DQ139" s="42"/>
      <c r="DR139" s="46">
        <f t="shared" si="87"/>
        <v>0</v>
      </c>
      <c r="DS139" s="42"/>
      <c r="DT139" s="46">
        <f t="shared" si="99"/>
        <v>0</v>
      </c>
      <c r="DU139" s="42"/>
      <c r="DV139" s="46"/>
      <c r="DW139" s="42"/>
      <c r="DX139" s="47">
        <f t="shared" si="114"/>
        <v>0</v>
      </c>
      <c r="DY139" s="46"/>
      <c r="DZ139" s="46"/>
      <c r="EA139" s="46"/>
      <c r="EB139" s="46"/>
      <c r="EC139" s="46"/>
      <c r="ED139" s="46"/>
      <c r="EE139" s="47">
        <f t="shared" si="71"/>
        <v>0</v>
      </c>
      <c r="EF139" s="46"/>
      <c r="EG139" s="46"/>
      <c r="EH139" s="46"/>
      <c r="EI139" s="46"/>
      <c r="EJ139" s="46"/>
      <c r="EK139" s="47">
        <f t="shared" si="105"/>
        <v>0</v>
      </c>
      <c r="EL139" s="46">
        <f t="shared" si="106"/>
        <v>0</v>
      </c>
      <c r="EM139" s="46"/>
      <c r="EN139" s="46">
        <f t="shared" si="107"/>
        <v>0</v>
      </c>
    </row>
    <row r="140" spans="2:144" s="48" customFormat="1" ht="15" customHeight="1" x14ac:dyDescent="0.25">
      <c r="B140" s="41"/>
      <c r="C140" s="81" t="s">
        <v>109</v>
      </c>
      <c r="D140" s="43"/>
      <c r="E140" s="42"/>
      <c r="F140" s="42"/>
      <c r="G140" s="42"/>
      <c r="H140" s="42"/>
      <c r="I140" s="42"/>
      <c r="J140" s="42"/>
      <c r="K140" s="42"/>
      <c r="L140" s="42"/>
      <c r="M140" s="42"/>
      <c r="N140" s="41"/>
      <c r="O140" s="41"/>
      <c r="P140" s="42"/>
      <c r="Q140" s="45"/>
      <c r="R140" s="45"/>
      <c r="S140" s="42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2"/>
      <c r="AL140" s="42"/>
      <c r="AM140" s="42"/>
      <c r="AN140" s="46">
        <f t="shared" si="100"/>
        <v>0</v>
      </c>
      <c r="AO140" s="47">
        <f t="shared" si="101"/>
        <v>0</v>
      </c>
      <c r="AP140" s="42" t="s">
        <v>98</v>
      </c>
      <c r="AQ140" s="46">
        <f>23%*AO140</f>
        <v>0</v>
      </c>
      <c r="AR140" s="42"/>
      <c r="AS140" s="42"/>
      <c r="AT140" s="46"/>
      <c r="AU140" s="47">
        <f t="shared" si="102"/>
        <v>0</v>
      </c>
      <c r="AV140" s="46"/>
      <c r="AW140" s="47">
        <f>AQ140+AR140+AU140+AV140</f>
        <v>0</v>
      </c>
      <c r="AX140" s="42"/>
      <c r="AY140" s="42"/>
      <c r="AZ140" s="42"/>
      <c r="BA140" s="42"/>
      <c r="BB140" s="42"/>
      <c r="BC140" s="47">
        <f t="shared" si="109"/>
        <v>0</v>
      </c>
      <c r="BD140" s="42"/>
      <c r="BE140" s="47"/>
      <c r="BF140" s="42"/>
      <c r="BG140" s="42"/>
      <c r="BH140" s="42"/>
      <c r="BI140" s="42"/>
      <c r="BJ140" s="42"/>
      <c r="BK140" s="42"/>
      <c r="BL140" s="42"/>
      <c r="BM140" s="46">
        <f t="shared" si="110"/>
        <v>0</v>
      </c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6">
        <f t="shared" si="111"/>
        <v>0</v>
      </c>
      <c r="CQ140" s="46"/>
      <c r="CR140" s="47">
        <f t="shared" si="82"/>
        <v>0</v>
      </c>
      <c r="CS140" s="46"/>
      <c r="CT140" s="46"/>
      <c r="CU140" s="46"/>
      <c r="CV140" s="46"/>
      <c r="CW140" s="47">
        <f t="shared" si="112"/>
        <v>0</v>
      </c>
      <c r="CX140" s="46"/>
      <c r="CY140" s="47">
        <f t="shared" si="84"/>
        <v>0</v>
      </c>
      <c r="CZ140" s="46"/>
      <c r="DA140" s="46"/>
      <c r="DB140" s="46"/>
      <c r="DC140" s="46"/>
      <c r="DD140" s="47"/>
      <c r="DE140" s="42"/>
      <c r="DF140" s="46">
        <f t="shared" si="113"/>
        <v>0</v>
      </c>
      <c r="DG140" s="42"/>
      <c r="DH140" s="46">
        <f t="shared" si="103"/>
        <v>0</v>
      </c>
      <c r="DI140" s="46"/>
      <c r="DJ140" s="46"/>
      <c r="DK140" s="47">
        <f t="shared" si="108"/>
        <v>0</v>
      </c>
      <c r="DL140" s="47">
        <f t="shared" si="104"/>
        <v>0</v>
      </c>
      <c r="DM140" s="42"/>
      <c r="DN140" s="46">
        <f t="shared" si="98"/>
        <v>0</v>
      </c>
      <c r="DO140" s="42"/>
      <c r="DP140" s="46">
        <f t="shared" si="74"/>
        <v>0</v>
      </c>
      <c r="DQ140" s="42"/>
      <c r="DR140" s="46">
        <f t="shared" si="87"/>
        <v>0</v>
      </c>
      <c r="DS140" s="42"/>
      <c r="DT140" s="46">
        <f t="shared" si="99"/>
        <v>0</v>
      </c>
      <c r="DU140" s="42"/>
      <c r="DV140" s="46"/>
      <c r="DW140" s="42"/>
      <c r="DX140" s="47">
        <f t="shared" si="114"/>
        <v>0</v>
      </c>
      <c r="DY140" s="46"/>
      <c r="DZ140" s="46"/>
      <c r="EA140" s="46"/>
      <c r="EB140" s="46"/>
      <c r="EC140" s="46"/>
      <c r="ED140" s="46"/>
      <c r="EE140" s="47">
        <f t="shared" si="71"/>
        <v>0</v>
      </c>
      <c r="EF140" s="46"/>
      <c r="EG140" s="46"/>
      <c r="EH140" s="46"/>
      <c r="EI140" s="46"/>
      <c r="EJ140" s="46"/>
      <c r="EK140" s="47">
        <f t="shared" si="105"/>
        <v>0</v>
      </c>
      <c r="EL140" s="46">
        <f t="shared" si="106"/>
        <v>0</v>
      </c>
      <c r="EM140" s="46"/>
      <c r="EN140" s="46">
        <f t="shared" si="107"/>
        <v>0</v>
      </c>
    </row>
    <row r="141" spans="2:144" ht="15" customHeight="1" x14ac:dyDescent="0.25">
      <c r="B141" s="88">
        <v>1</v>
      </c>
      <c r="C141" s="86"/>
      <c r="D141" s="87"/>
      <c r="E141" s="86"/>
      <c r="F141" s="86"/>
      <c r="G141" s="86"/>
      <c r="H141" s="86"/>
      <c r="I141" s="86"/>
      <c r="J141" s="86"/>
      <c r="K141" s="86"/>
      <c r="L141" s="86"/>
      <c r="M141" s="86"/>
      <c r="N141" s="88"/>
      <c r="O141" s="88"/>
      <c r="P141" s="86"/>
      <c r="Q141" s="89"/>
      <c r="R141" s="89"/>
      <c r="S141" s="86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86"/>
      <c r="AL141" s="86"/>
      <c r="AM141" s="86"/>
      <c r="AN141" s="90">
        <f t="shared" si="100"/>
        <v>0</v>
      </c>
      <c r="AO141" s="64">
        <f t="shared" si="101"/>
        <v>0</v>
      </c>
      <c r="AP141" s="86" t="s">
        <v>102</v>
      </c>
      <c r="AQ141" s="90"/>
      <c r="AR141" s="86"/>
      <c r="AS141" s="86"/>
      <c r="AT141" s="90"/>
      <c r="AU141" s="90">
        <f t="shared" si="102"/>
        <v>0</v>
      </c>
      <c r="AV141" s="90"/>
      <c r="AW141" s="64">
        <f>AQ141+AR141+AU141+AV141</f>
        <v>0</v>
      </c>
      <c r="AX141" s="86"/>
      <c r="AY141" s="86"/>
      <c r="AZ141" s="86"/>
      <c r="BA141" s="86"/>
      <c r="BB141" s="86"/>
      <c r="BC141" s="64">
        <f t="shared" si="109"/>
        <v>0</v>
      </c>
      <c r="BD141" s="86"/>
      <c r="BE141" s="64"/>
      <c r="BF141" s="86"/>
      <c r="BG141" s="86"/>
      <c r="BH141" s="86"/>
      <c r="BI141" s="86"/>
      <c r="BJ141" s="86"/>
      <c r="BK141" s="86"/>
      <c r="BL141" s="86"/>
      <c r="BM141" s="90">
        <f t="shared" si="110"/>
        <v>0</v>
      </c>
      <c r="BN141" s="86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90">
        <f t="shared" si="111"/>
        <v>0</v>
      </c>
      <c r="CQ141" s="90"/>
      <c r="CR141" s="64">
        <f t="shared" si="82"/>
        <v>0</v>
      </c>
      <c r="CS141" s="90"/>
      <c r="CT141" s="90"/>
      <c r="CU141" s="90"/>
      <c r="CV141" s="90"/>
      <c r="CW141" s="64">
        <f t="shared" si="112"/>
        <v>0</v>
      </c>
      <c r="CX141" s="90"/>
      <c r="CY141" s="47">
        <f t="shared" si="84"/>
        <v>0</v>
      </c>
      <c r="CZ141" s="90"/>
      <c r="DA141" s="90"/>
      <c r="DB141" s="90"/>
      <c r="DC141" s="90"/>
      <c r="DD141" s="64"/>
      <c r="DE141" s="86"/>
      <c r="DF141" s="90">
        <f t="shared" si="113"/>
        <v>0</v>
      </c>
      <c r="DG141" s="86"/>
      <c r="DH141" s="90">
        <f t="shared" si="103"/>
        <v>0</v>
      </c>
      <c r="DI141" s="90"/>
      <c r="DJ141" s="90"/>
      <c r="DK141" s="64">
        <f t="shared" si="108"/>
        <v>0</v>
      </c>
      <c r="DL141" s="64">
        <f t="shared" si="104"/>
        <v>0</v>
      </c>
      <c r="DM141" s="86"/>
      <c r="DN141" s="90">
        <f t="shared" si="98"/>
        <v>0</v>
      </c>
      <c r="DO141" s="86"/>
      <c r="DP141" s="90">
        <f t="shared" si="74"/>
        <v>0</v>
      </c>
      <c r="DQ141" s="86"/>
      <c r="DR141" s="90">
        <f t="shared" si="87"/>
        <v>0</v>
      </c>
      <c r="DS141" s="86"/>
      <c r="DT141" s="90">
        <f t="shared" si="99"/>
        <v>0</v>
      </c>
      <c r="DU141" s="86"/>
      <c r="DV141" s="90"/>
      <c r="DW141" s="86"/>
      <c r="DX141" s="64">
        <f t="shared" si="114"/>
        <v>0</v>
      </c>
      <c r="DY141" s="90"/>
      <c r="DZ141" s="90"/>
      <c r="EA141" s="90"/>
      <c r="EB141" s="90"/>
      <c r="EC141" s="90"/>
      <c r="ED141" s="90"/>
      <c r="EE141" s="64">
        <f t="shared" si="71"/>
        <v>0</v>
      </c>
      <c r="EF141" s="90"/>
      <c r="EG141" s="90"/>
      <c r="EH141" s="90"/>
      <c r="EI141" s="90"/>
      <c r="EJ141" s="90"/>
      <c r="EK141" s="64">
        <f t="shared" si="105"/>
        <v>0</v>
      </c>
      <c r="EL141" s="90">
        <f t="shared" si="106"/>
        <v>0</v>
      </c>
      <c r="EM141" s="90"/>
      <c r="EN141" s="90">
        <f t="shared" si="107"/>
        <v>0</v>
      </c>
    </row>
    <row r="142" spans="2:144" s="51" customFormat="1" ht="15" customHeight="1" x14ac:dyDescent="0.25">
      <c r="B142" s="41">
        <v>2</v>
      </c>
      <c r="C142" s="52"/>
      <c r="D142" s="53"/>
      <c r="E142" s="42"/>
      <c r="F142" s="52"/>
      <c r="G142" s="52"/>
      <c r="H142" s="52"/>
      <c r="I142" s="52"/>
      <c r="J142" s="52"/>
      <c r="K142" s="52"/>
      <c r="L142" s="52"/>
      <c r="M142" s="52"/>
      <c r="N142" s="54"/>
      <c r="O142" s="54"/>
      <c r="P142" s="52"/>
      <c r="Q142" s="55"/>
      <c r="R142" s="55"/>
      <c r="S142" s="55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47">
        <f t="shared" si="100"/>
        <v>0</v>
      </c>
      <c r="AO142" s="46">
        <f t="shared" si="101"/>
        <v>0</v>
      </c>
      <c r="AP142" s="42" t="s">
        <v>98</v>
      </c>
      <c r="AQ142" s="46">
        <f>20%*AO142</f>
        <v>0</v>
      </c>
      <c r="AR142" s="56"/>
      <c r="AS142" s="56"/>
      <c r="AT142" s="56"/>
      <c r="AU142" s="60">
        <f t="shared" si="102"/>
        <v>0</v>
      </c>
      <c r="AV142" s="56"/>
      <c r="AW142" s="47">
        <f>AQ142+AU142+AV142+AR142</f>
        <v>0</v>
      </c>
      <c r="AX142" s="56"/>
      <c r="AY142" s="56"/>
      <c r="AZ142" s="56"/>
      <c r="BA142" s="56"/>
      <c r="BB142" s="56"/>
      <c r="BC142" s="47">
        <f t="shared" si="109"/>
        <v>0</v>
      </c>
      <c r="BD142" s="56"/>
      <c r="BE142" s="47">
        <f>+AY142+AZ142+BC142+BD142</f>
        <v>0</v>
      </c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7"/>
      <c r="CQ142" s="56"/>
      <c r="CR142" s="47">
        <f t="shared" si="82"/>
        <v>0</v>
      </c>
      <c r="CS142" s="56"/>
      <c r="CT142" s="56"/>
      <c r="CU142" s="56"/>
      <c r="CV142" s="56"/>
      <c r="CW142" s="47">
        <f t="shared" si="112"/>
        <v>0</v>
      </c>
      <c r="CX142" s="46"/>
      <c r="CY142" s="47">
        <f t="shared" si="84"/>
        <v>0</v>
      </c>
      <c r="CZ142" s="56"/>
      <c r="DA142" s="56"/>
      <c r="DB142" s="56"/>
      <c r="DC142" s="56"/>
      <c r="DD142" s="47"/>
      <c r="DE142" s="56"/>
      <c r="DF142" s="46"/>
      <c r="DG142" s="56"/>
      <c r="DH142" s="57">
        <f t="shared" si="103"/>
        <v>0</v>
      </c>
      <c r="DI142" s="56"/>
      <c r="DJ142" s="56"/>
      <c r="DK142" s="47">
        <f t="shared" si="108"/>
        <v>0</v>
      </c>
      <c r="DL142" s="47">
        <f t="shared" si="104"/>
        <v>0</v>
      </c>
      <c r="DM142" s="56"/>
      <c r="DN142" s="46">
        <f t="shared" si="98"/>
        <v>0</v>
      </c>
      <c r="DO142" s="56"/>
      <c r="DP142" s="46">
        <f t="shared" si="74"/>
        <v>0</v>
      </c>
      <c r="DQ142" s="56"/>
      <c r="DR142" s="46">
        <f t="shared" si="87"/>
        <v>0</v>
      </c>
      <c r="DS142" s="56"/>
      <c r="DT142" s="46">
        <f t="shared" si="99"/>
        <v>0</v>
      </c>
      <c r="DU142" s="56"/>
      <c r="DV142" s="46">
        <f>DT142/2</f>
        <v>0</v>
      </c>
      <c r="DW142" s="56"/>
      <c r="DX142" s="47">
        <f t="shared" si="114"/>
        <v>0</v>
      </c>
      <c r="DY142" s="56"/>
      <c r="DZ142" s="56"/>
      <c r="EA142" s="56"/>
      <c r="EB142" s="56"/>
      <c r="EC142" s="56"/>
      <c r="ED142" s="56"/>
      <c r="EE142" s="47">
        <f t="shared" si="71"/>
        <v>0</v>
      </c>
      <c r="EF142" s="56"/>
      <c r="EG142" s="56"/>
      <c r="EH142" s="56"/>
      <c r="EI142" s="56"/>
      <c r="EJ142" s="56"/>
      <c r="EK142" s="47">
        <f t="shared" si="105"/>
        <v>0</v>
      </c>
      <c r="EL142" s="46">
        <f t="shared" si="106"/>
        <v>0</v>
      </c>
      <c r="EM142" s="56"/>
      <c r="EN142" s="61">
        <f t="shared" si="107"/>
        <v>0</v>
      </c>
    </row>
    <row r="143" spans="2:144" s="48" customFormat="1" ht="15" customHeight="1" x14ac:dyDescent="0.25">
      <c r="B143" s="41">
        <v>3</v>
      </c>
      <c r="C143" s="42"/>
      <c r="D143" s="43"/>
      <c r="E143" s="42"/>
      <c r="F143" s="42"/>
      <c r="G143" s="42"/>
      <c r="H143" s="42"/>
      <c r="I143" s="42"/>
      <c r="J143" s="42"/>
      <c r="K143" s="42"/>
      <c r="L143" s="42"/>
      <c r="M143" s="42"/>
      <c r="N143" s="41"/>
      <c r="O143" s="41"/>
      <c r="P143" s="42"/>
      <c r="Q143" s="45"/>
      <c r="R143" s="45"/>
      <c r="S143" s="45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>
        <f t="shared" si="100"/>
        <v>0</v>
      </c>
      <c r="AO143" s="47">
        <f t="shared" si="101"/>
        <v>0</v>
      </c>
      <c r="AP143" s="46" t="s">
        <v>98</v>
      </c>
      <c r="AQ143" s="46">
        <f>20%*AO143</f>
        <v>0</v>
      </c>
      <c r="AR143" s="46"/>
      <c r="AS143" s="46"/>
      <c r="AT143" s="46"/>
      <c r="AU143" s="46">
        <f t="shared" si="102"/>
        <v>0</v>
      </c>
      <c r="AV143" s="46"/>
      <c r="AW143" s="47">
        <f t="shared" ref="AW143:AW157" si="115">AQ143+AR143+AU143+AV143</f>
        <v>0</v>
      </c>
      <c r="AX143" s="46"/>
      <c r="AY143" s="46"/>
      <c r="AZ143" s="46"/>
      <c r="BA143" s="46"/>
      <c r="BB143" s="46"/>
      <c r="BC143" s="47">
        <f t="shared" si="109"/>
        <v>0</v>
      </c>
      <c r="BD143" s="46"/>
      <c r="BE143" s="46"/>
      <c r="BF143" s="46">
        <f>SUM(BF9:BF101)</f>
        <v>0</v>
      </c>
      <c r="BG143" s="46">
        <f>SUM(BG9:BG101)</f>
        <v>0</v>
      </c>
      <c r="BH143" s="46">
        <f>SUM(BH9:BH101)</f>
        <v>0</v>
      </c>
      <c r="BI143" s="46"/>
      <c r="BJ143" s="46"/>
      <c r="BK143" s="46"/>
      <c r="BL143" s="46">
        <f>SUM(BL9:BL101)</f>
        <v>0</v>
      </c>
      <c r="BM143" s="46">
        <f t="shared" ref="BM143:BM157" si="116">BK143</f>
        <v>0</v>
      </c>
      <c r="BN143" s="46"/>
      <c r="BO143" s="46"/>
      <c r="BP143" s="46"/>
      <c r="BQ143" s="46"/>
      <c r="BR143" s="46"/>
      <c r="BS143" s="46"/>
      <c r="BT143" s="46">
        <f>SUM(BT9:BT101)</f>
        <v>0</v>
      </c>
      <c r="BU143" s="46"/>
      <c r="BV143" s="46"/>
      <c r="BW143" s="46"/>
      <c r="BX143" s="46"/>
      <c r="BY143" s="46"/>
      <c r="BZ143" s="46"/>
      <c r="CA143" s="46"/>
      <c r="CB143" s="46">
        <f>SUM(CB9:CB101)</f>
        <v>0</v>
      </c>
      <c r="CC143" s="46"/>
      <c r="CD143" s="46"/>
      <c r="CE143" s="46"/>
      <c r="CF143" s="46"/>
      <c r="CG143" s="46"/>
      <c r="CH143" s="46"/>
      <c r="CI143" s="46"/>
      <c r="CJ143" s="46">
        <f>SUM(CJ9:CJ101)</f>
        <v>0</v>
      </c>
      <c r="CK143" s="46"/>
      <c r="CL143" s="46"/>
      <c r="CM143" s="46"/>
      <c r="CN143" s="46"/>
      <c r="CO143" s="46"/>
      <c r="CP143" s="46">
        <f>CN143*CO143</f>
        <v>0</v>
      </c>
      <c r="CQ143" s="46"/>
      <c r="CR143" s="47">
        <f t="shared" si="82"/>
        <v>0</v>
      </c>
      <c r="CS143" s="46"/>
      <c r="CT143" s="46"/>
      <c r="CU143" s="46"/>
      <c r="CV143" s="46"/>
      <c r="CW143" s="47">
        <f t="shared" si="112"/>
        <v>0</v>
      </c>
      <c r="CX143" s="46"/>
      <c r="CY143" s="47">
        <f t="shared" si="84"/>
        <v>0</v>
      </c>
      <c r="CZ143" s="46">
        <f>SUM(CZ9:CZ101)</f>
        <v>0</v>
      </c>
      <c r="DA143" s="46">
        <f>SUM(DA9:DA101)</f>
        <v>0</v>
      </c>
      <c r="DB143" s="46"/>
      <c r="DC143" s="46"/>
      <c r="DD143" s="47">
        <f>+DB143*DC143</f>
        <v>0</v>
      </c>
      <c r="DE143" s="46">
        <f>SUM(DE9:DE101)</f>
        <v>0</v>
      </c>
      <c r="DF143" s="46">
        <f t="shared" ref="DF143:DF153" si="117">DC143</f>
        <v>0</v>
      </c>
      <c r="DG143" s="46"/>
      <c r="DH143" s="46">
        <f t="shared" si="103"/>
        <v>0</v>
      </c>
      <c r="DI143" s="46"/>
      <c r="DJ143" s="46"/>
      <c r="DK143" s="47">
        <f t="shared" si="108"/>
        <v>0</v>
      </c>
      <c r="DL143" s="47">
        <f t="shared" si="104"/>
        <v>0</v>
      </c>
      <c r="DM143" s="46"/>
      <c r="DN143" s="46">
        <f t="shared" si="98"/>
        <v>0</v>
      </c>
      <c r="DO143" s="46"/>
      <c r="DP143" s="46">
        <f t="shared" si="74"/>
        <v>0</v>
      </c>
      <c r="DQ143" s="46"/>
      <c r="DR143" s="46">
        <f t="shared" si="87"/>
        <v>0</v>
      </c>
      <c r="DS143" s="46"/>
      <c r="DT143" s="46">
        <f t="shared" si="99"/>
        <v>0</v>
      </c>
      <c r="DU143" s="46"/>
      <c r="DV143" s="46"/>
      <c r="DW143" s="46"/>
      <c r="DX143" s="47">
        <f t="shared" si="114"/>
        <v>0</v>
      </c>
      <c r="DY143" s="46"/>
      <c r="DZ143" s="46"/>
      <c r="EA143" s="46"/>
      <c r="EB143" s="46"/>
      <c r="EC143" s="46"/>
      <c r="ED143" s="46"/>
      <c r="EE143" s="47">
        <f t="shared" si="71"/>
        <v>0</v>
      </c>
      <c r="EF143" s="46"/>
      <c r="EG143" s="46"/>
      <c r="EH143" s="46"/>
      <c r="EI143" s="46"/>
      <c r="EJ143" s="46"/>
      <c r="EK143" s="47">
        <f t="shared" si="105"/>
        <v>0</v>
      </c>
      <c r="EL143" s="46">
        <f t="shared" si="106"/>
        <v>0</v>
      </c>
      <c r="EM143" s="46"/>
      <c r="EN143" s="46">
        <f t="shared" si="107"/>
        <v>0</v>
      </c>
    </row>
    <row r="144" spans="2:144" s="48" customFormat="1" ht="15" customHeight="1" x14ac:dyDescent="0.25">
      <c r="B144" s="41">
        <v>4</v>
      </c>
      <c r="C144" s="42"/>
      <c r="D144" s="43"/>
      <c r="E144" s="42"/>
      <c r="F144" s="42"/>
      <c r="G144" s="42"/>
      <c r="H144" s="42"/>
      <c r="I144" s="42"/>
      <c r="J144" s="42"/>
      <c r="K144" s="42"/>
      <c r="L144" s="42"/>
      <c r="M144" s="42"/>
      <c r="N144" s="41"/>
      <c r="O144" s="41"/>
      <c r="P144" s="42"/>
      <c r="Q144" s="45"/>
      <c r="R144" s="45"/>
      <c r="S144" s="42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2"/>
      <c r="AL144" s="42"/>
      <c r="AM144" s="42"/>
      <c r="AN144" s="46">
        <f t="shared" si="100"/>
        <v>0</v>
      </c>
      <c r="AO144" s="47">
        <f t="shared" si="101"/>
        <v>0</v>
      </c>
      <c r="AP144" s="42" t="s">
        <v>98</v>
      </c>
      <c r="AQ144" s="46">
        <f>23%*AO144</f>
        <v>0</v>
      </c>
      <c r="AR144" s="42"/>
      <c r="AS144" s="42"/>
      <c r="AT144" s="46"/>
      <c r="AU144" s="46">
        <f t="shared" si="102"/>
        <v>0</v>
      </c>
      <c r="AV144" s="46"/>
      <c r="AW144" s="47">
        <f t="shared" si="115"/>
        <v>0</v>
      </c>
      <c r="AX144" s="42"/>
      <c r="AY144" s="42"/>
      <c r="AZ144" s="42"/>
      <c r="BA144" s="42"/>
      <c r="BB144" s="42"/>
      <c r="BC144" s="47">
        <f t="shared" si="109"/>
        <v>0</v>
      </c>
      <c r="BD144" s="42"/>
      <c r="BE144" s="47"/>
      <c r="BF144" s="42"/>
      <c r="BG144" s="42"/>
      <c r="BH144" s="42"/>
      <c r="BI144" s="42"/>
      <c r="BJ144" s="42"/>
      <c r="BK144" s="42"/>
      <c r="BL144" s="42"/>
      <c r="BM144" s="46">
        <f t="shared" si="116"/>
        <v>0</v>
      </c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6">
        <f>CN144*CO144</f>
        <v>0</v>
      </c>
      <c r="CQ144" s="46"/>
      <c r="CR144" s="47">
        <f t="shared" si="82"/>
        <v>0</v>
      </c>
      <c r="CS144" s="46"/>
      <c r="CT144" s="46"/>
      <c r="CU144" s="46"/>
      <c r="CV144" s="46"/>
      <c r="CW144" s="47">
        <f t="shared" si="112"/>
        <v>0</v>
      </c>
      <c r="CX144" s="46"/>
      <c r="CY144" s="47"/>
      <c r="CZ144" s="46"/>
      <c r="DA144" s="46"/>
      <c r="DB144" s="46"/>
      <c r="DC144" s="46"/>
      <c r="DD144" s="47"/>
      <c r="DE144" s="42"/>
      <c r="DF144" s="46">
        <f t="shared" si="117"/>
        <v>0</v>
      </c>
      <c r="DG144" s="42"/>
      <c r="DH144" s="46">
        <f t="shared" si="103"/>
        <v>0</v>
      </c>
      <c r="DI144" s="46"/>
      <c r="DJ144" s="46"/>
      <c r="DK144" s="47">
        <f t="shared" si="108"/>
        <v>0</v>
      </c>
      <c r="DL144" s="47">
        <f t="shared" si="104"/>
        <v>0</v>
      </c>
      <c r="DM144" s="42"/>
      <c r="DN144" s="46">
        <f t="shared" si="98"/>
        <v>0</v>
      </c>
      <c r="DO144" s="42"/>
      <c r="DP144" s="46">
        <f t="shared" si="74"/>
        <v>0</v>
      </c>
      <c r="DQ144" s="42"/>
      <c r="DR144" s="46">
        <f t="shared" si="87"/>
        <v>0</v>
      </c>
      <c r="DS144" s="42"/>
      <c r="DT144" s="46">
        <f t="shared" si="99"/>
        <v>0</v>
      </c>
      <c r="DU144" s="42"/>
      <c r="DV144" s="46"/>
      <c r="DW144" s="42"/>
      <c r="DX144" s="47">
        <f t="shared" si="114"/>
        <v>0</v>
      </c>
      <c r="DY144" s="46"/>
      <c r="DZ144" s="46"/>
      <c r="EA144" s="46"/>
      <c r="EB144" s="46"/>
      <c r="EC144" s="46"/>
      <c r="ED144" s="46"/>
      <c r="EE144" s="47">
        <f t="shared" si="71"/>
        <v>0</v>
      </c>
      <c r="EF144" s="46"/>
      <c r="EG144" s="46"/>
      <c r="EH144" s="46"/>
      <c r="EI144" s="46"/>
      <c r="EJ144" s="46"/>
      <c r="EK144" s="47">
        <f t="shared" si="105"/>
        <v>0</v>
      </c>
      <c r="EL144" s="46">
        <f t="shared" si="106"/>
        <v>0</v>
      </c>
      <c r="EM144" s="46"/>
      <c r="EN144" s="46">
        <f t="shared" si="107"/>
        <v>0</v>
      </c>
    </row>
    <row r="145" spans="1:144" s="48" customFormat="1" ht="15" customHeight="1" x14ac:dyDescent="0.25">
      <c r="B145" s="41">
        <v>5</v>
      </c>
      <c r="C145" s="42"/>
      <c r="D145" s="43"/>
      <c r="E145" s="42"/>
      <c r="F145" s="42"/>
      <c r="G145" s="42"/>
      <c r="H145" s="42"/>
      <c r="I145" s="42"/>
      <c r="J145" s="42"/>
      <c r="K145" s="42"/>
      <c r="L145" s="42"/>
      <c r="M145" s="42"/>
      <c r="N145" s="41"/>
      <c r="O145" s="41"/>
      <c r="P145" s="42"/>
      <c r="Q145" s="45"/>
      <c r="R145" s="45"/>
      <c r="S145" s="45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>
        <f t="shared" si="100"/>
        <v>0</v>
      </c>
      <c r="AO145" s="47">
        <f t="shared" si="101"/>
        <v>0</v>
      </c>
      <c r="AP145" s="46" t="s">
        <v>101</v>
      </c>
      <c r="AQ145" s="46">
        <f>23%*AO145</f>
        <v>0</v>
      </c>
      <c r="AR145" s="46"/>
      <c r="AS145" s="46"/>
      <c r="AT145" s="46"/>
      <c r="AU145" s="46">
        <f t="shared" si="102"/>
        <v>0</v>
      </c>
      <c r="AV145" s="46"/>
      <c r="AW145" s="47">
        <f t="shared" si="115"/>
        <v>0</v>
      </c>
      <c r="AX145" s="46"/>
      <c r="AY145" s="46"/>
      <c r="AZ145" s="46"/>
      <c r="BA145" s="46"/>
      <c r="BB145" s="46"/>
      <c r="BC145" s="47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>
        <f t="shared" si="116"/>
        <v>0</v>
      </c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/>
      <c r="CL145" s="46"/>
      <c r="CM145" s="46"/>
      <c r="CN145" s="46"/>
      <c r="CO145" s="46"/>
      <c r="CP145" s="46"/>
      <c r="CQ145" s="46"/>
      <c r="CR145" s="47">
        <f t="shared" si="82"/>
        <v>0</v>
      </c>
      <c r="CS145" s="46"/>
      <c r="CT145" s="46"/>
      <c r="CU145" s="46"/>
      <c r="CV145" s="46"/>
      <c r="CW145" s="47"/>
      <c r="CX145" s="46"/>
      <c r="CY145" s="47"/>
      <c r="CZ145" s="46"/>
      <c r="DA145" s="46"/>
      <c r="DB145" s="46"/>
      <c r="DC145" s="46"/>
      <c r="DD145" s="47"/>
      <c r="DE145" s="46"/>
      <c r="DF145" s="46">
        <f t="shared" si="117"/>
        <v>0</v>
      </c>
      <c r="DG145" s="46"/>
      <c r="DH145" s="46">
        <f t="shared" si="103"/>
        <v>0</v>
      </c>
      <c r="DI145" s="46"/>
      <c r="DJ145" s="46"/>
      <c r="DK145" s="47">
        <f t="shared" si="108"/>
        <v>0</v>
      </c>
      <c r="DL145" s="47">
        <f t="shared" si="104"/>
        <v>0</v>
      </c>
      <c r="DM145" s="46"/>
      <c r="DN145" s="46">
        <f t="shared" si="98"/>
        <v>0</v>
      </c>
      <c r="DO145" s="46"/>
      <c r="DP145" s="46">
        <f t="shared" si="74"/>
        <v>0</v>
      </c>
      <c r="DQ145" s="46"/>
      <c r="DR145" s="46">
        <f t="shared" si="87"/>
        <v>0</v>
      </c>
      <c r="DS145" s="46"/>
      <c r="DT145" s="46">
        <f t="shared" si="99"/>
        <v>0</v>
      </c>
      <c r="DU145" s="46"/>
      <c r="DV145" s="46"/>
      <c r="DW145" s="46"/>
      <c r="DX145" s="47">
        <f t="shared" si="114"/>
        <v>0</v>
      </c>
      <c r="DY145" s="46"/>
      <c r="DZ145" s="46"/>
      <c r="EA145" s="46"/>
      <c r="EB145" s="46"/>
      <c r="EC145" s="46"/>
      <c r="ED145" s="46"/>
      <c r="EE145" s="47">
        <f t="shared" si="71"/>
        <v>0</v>
      </c>
      <c r="EF145" s="46"/>
      <c r="EG145" s="46"/>
      <c r="EH145" s="46"/>
      <c r="EI145" s="46"/>
      <c r="EJ145" s="46"/>
      <c r="EK145" s="47">
        <f t="shared" si="105"/>
        <v>0</v>
      </c>
      <c r="EL145" s="46">
        <f t="shared" si="106"/>
        <v>0</v>
      </c>
      <c r="EM145" s="46"/>
      <c r="EN145" s="46">
        <f t="shared" si="107"/>
        <v>0</v>
      </c>
    </row>
    <row r="146" spans="1:144" s="48" customFormat="1" ht="15" customHeight="1" x14ac:dyDescent="0.25">
      <c r="B146" s="41">
        <v>6</v>
      </c>
      <c r="C146" s="42"/>
      <c r="D146" s="43"/>
      <c r="E146" s="42"/>
      <c r="F146" s="42"/>
      <c r="G146" s="42"/>
      <c r="H146" s="42"/>
      <c r="I146" s="42"/>
      <c r="J146" s="42"/>
      <c r="K146" s="42"/>
      <c r="L146" s="42"/>
      <c r="M146" s="42"/>
      <c r="N146" s="41"/>
      <c r="O146" s="41"/>
      <c r="P146" s="42"/>
      <c r="Q146" s="45"/>
      <c r="R146" s="45"/>
      <c r="S146" s="45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>
        <f t="shared" si="100"/>
        <v>0</v>
      </c>
      <c r="AO146" s="47">
        <f t="shared" si="101"/>
        <v>0</v>
      </c>
      <c r="AP146" s="46" t="s">
        <v>102</v>
      </c>
      <c r="AQ146" s="46">
        <f>23%*AO146</f>
        <v>0</v>
      </c>
      <c r="AR146" s="46"/>
      <c r="AS146" s="46"/>
      <c r="AT146" s="46"/>
      <c r="AU146" s="46">
        <f t="shared" si="102"/>
        <v>0</v>
      </c>
      <c r="AV146" s="46"/>
      <c r="AW146" s="47">
        <f t="shared" si="115"/>
        <v>0</v>
      </c>
      <c r="AX146" s="46"/>
      <c r="AY146" s="46"/>
      <c r="AZ146" s="46"/>
      <c r="BA146" s="46"/>
      <c r="BB146" s="46"/>
      <c r="BC146" s="47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>
        <f t="shared" si="116"/>
        <v>0</v>
      </c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7">
        <f t="shared" si="82"/>
        <v>0</v>
      </c>
      <c r="CS146" s="46"/>
      <c r="CT146" s="46"/>
      <c r="CU146" s="46"/>
      <c r="CV146" s="46"/>
      <c r="CW146" s="47"/>
      <c r="CX146" s="46"/>
      <c r="CY146" s="47"/>
      <c r="CZ146" s="46"/>
      <c r="DA146" s="46"/>
      <c r="DB146" s="46"/>
      <c r="DC146" s="46"/>
      <c r="DD146" s="47"/>
      <c r="DE146" s="46"/>
      <c r="DF146" s="46">
        <f t="shared" si="117"/>
        <v>0</v>
      </c>
      <c r="DG146" s="46"/>
      <c r="DH146" s="46">
        <f t="shared" si="103"/>
        <v>0</v>
      </c>
      <c r="DI146" s="46"/>
      <c r="DJ146" s="46"/>
      <c r="DK146" s="47">
        <f t="shared" si="108"/>
        <v>0</v>
      </c>
      <c r="DL146" s="47">
        <f t="shared" si="104"/>
        <v>0</v>
      </c>
      <c r="DM146" s="46"/>
      <c r="DN146" s="46">
        <f t="shared" si="98"/>
        <v>0</v>
      </c>
      <c r="DO146" s="46"/>
      <c r="DP146" s="46">
        <f t="shared" si="74"/>
        <v>0</v>
      </c>
      <c r="DQ146" s="46"/>
      <c r="DR146" s="46">
        <f t="shared" si="87"/>
        <v>0</v>
      </c>
      <c r="DS146" s="46"/>
      <c r="DT146" s="46">
        <f t="shared" si="99"/>
        <v>0</v>
      </c>
      <c r="DU146" s="46"/>
      <c r="DV146" s="46"/>
      <c r="DW146" s="46"/>
      <c r="DX146" s="47">
        <f t="shared" si="114"/>
        <v>0</v>
      </c>
      <c r="DY146" s="46"/>
      <c r="DZ146" s="46"/>
      <c r="EA146" s="46"/>
      <c r="EB146" s="46"/>
      <c r="EC146" s="46"/>
      <c r="ED146" s="46"/>
      <c r="EE146" s="47">
        <f t="shared" si="71"/>
        <v>0</v>
      </c>
      <c r="EF146" s="46"/>
      <c r="EG146" s="46"/>
      <c r="EH146" s="46"/>
      <c r="EI146" s="46"/>
      <c r="EJ146" s="46"/>
      <c r="EK146" s="47">
        <f t="shared" si="105"/>
        <v>0</v>
      </c>
      <c r="EL146" s="46">
        <f t="shared" si="106"/>
        <v>0</v>
      </c>
      <c r="EM146" s="46"/>
      <c r="EN146" s="46">
        <f t="shared" si="107"/>
        <v>0</v>
      </c>
    </row>
    <row r="147" spans="1:144" s="48" customFormat="1" ht="15" customHeight="1" x14ac:dyDescent="0.25">
      <c r="B147" s="41">
        <v>7</v>
      </c>
      <c r="C147" s="42"/>
      <c r="D147" s="43"/>
      <c r="E147" s="42"/>
      <c r="F147" s="42"/>
      <c r="G147" s="42"/>
      <c r="H147" s="42"/>
      <c r="I147" s="42"/>
      <c r="J147" s="42"/>
      <c r="K147" s="42"/>
      <c r="L147" s="42"/>
      <c r="M147" s="42"/>
      <c r="N147" s="41"/>
      <c r="O147" s="41"/>
      <c r="P147" s="42"/>
      <c r="Q147" s="45"/>
      <c r="R147" s="45"/>
      <c r="S147" s="45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>
        <f t="shared" si="100"/>
        <v>0</v>
      </c>
      <c r="AO147" s="47">
        <f t="shared" si="101"/>
        <v>0</v>
      </c>
      <c r="AP147" s="46" t="s">
        <v>98</v>
      </c>
      <c r="AQ147" s="46">
        <f>23%*AO147</f>
        <v>0</v>
      </c>
      <c r="AR147" s="46"/>
      <c r="AS147" s="46"/>
      <c r="AT147" s="46"/>
      <c r="AU147" s="46">
        <f t="shared" si="102"/>
        <v>0</v>
      </c>
      <c r="AV147" s="46"/>
      <c r="AW147" s="47">
        <f t="shared" si="115"/>
        <v>0</v>
      </c>
      <c r="AX147" s="46"/>
      <c r="AY147" s="46"/>
      <c r="AZ147" s="46"/>
      <c r="BA147" s="46"/>
      <c r="BB147" s="46"/>
      <c r="BC147" s="47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>
        <f t="shared" si="116"/>
        <v>0</v>
      </c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  <c r="CM147" s="46"/>
      <c r="CN147" s="46"/>
      <c r="CO147" s="46"/>
      <c r="CP147" s="46"/>
      <c r="CQ147" s="46"/>
      <c r="CR147" s="47">
        <f t="shared" si="82"/>
        <v>0</v>
      </c>
      <c r="CS147" s="46"/>
      <c r="CT147" s="46"/>
      <c r="CU147" s="46"/>
      <c r="CV147" s="46"/>
      <c r="CW147" s="47"/>
      <c r="CX147" s="46"/>
      <c r="CY147" s="47"/>
      <c r="CZ147" s="46"/>
      <c r="DA147" s="46"/>
      <c r="DB147" s="46"/>
      <c r="DC147" s="46"/>
      <c r="DD147" s="47"/>
      <c r="DE147" s="46"/>
      <c r="DF147" s="46">
        <f t="shared" si="117"/>
        <v>0</v>
      </c>
      <c r="DG147" s="46"/>
      <c r="DH147" s="46">
        <f t="shared" si="103"/>
        <v>0</v>
      </c>
      <c r="DI147" s="46"/>
      <c r="DJ147" s="46"/>
      <c r="DK147" s="47"/>
      <c r="DL147" s="47">
        <f t="shared" si="104"/>
        <v>0</v>
      </c>
      <c r="DM147" s="46"/>
      <c r="DN147" s="46">
        <f t="shared" si="98"/>
        <v>0</v>
      </c>
      <c r="DO147" s="46"/>
      <c r="DP147" s="46">
        <f t="shared" si="74"/>
        <v>0</v>
      </c>
      <c r="DQ147" s="46"/>
      <c r="DR147" s="46">
        <f t="shared" si="87"/>
        <v>0</v>
      </c>
      <c r="DS147" s="46"/>
      <c r="DT147" s="46">
        <f t="shared" si="99"/>
        <v>0</v>
      </c>
      <c r="DU147" s="46"/>
      <c r="DV147" s="46"/>
      <c r="DW147" s="46"/>
      <c r="DX147" s="47">
        <f t="shared" si="114"/>
        <v>0</v>
      </c>
      <c r="DY147" s="46"/>
      <c r="DZ147" s="46"/>
      <c r="EA147" s="46"/>
      <c r="EB147" s="46"/>
      <c r="EC147" s="46"/>
      <c r="ED147" s="46"/>
      <c r="EE147" s="47">
        <f t="shared" si="71"/>
        <v>0</v>
      </c>
      <c r="EF147" s="46"/>
      <c r="EG147" s="46"/>
      <c r="EH147" s="46"/>
      <c r="EI147" s="46"/>
      <c r="EJ147" s="46"/>
      <c r="EK147" s="47">
        <f t="shared" si="105"/>
        <v>0</v>
      </c>
      <c r="EL147" s="46">
        <f t="shared" si="106"/>
        <v>0</v>
      </c>
      <c r="EM147" s="46"/>
      <c r="EN147" s="46">
        <f t="shared" si="107"/>
        <v>0</v>
      </c>
    </row>
    <row r="148" spans="1:144" s="48" customFormat="1" ht="15" customHeight="1" x14ac:dyDescent="0.25">
      <c r="B148" s="41">
        <v>8</v>
      </c>
      <c r="C148" s="42"/>
      <c r="D148" s="43"/>
      <c r="E148" s="42"/>
      <c r="F148" s="42"/>
      <c r="G148" s="42"/>
      <c r="H148" s="42"/>
      <c r="I148" s="42"/>
      <c r="J148" s="42"/>
      <c r="K148" s="42"/>
      <c r="L148" s="42"/>
      <c r="M148" s="42"/>
      <c r="N148" s="41"/>
      <c r="O148" s="41"/>
      <c r="P148" s="42"/>
      <c r="Q148" s="45"/>
      <c r="R148" s="45"/>
      <c r="S148" s="45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>
        <f t="shared" si="100"/>
        <v>0</v>
      </c>
      <c r="AO148" s="47">
        <f t="shared" si="101"/>
        <v>0</v>
      </c>
      <c r="AP148" s="46" t="s">
        <v>98</v>
      </c>
      <c r="AQ148" s="46">
        <f>18%*AO148</f>
        <v>0</v>
      </c>
      <c r="AR148" s="46"/>
      <c r="AS148" s="46"/>
      <c r="AT148" s="46"/>
      <c r="AU148" s="46">
        <f t="shared" si="102"/>
        <v>0</v>
      </c>
      <c r="AV148" s="46"/>
      <c r="AW148" s="47">
        <f t="shared" si="115"/>
        <v>0</v>
      </c>
      <c r="AX148" s="46"/>
      <c r="AY148" s="46"/>
      <c r="AZ148" s="46"/>
      <c r="BA148" s="46"/>
      <c r="BB148" s="46"/>
      <c r="BC148" s="47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>
        <f t="shared" si="116"/>
        <v>0</v>
      </c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7">
        <f t="shared" si="82"/>
        <v>0</v>
      </c>
      <c r="CS148" s="46"/>
      <c r="CT148" s="46"/>
      <c r="CU148" s="46"/>
      <c r="CV148" s="46"/>
      <c r="CW148" s="47"/>
      <c r="CX148" s="46"/>
      <c r="CY148" s="47"/>
      <c r="CZ148" s="46"/>
      <c r="DA148" s="46"/>
      <c r="DB148" s="46"/>
      <c r="DC148" s="46"/>
      <c r="DD148" s="47"/>
      <c r="DE148" s="46"/>
      <c r="DF148" s="46">
        <f t="shared" si="117"/>
        <v>0</v>
      </c>
      <c r="DG148" s="46"/>
      <c r="DH148" s="46">
        <f t="shared" si="103"/>
        <v>0</v>
      </c>
      <c r="DI148" s="46"/>
      <c r="DJ148" s="46"/>
      <c r="DK148" s="47"/>
      <c r="DL148" s="47">
        <f t="shared" si="104"/>
        <v>0</v>
      </c>
      <c r="DM148" s="46"/>
      <c r="DN148" s="46">
        <f t="shared" si="98"/>
        <v>0</v>
      </c>
      <c r="DO148" s="46"/>
      <c r="DP148" s="46">
        <f t="shared" si="74"/>
        <v>0</v>
      </c>
      <c r="DQ148" s="46"/>
      <c r="DR148" s="46">
        <f t="shared" si="87"/>
        <v>0</v>
      </c>
      <c r="DS148" s="46"/>
      <c r="DT148" s="46">
        <f t="shared" si="99"/>
        <v>0</v>
      </c>
      <c r="DU148" s="46"/>
      <c r="DV148" s="46"/>
      <c r="DW148" s="46"/>
      <c r="DX148" s="47">
        <f t="shared" si="114"/>
        <v>0</v>
      </c>
      <c r="DY148" s="46"/>
      <c r="DZ148" s="46"/>
      <c r="EA148" s="46"/>
      <c r="EB148" s="46"/>
      <c r="EC148" s="46"/>
      <c r="ED148" s="46"/>
      <c r="EE148" s="47">
        <f t="shared" si="71"/>
        <v>0</v>
      </c>
      <c r="EF148" s="46"/>
      <c r="EG148" s="46"/>
      <c r="EH148" s="46"/>
      <c r="EI148" s="46"/>
      <c r="EJ148" s="46"/>
      <c r="EK148" s="47">
        <f t="shared" si="105"/>
        <v>0</v>
      </c>
      <c r="EL148" s="46">
        <f t="shared" si="106"/>
        <v>0</v>
      </c>
      <c r="EM148" s="46"/>
      <c r="EN148" s="46">
        <f t="shared" si="107"/>
        <v>0</v>
      </c>
    </row>
    <row r="149" spans="1:144" s="48" customFormat="1" ht="15" customHeight="1" x14ac:dyDescent="0.25">
      <c r="B149" s="41">
        <v>9</v>
      </c>
      <c r="C149" s="42"/>
      <c r="D149" s="43"/>
      <c r="E149" s="42"/>
      <c r="F149" s="42"/>
      <c r="G149" s="42"/>
      <c r="H149" s="42"/>
      <c r="I149" s="42"/>
      <c r="J149" s="42"/>
      <c r="K149" s="42"/>
      <c r="L149" s="42"/>
      <c r="M149" s="42"/>
      <c r="N149" s="41"/>
      <c r="O149" s="41"/>
      <c r="P149" s="42"/>
      <c r="Q149" s="45"/>
      <c r="R149" s="45"/>
      <c r="S149" s="45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>
        <f t="shared" si="100"/>
        <v>0</v>
      </c>
      <c r="AO149" s="47">
        <f t="shared" si="101"/>
        <v>0</v>
      </c>
      <c r="AP149" s="46" t="s">
        <v>98</v>
      </c>
      <c r="AQ149" s="46">
        <f>23%*AO149</f>
        <v>0</v>
      </c>
      <c r="AR149" s="46"/>
      <c r="AS149" s="46"/>
      <c r="AT149" s="46"/>
      <c r="AU149" s="46">
        <f t="shared" si="102"/>
        <v>0</v>
      </c>
      <c r="AV149" s="46"/>
      <c r="AW149" s="47">
        <f t="shared" si="115"/>
        <v>0</v>
      </c>
      <c r="AX149" s="46"/>
      <c r="AY149" s="46"/>
      <c r="AZ149" s="46"/>
      <c r="BA149" s="46"/>
      <c r="BB149" s="46"/>
      <c r="BC149" s="47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>
        <f t="shared" si="116"/>
        <v>0</v>
      </c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7">
        <f t="shared" si="82"/>
        <v>0</v>
      </c>
      <c r="CS149" s="46"/>
      <c r="CT149" s="46"/>
      <c r="CU149" s="46"/>
      <c r="CV149" s="46"/>
      <c r="CW149" s="47"/>
      <c r="CX149" s="46"/>
      <c r="CY149" s="47"/>
      <c r="CZ149" s="46"/>
      <c r="DA149" s="46"/>
      <c r="DB149" s="46"/>
      <c r="DC149" s="46"/>
      <c r="DD149" s="47"/>
      <c r="DE149" s="46"/>
      <c r="DF149" s="46">
        <f t="shared" si="117"/>
        <v>0</v>
      </c>
      <c r="DG149" s="46"/>
      <c r="DH149" s="46">
        <f t="shared" si="103"/>
        <v>0</v>
      </c>
      <c r="DI149" s="46"/>
      <c r="DJ149" s="46"/>
      <c r="DK149" s="47"/>
      <c r="DL149" s="47">
        <f t="shared" si="104"/>
        <v>0</v>
      </c>
      <c r="DM149" s="46"/>
      <c r="DN149" s="46">
        <f t="shared" si="98"/>
        <v>0</v>
      </c>
      <c r="DO149" s="46"/>
      <c r="DP149" s="46">
        <f t="shared" si="74"/>
        <v>0</v>
      </c>
      <c r="DQ149" s="46"/>
      <c r="DR149" s="46">
        <f t="shared" si="87"/>
        <v>0</v>
      </c>
      <c r="DS149" s="46"/>
      <c r="DT149" s="46">
        <f t="shared" si="99"/>
        <v>0</v>
      </c>
      <c r="DU149" s="46"/>
      <c r="DV149" s="46"/>
      <c r="DW149" s="46"/>
      <c r="DX149" s="47">
        <f t="shared" si="114"/>
        <v>0</v>
      </c>
      <c r="DY149" s="46"/>
      <c r="DZ149" s="46"/>
      <c r="EA149" s="46"/>
      <c r="EB149" s="46"/>
      <c r="EC149" s="46"/>
      <c r="ED149" s="46"/>
      <c r="EE149" s="47">
        <f t="shared" ref="EE149:EE212" si="118">+AW149+BE149+BM149+CR149+CY149+DF149+DL149+DX149+DY149+DZ149+EB149+EC149</f>
        <v>0</v>
      </c>
      <c r="EF149" s="46"/>
      <c r="EG149" s="46"/>
      <c r="EH149" s="46"/>
      <c r="EI149" s="46"/>
      <c r="EJ149" s="46"/>
      <c r="EK149" s="47">
        <f t="shared" si="105"/>
        <v>0</v>
      </c>
      <c r="EL149" s="46">
        <f t="shared" si="106"/>
        <v>0</v>
      </c>
      <c r="EM149" s="46"/>
      <c r="EN149" s="46">
        <f t="shared" si="107"/>
        <v>0</v>
      </c>
    </row>
    <row r="150" spans="1:144" s="48" customFormat="1" ht="15" customHeight="1" x14ac:dyDescent="0.25">
      <c r="B150" s="41">
        <v>10</v>
      </c>
      <c r="C150" s="42"/>
      <c r="D150" s="43"/>
      <c r="E150" s="42"/>
      <c r="F150" s="42"/>
      <c r="G150" s="42"/>
      <c r="H150" s="42"/>
      <c r="I150" s="42"/>
      <c r="J150" s="42"/>
      <c r="K150" s="42"/>
      <c r="L150" s="42"/>
      <c r="M150" s="42"/>
      <c r="N150" s="41"/>
      <c r="O150" s="41"/>
      <c r="P150" s="42"/>
      <c r="Q150" s="45"/>
      <c r="R150" s="45"/>
      <c r="S150" s="45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>
        <f t="shared" si="100"/>
        <v>0</v>
      </c>
      <c r="AO150" s="47">
        <f t="shared" si="101"/>
        <v>0</v>
      </c>
      <c r="AP150" s="46" t="s">
        <v>98</v>
      </c>
      <c r="AQ150" s="46">
        <f>23%*AO150</f>
        <v>0</v>
      </c>
      <c r="AR150" s="46"/>
      <c r="AS150" s="46"/>
      <c r="AT150" s="46"/>
      <c r="AU150" s="46">
        <f t="shared" si="102"/>
        <v>0</v>
      </c>
      <c r="AV150" s="46"/>
      <c r="AW150" s="47">
        <f t="shared" si="115"/>
        <v>0</v>
      </c>
      <c r="AX150" s="46"/>
      <c r="AY150" s="46"/>
      <c r="AZ150" s="46"/>
      <c r="BA150" s="46"/>
      <c r="BB150" s="46"/>
      <c r="BC150" s="47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>
        <f t="shared" si="116"/>
        <v>0</v>
      </c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7">
        <f t="shared" si="82"/>
        <v>0</v>
      </c>
      <c r="CS150" s="46"/>
      <c r="CT150" s="46"/>
      <c r="CU150" s="46"/>
      <c r="CV150" s="46"/>
      <c r="CW150" s="47"/>
      <c r="CX150" s="46"/>
      <c r="CY150" s="47"/>
      <c r="CZ150" s="46"/>
      <c r="DA150" s="46"/>
      <c r="DB150" s="46"/>
      <c r="DC150" s="46"/>
      <c r="DD150" s="47"/>
      <c r="DE150" s="46"/>
      <c r="DF150" s="46">
        <f t="shared" si="117"/>
        <v>0</v>
      </c>
      <c r="DG150" s="46"/>
      <c r="DH150" s="46">
        <f t="shared" si="103"/>
        <v>0</v>
      </c>
      <c r="DI150" s="46"/>
      <c r="DJ150" s="46"/>
      <c r="DK150" s="47"/>
      <c r="DL150" s="47">
        <f t="shared" si="104"/>
        <v>0</v>
      </c>
      <c r="DM150" s="46"/>
      <c r="DN150" s="46">
        <f t="shared" si="98"/>
        <v>0</v>
      </c>
      <c r="DO150" s="46"/>
      <c r="DP150" s="46">
        <f t="shared" si="74"/>
        <v>0</v>
      </c>
      <c r="DQ150" s="46"/>
      <c r="DR150" s="46">
        <f t="shared" si="87"/>
        <v>0</v>
      </c>
      <c r="DS150" s="46"/>
      <c r="DT150" s="46">
        <f t="shared" si="99"/>
        <v>0</v>
      </c>
      <c r="DU150" s="46"/>
      <c r="DV150" s="46"/>
      <c r="DW150" s="46"/>
      <c r="DX150" s="47">
        <f t="shared" si="114"/>
        <v>0</v>
      </c>
      <c r="DY150" s="46"/>
      <c r="DZ150" s="46"/>
      <c r="EA150" s="46"/>
      <c r="EB150" s="46"/>
      <c r="EC150" s="46"/>
      <c r="ED150" s="46"/>
      <c r="EE150" s="47">
        <f t="shared" si="118"/>
        <v>0</v>
      </c>
      <c r="EF150" s="46"/>
      <c r="EG150" s="46"/>
      <c r="EH150" s="46"/>
      <c r="EI150" s="46"/>
      <c r="EJ150" s="46"/>
      <c r="EK150" s="47">
        <f t="shared" si="105"/>
        <v>0</v>
      </c>
      <c r="EL150" s="46">
        <f t="shared" si="106"/>
        <v>0</v>
      </c>
      <c r="EM150" s="46"/>
      <c r="EN150" s="46">
        <f t="shared" si="107"/>
        <v>0</v>
      </c>
    </row>
    <row r="151" spans="1:144" s="48" customFormat="1" ht="15" customHeight="1" x14ac:dyDescent="0.25">
      <c r="B151" s="41">
        <v>11</v>
      </c>
      <c r="C151" s="42"/>
      <c r="D151" s="43"/>
      <c r="E151" s="42"/>
      <c r="F151" s="42"/>
      <c r="G151" s="42"/>
      <c r="H151" s="42"/>
      <c r="I151" s="42"/>
      <c r="J151" s="42"/>
      <c r="K151" s="42"/>
      <c r="L151" s="42"/>
      <c r="M151" s="42"/>
      <c r="N151" s="41"/>
      <c r="O151" s="41"/>
      <c r="P151" s="42"/>
      <c r="Q151" s="45"/>
      <c r="R151" s="45"/>
      <c r="S151" s="45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>
        <f t="shared" si="100"/>
        <v>0</v>
      </c>
      <c r="AO151" s="47">
        <f t="shared" si="101"/>
        <v>0</v>
      </c>
      <c r="AP151" s="46" t="s">
        <v>98</v>
      </c>
      <c r="AQ151" s="46">
        <f>23%*AO151</f>
        <v>0</v>
      </c>
      <c r="AR151" s="46"/>
      <c r="AS151" s="46"/>
      <c r="AT151" s="46"/>
      <c r="AU151" s="46">
        <f t="shared" si="102"/>
        <v>0</v>
      </c>
      <c r="AV151" s="46"/>
      <c r="AW151" s="47">
        <f t="shared" si="115"/>
        <v>0</v>
      </c>
      <c r="AX151" s="46"/>
      <c r="AY151" s="46"/>
      <c r="AZ151" s="46"/>
      <c r="BA151" s="46"/>
      <c r="BB151" s="46"/>
      <c r="BC151" s="47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>
        <f t="shared" si="116"/>
        <v>0</v>
      </c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  <c r="CM151" s="46"/>
      <c r="CN151" s="46"/>
      <c r="CO151" s="46"/>
      <c r="CP151" s="46">
        <f>CN151*CO151</f>
        <v>0</v>
      </c>
      <c r="CQ151" s="46"/>
      <c r="CR151" s="47">
        <f t="shared" si="82"/>
        <v>0</v>
      </c>
      <c r="CS151" s="46"/>
      <c r="CT151" s="46"/>
      <c r="CU151" s="46"/>
      <c r="CV151" s="46"/>
      <c r="CW151" s="47"/>
      <c r="CX151" s="46"/>
      <c r="CY151" s="47"/>
      <c r="CZ151" s="46"/>
      <c r="DA151" s="46"/>
      <c r="DB151" s="46"/>
      <c r="DC151" s="46"/>
      <c r="DD151" s="47"/>
      <c r="DE151" s="46"/>
      <c r="DF151" s="46">
        <f t="shared" si="117"/>
        <v>0</v>
      </c>
      <c r="DG151" s="46"/>
      <c r="DH151" s="46">
        <f t="shared" si="103"/>
        <v>0</v>
      </c>
      <c r="DI151" s="46"/>
      <c r="DJ151" s="46"/>
      <c r="DK151" s="47"/>
      <c r="DL151" s="47">
        <f t="shared" si="104"/>
        <v>0</v>
      </c>
      <c r="DM151" s="46"/>
      <c r="DN151" s="46">
        <f t="shared" si="98"/>
        <v>0</v>
      </c>
      <c r="DO151" s="46"/>
      <c r="DP151" s="46">
        <f t="shared" si="74"/>
        <v>0</v>
      </c>
      <c r="DQ151" s="46"/>
      <c r="DR151" s="46">
        <f t="shared" si="87"/>
        <v>0</v>
      </c>
      <c r="DS151" s="46"/>
      <c r="DT151" s="46">
        <f t="shared" si="99"/>
        <v>0</v>
      </c>
      <c r="DU151" s="46"/>
      <c r="DV151" s="46"/>
      <c r="DW151" s="46"/>
      <c r="DX151" s="47">
        <f t="shared" si="114"/>
        <v>0</v>
      </c>
      <c r="DY151" s="46"/>
      <c r="DZ151" s="46"/>
      <c r="EA151" s="46"/>
      <c r="EB151" s="46"/>
      <c r="EC151" s="46"/>
      <c r="ED151" s="46"/>
      <c r="EE151" s="47">
        <f t="shared" si="118"/>
        <v>0</v>
      </c>
      <c r="EF151" s="46"/>
      <c r="EG151" s="46"/>
      <c r="EH151" s="46"/>
      <c r="EI151" s="46"/>
      <c r="EJ151" s="46"/>
      <c r="EK151" s="47">
        <f t="shared" si="105"/>
        <v>0</v>
      </c>
      <c r="EL151" s="46">
        <f t="shared" si="106"/>
        <v>0</v>
      </c>
      <c r="EM151" s="46"/>
      <c r="EN151" s="46">
        <f t="shared" si="107"/>
        <v>0</v>
      </c>
    </row>
    <row r="152" spans="1:144" s="48" customFormat="1" ht="15" customHeight="1" x14ac:dyDescent="0.25">
      <c r="B152" s="41">
        <v>12</v>
      </c>
      <c r="C152" s="42"/>
      <c r="D152" s="43"/>
      <c r="E152" s="42"/>
      <c r="F152" s="42"/>
      <c r="G152" s="42"/>
      <c r="H152" s="42"/>
      <c r="I152" s="42"/>
      <c r="J152" s="42"/>
      <c r="K152" s="42"/>
      <c r="L152" s="42"/>
      <c r="M152" s="42"/>
      <c r="P152" s="42"/>
      <c r="Q152" s="45"/>
      <c r="R152" s="45"/>
      <c r="S152" s="45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>
        <f t="shared" si="100"/>
        <v>0</v>
      </c>
      <c r="AO152" s="47">
        <f t="shared" si="101"/>
        <v>0</v>
      </c>
      <c r="AP152" s="46" t="s">
        <v>98</v>
      </c>
      <c r="AQ152" s="46">
        <f>23%*AO152</f>
        <v>0</v>
      </c>
      <c r="AR152" s="46"/>
      <c r="AS152" s="46"/>
      <c r="AT152" s="46"/>
      <c r="AU152" s="46">
        <f t="shared" si="102"/>
        <v>0</v>
      </c>
      <c r="AV152" s="46"/>
      <c r="AW152" s="47">
        <f t="shared" si="115"/>
        <v>0</v>
      </c>
      <c r="AX152" s="46"/>
      <c r="AY152" s="46"/>
      <c r="AZ152" s="46"/>
      <c r="BA152" s="46"/>
      <c r="BB152" s="46"/>
      <c r="BC152" s="47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>
        <f t="shared" si="116"/>
        <v>0</v>
      </c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7">
        <f t="shared" si="82"/>
        <v>0</v>
      </c>
      <c r="CS152" s="46"/>
      <c r="CT152" s="46"/>
      <c r="CU152" s="46"/>
      <c r="CV152" s="46"/>
      <c r="CW152" s="47"/>
      <c r="CX152" s="46"/>
      <c r="CY152" s="47"/>
      <c r="CZ152" s="46"/>
      <c r="DA152" s="46"/>
      <c r="DB152" s="46"/>
      <c r="DC152" s="46"/>
      <c r="DD152" s="47"/>
      <c r="DE152" s="46"/>
      <c r="DF152" s="46">
        <f t="shared" si="117"/>
        <v>0</v>
      </c>
      <c r="DG152" s="46"/>
      <c r="DH152" s="46">
        <f t="shared" si="103"/>
        <v>0</v>
      </c>
      <c r="DI152" s="46"/>
      <c r="DJ152" s="46"/>
      <c r="DK152" s="47"/>
      <c r="DL152" s="47">
        <f t="shared" si="104"/>
        <v>0</v>
      </c>
      <c r="DM152" s="46"/>
      <c r="DN152" s="46">
        <f t="shared" si="98"/>
        <v>0</v>
      </c>
      <c r="DO152" s="46"/>
      <c r="DP152" s="46">
        <f t="shared" ref="DP152:DP156" si="119">DN152</f>
        <v>0</v>
      </c>
      <c r="DQ152" s="46"/>
      <c r="DR152" s="46">
        <f t="shared" si="87"/>
        <v>0</v>
      </c>
      <c r="DS152" s="46"/>
      <c r="DT152" s="46">
        <f t="shared" si="99"/>
        <v>0</v>
      </c>
      <c r="DU152" s="46"/>
      <c r="DV152" s="46"/>
      <c r="DW152" s="46"/>
      <c r="DX152" s="47">
        <f t="shared" si="114"/>
        <v>0</v>
      </c>
      <c r="DY152" s="46"/>
      <c r="DZ152" s="46"/>
      <c r="EA152" s="46"/>
      <c r="EB152" s="46"/>
      <c r="EC152" s="46"/>
      <c r="ED152" s="46"/>
      <c r="EE152" s="47">
        <f t="shared" si="118"/>
        <v>0</v>
      </c>
      <c r="EF152" s="46"/>
      <c r="EG152" s="46"/>
      <c r="EH152" s="46"/>
      <c r="EI152" s="46"/>
      <c r="EJ152" s="46"/>
      <c r="EK152" s="47">
        <f t="shared" si="105"/>
        <v>0</v>
      </c>
      <c r="EL152" s="46">
        <f t="shared" si="106"/>
        <v>0</v>
      </c>
      <c r="EM152" s="46"/>
      <c r="EN152" s="46">
        <f t="shared" si="107"/>
        <v>0</v>
      </c>
    </row>
    <row r="153" spans="1:144" s="48" customFormat="1" ht="15" customHeight="1" x14ac:dyDescent="0.25">
      <c r="B153" s="41"/>
      <c r="C153" s="81" t="s">
        <v>110</v>
      </c>
      <c r="D153" s="43"/>
      <c r="E153" s="42"/>
      <c r="F153" s="42"/>
      <c r="G153" s="42"/>
      <c r="H153" s="42"/>
      <c r="I153" s="42"/>
      <c r="J153" s="42"/>
      <c r="K153" s="42"/>
      <c r="L153" s="42"/>
      <c r="M153" s="42"/>
      <c r="N153" s="41"/>
      <c r="O153" s="41"/>
      <c r="P153" s="42"/>
      <c r="Q153" s="45"/>
      <c r="R153" s="45"/>
      <c r="S153" s="42"/>
      <c r="T153" s="46"/>
      <c r="U153" s="46"/>
      <c r="V153" s="46"/>
      <c r="W153" s="46"/>
      <c r="X153" s="46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6"/>
      <c r="AJ153" s="46"/>
      <c r="AK153" s="42"/>
      <c r="AL153" s="42"/>
      <c r="AM153" s="42"/>
      <c r="AN153" s="46">
        <f t="shared" si="100"/>
        <v>0</v>
      </c>
      <c r="AO153" s="47">
        <f t="shared" si="101"/>
        <v>0</v>
      </c>
      <c r="AP153" s="42"/>
      <c r="AQ153" s="46"/>
      <c r="AR153" s="46"/>
      <c r="AS153" s="42"/>
      <c r="AT153" s="46"/>
      <c r="AU153" s="46"/>
      <c r="AV153" s="46"/>
      <c r="AW153" s="47">
        <f t="shared" si="115"/>
        <v>0</v>
      </c>
      <c r="AX153" s="42"/>
      <c r="AY153" s="42"/>
      <c r="AZ153" s="42"/>
      <c r="BA153" s="42"/>
      <c r="BB153" s="42"/>
      <c r="BC153" s="47">
        <f t="shared" ref="BC153:BC216" si="120">BA153*BB153</f>
        <v>0</v>
      </c>
      <c r="BD153" s="42"/>
      <c r="BE153" s="47"/>
      <c r="BF153" s="42"/>
      <c r="BG153" s="42"/>
      <c r="BH153" s="42"/>
      <c r="BI153" s="42"/>
      <c r="BJ153" s="42"/>
      <c r="BK153" s="42"/>
      <c r="BL153" s="42"/>
      <c r="BM153" s="46">
        <f t="shared" si="116"/>
        <v>0</v>
      </c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6">
        <f>CN153*CO153</f>
        <v>0</v>
      </c>
      <c r="CQ153" s="46"/>
      <c r="CR153" s="47">
        <f t="shared" si="82"/>
        <v>0</v>
      </c>
      <c r="CS153" s="46"/>
      <c r="CT153" s="46"/>
      <c r="CU153" s="46"/>
      <c r="CV153" s="46"/>
      <c r="CW153" s="47">
        <f t="shared" ref="CW153:CW200" si="121">CU153*CV153</f>
        <v>0</v>
      </c>
      <c r="CX153" s="46"/>
      <c r="CY153" s="47">
        <f t="shared" ref="CY153:CY200" si="122">+CT153+CW153+CX153</f>
        <v>0</v>
      </c>
      <c r="CZ153" s="46"/>
      <c r="DA153" s="46"/>
      <c r="DB153" s="46"/>
      <c r="DC153" s="46"/>
      <c r="DD153" s="47">
        <f>+DB153*DC153</f>
        <v>0</v>
      </c>
      <c r="DE153" s="42"/>
      <c r="DF153" s="46">
        <f t="shared" si="117"/>
        <v>0</v>
      </c>
      <c r="DG153" s="42"/>
      <c r="DH153" s="46">
        <f t="shared" si="103"/>
        <v>0</v>
      </c>
      <c r="DI153" s="46"/>
      <c r="DJ153" s="46"/>
      <c r="DK153" s="47"/>
      <c r="DL153" s="47">
        <f t="shared" si="104"/>
        <v>0</v>
      </c>
      <c r="DM153" s="42"/>
      <c r="DN153" s="46">
        <f t="shared" si="98"/>
        <v>0</v>
      </c>
      <c r="DO153" s="42"/>
      <c r="DP153" s="46">
        <f t="shared" si="119"/>
        <v>0</v>
      </c>
      <c r="DQ153" s="42"/>
      <c r="DR153" s="46">
        <f t="shared" si="87"/>
        <v>0</v>
      </c>
      <c r="DS153" s="42"/>
      <c r="DT153" s="46">
        <f t="shared" si="99"/>
        <v>0</v>
      </c>
      <c r="DU153" s="42"/>
      <c r="DV153" s="42"/>
      <c r="DW153" s="42"/>
      <c r="DX153" s="47">
        <f t="shared" si="114"/>
        <v>0</v>
      </c>
      <c r="DY153" s="46"/>
      <c r="DZ153" s="46"/>
      <c r="EA153" s="46"/>
      <c r="EB153" s="46"/>
      <c r="EC153" s="46"/>
      <c r="ED153" s="46"/>
      <c r="EE153" s="47">
        <f t="shared" si="118"/>
        <v>0</v>
      </c>
      <c r="EF153" s="46"/>
      <c r="EG153" s="46"/>
      <c r="EH153" s="46"/>
      <c r="EI153" s="46"/>
      <c r="EJ153" s="46"/>
      <c r="EK153" s="47">
        <f t="shared" si="105"/>
        <v>0</v>
      </c>
      <c r="EL153" s="46">
        <f t="shared" si="106"/>
        <v>0</v>
      </c>
      <c r="EM153" s="46"/>
      <c r="EN153" s="46">
        <f t="shared" si="107"/>
        <v>0</v>
      </c>
    </row>
    <row r="154" spans="1:144" s="48" customFormat="1" ht="15" customHeight="1" x14ac:dyDescent="0.25">
      <c r="A154" s="58"/>
      <c r="B154" s="41">
        <v>1</v>
      </c>
      <c r="C154" s="42"/>
      <c r="D154" s="43"/>
      <c r="E154" s="42"/>
      <c r="F154" s="42"/>
      <c r="G154" s="49"/>
      <c r="H154" s="49"/>
      <c r="I154" s="49"/>
      <c r="J154" s="49"/>
      <c r="K154" s="49"/>
      <c r="L154" s="49"/>
      <c r="M154" s="42"/>
      <c r="N154" s="41"/>
      <c r="O154" s="41"/>
      <c r="P154" s="42"/>
      <c r="Q154" s="45"/>
      <c r="R154" s="45"/>
      <c r="S154" s="42"/>
      <c r="T154" s="46"/>
      <c r="U154" s="46"/>
      <c r="V154" s="46"/>
      <c r="W154" s="46"/>
      <c r="X154" s="46"/>
      <c r="Y154" s="46"/>
      <c r="Z154" s="42"/>
      <c r="AA154" s="42"/>
      <c r="AB154" s="42"/>
      <c r="AC154" s="42"/>
      <c r="AD154" s="42"/>
      <c r="AE154" s="42"/>
      <c r="AF154" s="42"/>
      <c r="AG154" s="42"/>
      <c r="AH154" s="42"/>
      <c r="AI154" s="46"/>
      <c r="AJ154" s="42"/>
      <c r="AK154" s="42"/>
      <c r="AL154" s="42"/>
      <c r="AM154" s="42"/>
      <c r="AN154" s="46">
        <f t="shared" si="100"/>
        <v>0</v>
      </c>
      <c r="AO154" s="46">
        <f t="shared" si="101"/>
        <v>0</v>
      </c>
      <c r="AP154" s="42" t="s">
        <v>111</v>
      </c>
      <c r="AQ154" s="46">
        <f>20%*AO154</f>
        <v>0</v>
      </c>
      <c r="AR154" s="46"/>
      <c r="AS154" s="42"/>
      <c r="AT154" s="46"/>
      <c r="AU154" s="47">
        <f t="shared" ref="AU154:AU217" si="123">AS154*AT154</f>
        <v>0</v>
      </c>
      <c r="AV154" s="47"/>
      <c r="AW154" s="47">
        <f t="shared" si="115"/>
        <v>0</v>
      </c>
      <c r="AX154" s="47"/>
      <c r="AY154" s="46"/>
      <c r="AZ154" s="47"/>
      <c r="BA154" s="47"/>
      <c r="BB154" s="47"/>
      <c r="BC154" s="47">
        <f t="shared" si="120"/>
        <v>0</v>
      </c>
      <c r="BD154" s="47"/>
      <c r="BE154" s="47">
        <f t="shared" ref="BE154:BE217" si="124">+AY154+AZ154+BC154+BD154</f>
        <v>0</v>
      </c>
      <c r="BF154" s="47"/>
      <c r="BG154" s="47"/>
      <c r="BH154" s="47"/>
      <c r="BI154" s="47"/>
      <c r="BJ154" s="47"/>
      <c r="BK154" s="46">
        <f>BI154*BJ154</f>
        <v>0</v>
      </c>
      <c r="BL154" s="47"/>
      <c r="BM154" s="46">
        <f t="shared" si="116"/>
        <v>0</v>
      </c>
      <c r="BN154" s="47"/>
      <c r="BO154" s="47"/>
      <c r="BP154" s="47"/>
      <c r="BQ154" s="47"/>
      <c r="BR154" s="47"/>
      <c r="BS154" s="46">
        <f>BQ154*BR154</f>
        <v>0</v>
      </c>
      <c r="BT154" s="47"/>
      <c r="BU154" s="47">
        <f>+BO154+BP154+BS154+BT154</f>
        <v>0</v>
      </c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6"/>
      <c r="CQ154" s="47"/>
      <c r="CR154" s="47">
        <f t="shared" si="82"/>
        <v>0</v>
      </c>
      <c r="CS154" s="47"/>
      <c r="CT154" s="47"/>
      <c r="CU154" s="47"/>
      <c r="CV154" s="47"/>
      <c r="CW154" s="47">
        <f t="shared" si="121"/>
        <v>0</v>
      </c>
      <c r="CX154" s="46"/>
      <c r="CY154" s="47">
        <f t="shared" si="122"/>
        <v>0</v>
      </c>
      <c r="CZ154" s="47"/>
      <c r="DA154" s="47"/>
      <c r="DB154" s="47"/>
      <c r="DC154" s="47"/>
      <c r="DD154" s="47"/>
      <c r="DE154" s="47"/>
      <c r="DF154" s="46"/>
      <c r="DG154" s="47"/>
      <c r="DH154" s="46">
        <f t="shared" si="103"/>
        <v>0</v>
      </c>
      <c r="DI154" s="47"/>
      <c r="DJ154" s="47"/>
      <c r="DK154" s="47">
        <f t="shared" ref="DK154:DK217" si="125">DI154*DJ154</f>
        <v>0</v>
      </c>
      <c r="DL154" s="60">
        <f t="shared" si="104"/>
        <v>0</v>
      </c>
      <c r="DM154" s="94"/>
      <c r="DN154" s="46">
        <f t="shared" si="98"/>
        <v>0</v>
      </c>
      <c r="DO154" s="47"/>
      <c r="DP154" s="46">
        <f t="shared" si="119"/>
        <v>0</v>
      </c>
      <c r="DQ154" s="47"/>
      <c r="DR154" s="46">
        <f t="shared" si="87"/>
        <v>0</v>
      </c>
      <c r="DS154" s="47"/>
      <c r="DT154" s="46">
        <f>75%*DP154</f>
        <v>0</v>
      </c>
      <c r="DU154" s="47"/>
      <c r="DV154" s="46">
        <f t="shared" ref="DV154:DV208" si="126">DT154/2</f>
        <v>0</v>
      </c>
      <c r="DW154" s="47"/>
      <c r="DX154" s="47">
        <f t="shared" si="114"/>
        <v>0</v>
      </c>
      <c r="DY154" s="91"/>
      <c r="DZ154" s="47"/>
      <c r="EA154" s="47"/>
      <c r="EB154" s="47"/>
      <c r="EC154" s="47"/>
      <c r="ED154" s="47"/>
      <c r="EE154" s="47">
        <f t="shared" si="118"/>
        <v>0</v>
      </c>
      <c r="EF154" s="47"/>
      <c r="EG154" s="47"/>
      <c r="EH154" s="47"/>
      <c r="EI154" s="91"/>
      <c r="EJ154" s="47"/>
      <c r="EK154" s="47">
        <f t="shared" si="105"/>
        <v>0</v>
      </c>
      <c r="EL154" s="46">
        <f t="shared" si="106"/>
        <v>0</v>
      </c>
      <c r="EM154" s="46"/>
      <c r="EN154" s="46">
        <f t="shared" si="107"/>
        <v>0</v>
      </c>
    </row>
    <row r="155" spans="1:144" s="48" customFormat="1" ht="15" customHeight="1" x14ac:dyDescent="0.25">
      <c r="B155" s="41">
        <v>2</v>
      </c>
      <c r="C155" s="42"/>
      <c r="D155" s="43"/>
      <c r="E155" s="42"/>
      <c r="F155" s="42"/>
      <c r="G155" s="42"/>
      <c r="H155" s="42"/>
      <c r="I155" s="42"/>
      <c r="J155" s="42"/>
      <c r="K155" s="42"/>
      <c r="L155" s="42"/>
      <c r="M155" s="42"/>
      <c r="N155" s="41"/>
      <c r="O155" s="41"/>
      <c r="P155" s="42"/>
      <c r="Q155" s="45"/>
      <c r="R155" s="45"/>
      <c r="S155" s="42"/>
      <c r="T155" s="95"/>
      <c r="U155" s="95"/>
      <c r="V155" s="42"/>
      <c r="W155" s="42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>
        <f t="shared" si="100"/>
        <v>0</v>
      </c>
      <c r="AO155" s="47">
        <f t="shared" si="101"/>
        <v>0</v>
      </c>
      <c r="AP155" s="46" t="s">
        <v>111</v>
      </c>
      <c r="AQ155" s="46">
        <f>20%*AO155</f>
        <v>0</v>
      </c>
      <c r="AR155" s="46"/>
      <c r="AS155" s="46"/>
      <c r="AT155" s="46"/>
      <c r="AU155" s="47">
        <f t="shared" si="123"/>
        <v>0</v>
      </c>
      <c r="AV155" s="46"/>
      <c r="AW155" s="47">
        <f t="shared" si="115"/>
        <v>0</v>
      </c>
      <c r="AX155" s="46"/>
      <c r="AY155" s="46"/>
      <c r="AZ155" s="46"/>
      <c r="BA155" s="46"/>
      <c r="BB155" s="46"/>
      <c r="BC155" s="47">
        <f t="shared" si="120"/>
        <v>0</v>
      </c>
      <c r="BD155" s="46"/>
      <c r="BE155" s="47">
        <f t="shared" si="124"/>
        <v>0</v>
      </c>
      <c r="BF155" s="46"/>
      <c r="BG155" s="46"/>
      <c r="BH155" s="46"/>
      <c r="BI155" s="46"/>
      <c r="BJ155" s="46"/>
      <c r="BK155" s="46">
        <f>BI155*BJ155</f>
        <v>0</v>
      </c>
      <c r="BL155" s="46"/>
      <c r="BM155" s="46">
        <f t="shared" si="116"/>
        <v>0</v>
      </c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>
        <f>CN155*CO155</f>
        <v>0</v>
      </c>
      <c r="CQ155" s="46"/>
      <c r="CR155" s="47">
        <f t="shared" si="82"/>
        <v>0</v>
      </c>
      <c r="CS155" s="46"/>
      <c r="CT155" s="46"/>
      <c r="CU155" s="46"/>
      <c r="CV155" s="46"/>
      <c r="CW155" s="47">
        <f t="shared" si="121"/>
        <v>0</v>
      </c>
      <c r="CX155" s="46"/>
      <c r="CY155" s="47">
        <f t="shared" si="122"/>
        <v>0</v>
      </c>
      <c r="CZ155" s="46"/>
      <c r="DA155" s="46"/>
      <c r="DB155" s="46"/>
      <c r="DC155" s="46"/>
      <c r="DD155" s="47">
        <f t="shared" ref="DD155:DD196" si="127">+DB155*DC155</f>
        <v>0</v>
      </c>
      <c r="DE155" s="46"/>
      <c r="DF155" s="46">
        <f t="shared" ref="DF155:DF196" si="128">DC155</f>
        <v>0</v>
      </c>
      <c r="DG155" s="46"/>
      <c r="DH155" s="46">
        <f t="shared" si="103"/>
        <v>0</v>
      </c>
      <c r="DI155" s="46"/>
      <c r="DJ155" s="46"/>
      <c r="DK155" s="47">
        <f t="shared" si="125"/>
        <v>0</v>
      </c>
      <c r="DL155" s="47">
        <f t="shared" si="104"/>
        <v>0</v>
      </c>
      <c r="DM155" s="46"/>
      <c r="DN155" s="46">
        <f t="shared" si="98"/>
        <v>0</v>
      </c>
      <c r="DO155" s="46"/>
      <c r="DP155" s="46">
        <f t="shared" si="119"/>
        <v>0</v>
      </c>
      <c r="DQ155" s="46"/>
      <c r="DR155" s="46">
        <f t="shared" si="87"/>
        <v>0</v>
      </c>
      <c r="DS155" s="46"/>
      <c r="DT155" s="46">
        <f>75%*DR155</f>
        <v>0</v>
      </c>
      <c r="DU155" s="46"/>
      <c r="DV155" s="46">
        <f t="shared" si="126"/>
        <v>0</v>
      </c>
      <c r="DW155" s="46"/>
      <c r="DX155" s="47">
        <f t="shared" si="114"/>
        <v>0</v>
      </c>
      <c r="DY155" s="46"/>
      <c r="DZ155" s="46"/>
      <c r="EA155" s="46"/>
      <c r="EB155" s="46"/>
      <c r="EC155" s="46"/>
      <c r="ED155" s="46"/>
      <c r="EE155" s="47">
        <f t="shared" si="118"/>
        <v>0</v>
      </c>
      <c r="EF155" s="46"/>
      <c r="EG155" s="46"/>
      <c r="EH155" s="46"/>
      <c r="EI155" s="46"/>
      <c r="EJ155" s="46"/>
      <c r="EK155" s="47">
        <f t="shared" si="105"/>
        <v>0</v>
      </c>
      <c r="EL155" s="46">
        <f t="shared" si="106"/>
        <v>0</v>
      </c>
      <c r="EM155" s="46"/>
      <c r="EN155" s="46">
        <f t="shared" si="107"/>
        <v>0</v>
      </c>
    </row>
    <row r="156" spans="1:144" s="48" customFormat="1" ht="15" customHeight="1" x14ac:dyDescent="0.25">
      <c r="B156" s="41">
        <v>3</v>
      </c>
      <c r="C156" s="42"/>
      <c r="D156" s="43"/>
      <c r="E156" s="42"/>
      <c r="F156" s="42"/>
      <c r="G156" s="42"/>
      <c r="H156" s="42"/>
      <c r="I156" s="42"/>
      <c r="J156" s="42"/>
      <c r="K156" s="42"/>
      <c r="L156" s="42"/>
      <c r="M156" s="42"/>
      <c r="N156" s="41"/>
      <c r="O156" s="41"/>
      <c r="P156" s="42"/>
      <c r="Q156" s="45"/>
      <c r="R156" s="45"/>
      <c r="S156" s="42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>
        <f t="shared" si="100"/>
        <v>0</v>
      </c>
      <c r="AO156" s="46">
        <f t="shared" si="101"/>
        <v>0</v>
      </c>
      <c r="AP156" s="46" t="s">
        <v>112</v>
      </c>
      <c r="AQ156" s="46">
        <f>20%*AO156</f>
        <v>0</v>
      </c>
      <c r="AR156" s="46"/>
      <c r="AS156" s="46"/>
      <c r="AT156" s="46"/>
      <c r="AU156" s="47">
        <f t="shared" si="123"/>
        <v>0</v>
      </c>
      <c r="AV156" s="46"/>
      <c r="AW156" s="47">
        <f t="shared" si="115"/>
        <v>0</v>
      </c>
      <c r="AX156" s="46"/>
      <c r="AY156" s="46"/>
      <c r="AZ156" s="46"/>
      <c r="BA156" s="46"/>
      <c r="BB156" s="46"/>
      <c r="BC156" s="47">
        <f t="shared" si="120"/>
        <v>0</v>
      </c>
      <c r="BD156" s="46"/>
      <c r="BE156" s="47">
        <f t="shared" si="124"/>
        <v>0</v>
      </c>
      <c r="BF156" s="46"/>
      <c r="BG156" s="46"/>
      <c r="BH156" s="46"/>
      <c r="BI156" s="46"/>
      <c r="BJ156" s="46"/>
      <c r="BK156" s="46">
        <f>BI156*BJ156</f>
        <v>0</v>
      </c>
      <c r="BL156" s="46"/>
      <c r="BM156" s="46">
        <f t="shared" si="116"/>
        <v>0</v>
      </c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  <c r="CM156" s="46"/>
      <c r="CN156" s="46"/>
      <c r="CO156" s="46"/>
      <c r="CP156" s="46">
        <f>CN156*CO156</f>
        <v>0</v>
      </c>
      <c r="CQ156" s="46"/>
      <c r="CR156" s="47">
        <f t="shared" si="82"/>
        <v>0</v>
      </c>
      <c r="CS156" s="46"/>
      <c r="CT156" s="46"/>
      <c r="CU156" s="46"/>
      <c r="CV156" s="46"/>
      <c r="CW156" s="47">
        <f t="shared" si="121"/>
        <v>0</v>
      </c>
      <c r="CX156" s="46"/>
      <c r="CY156" s="47">
        <f t="shared" si="122"/>
        <v>0</v>
      </c>
      <c r="CZ156" s="46"/>
      <c r="DA156" s="46"/>
      <c r="DB156" s="46"/>
      <c r="DC156" s="46"/>
      <c r="DD156" s="47">
        <f t="shared" si="127"/>
        <v>0</v>
      </c>
      <c r="DE156" s="46"/>
      <c r="DF156" s="46">
        <f t="shared" si="128"/>
        <v>0</v>
      </c>
      <c r="DG156" s="46"/>
      <c r="DH156" s="46">
        <f t="shared" si="103"/>
        <v>0</v>
      </c>
      <c r="DI156" s="46"/>
      <c r="DJ156" s="46"/>
      <c r="DK156" s="47">
        <f t="shared" si="125"/>
        <v>0</v>
      </c>
      <c r="DL156" s="47">
        <f t="shared" si="104"/>
        <v>0</v>
      </c>
      <c r="DM156" s="46"/>
      <c r="DN156" s="46">
        <f t="shared" si="98"/>
        <v>0</v>
      </c>
      <c r="DO156" s="46"/>
      <c r="DP156" s="46">
        <f t="shared" si="119"/>
        <v>0</v>
      </c>
      <c r="DQ156" s="46"/>
      <c r="DR156" s="46">
        <f t="shared" si="87"/>
        <v>0</v>
      </c>
      <c r="DS156" s="46"/>
      <c r="DT156" s="46">
        <f>75%*DR156</f>
        <v>0</v>
      </c>
      <c r="DU156" s="46"/>
      <c r="DV156" s="46">
        <f t="shared" si="126"/>
        <v>0</v>
      </c>
      <c r="DW156" s="46"/>
      <c r="DX156" s="47">
        <f t="shared" si="114"/>
        <v>0</v>
      </c>
      <c r="DY156" s="46"/>
      <c r="DZ156" s="46"/>
      <c r="EA156" s="46"/>
      <c r="EB156" s="46"/>
      <c r="EC156" s="46"/>
      <c r="ED156" s="46"/>
      <c r="EE156" s="47">
        <f t="shared" si="118"/>
        <v>0</v>
      </c>
      <c r="EF156" s="46"/>
      <c r="EG156" s="46"/>
      <c r="EH156" s="46"/>
      <c r="EI156" s="46"/>
      <c r="EJ156" s="46"/>
      <c r="EK156" s="47">
        <f t="shared" si="105"/>
        <v>0</v>
      </c>
      <c r="EL156" s="46">
        <f t="shared" si="106"/>
        <v>0</v>
      </c>
      <c r="EM156" s="46"/>
      <c r="EN156" s="46">
        <f t="shared" si="107"/>
        <v>0</v>
      </c>
    </row>
    <row r="157" spans="1:144" s="48" customFormat="1" ht="15" customHeight="1" x14ac:dyDescent="0.25">
      <c r="B157" s="41">
        <v>4</v>
      </c>
      <c r="C157" s="42"/>
      <c r="D157" s="43"/>
      <c r="E157" s="42"/>
      <c r="F157" s="42"/>
      <c r="G157" s="42"/>
      <c r="H157" s="42"/>
      <c r="I157" s="42"/>
      <c r="J157" s="42"/>
      <c r="K157" s="42"/>
      <c r="L157" s="42"/>
      <c r="M157" s="42"/>
      <c r="N157" s="96"/>
      <c r="O157" s="96"/>
      <c r="P157" s="42"/>
      <c r="Q157" s="45"/>
      <c r="R157" s="45"/>
      <c r="S157" s="42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>
        <f t="shared" si="100"/>
        <v>0</v>
      </c>
      <c r="AO157" s="47">
        <f t="shared" si="101"/>
        <v>0</v>
      </c>
      <c r="AP157" s="46" t="s">
        <v>102</v>
      </c>
      <c r="AQ157" s="46"/>
      <c r="AR157" s="46"/>
      <c r="AS157" s="46"/>
      <c r="AT157" s="46"/>
      <c r="AU157" s="47">
        <f t="shared" si="123"/>
        <v>0</v>
      </c>
      <c r="AV157" s="46"/>
      <c r="AW157" s="47">
        <f t="shared" si="115"/>
        <v>0</v>
      </c>
      <c r="AX157" s="42"/>
      <c r="AY157" s="46"/>
      <c r="AZ157" s="46"/>
      <c r="BA157" s="46"/>
      <c r="BB157" s="46"/>
      <c r="BC157" s="47">
        <f t="shared" si="120"/>
        <v>0</v>
      </c>
      <c r="BD157" s="46"/>
      <c r="BE157" s="47">
        <f t="shared" si="124"/>
        <v>0</v>
      </c>
      <c r="BF157" s="42"/>
      <c r="BG157" s="46"/>
      <c r="BH157" s="46"/>
      <c r="BI157" s="46"/>
      <c r="BJ157" s="46"/>
      <c r="BK157" s="46">
        <f>BI157*BJ157</f>
        <v>0</v>
      </c>
      <c r="BL157" s="46"/>
      <c r="BM157" s="46">
        <f t="shared" si="116"/>
        <v>0</v>
      </c>
      <c r="BN157" s="42"/>
      <c r="BO157" s="46"/>
      <c r="BP157" s="46"/>
      <c r="BQ157" s="46"/>
      <c r="BR157" s="46"/>
      <c r="BS157" s="47">
        <f>+BQ157*BR157</f>
        <v>0</v>
      </c>
      <c r="BT157" s="46"/>
      <c r="BU157" s="47">
        <f>+BO157+BP157+BS157+BT157</f>
        <v>0</v>
      </c>
      <c r="BV157" s="42"/>
      <c r="BW157" s="46"/>
      <c r="BX157" s="46"/>
      <c r="BY157" s="46"/>
      <c r="BZ157" s="46"/>
      <c r="CA157" s="47">
        <f>+BY157*BZ157</f>
        <v>0</v>
      </c>
      <c r="CB157" s="46"/>
      <c r="CC157" s="47">
        <f>+BW157+BX157+CA157+CB157</f>
        <v>0</v>
      </c>
      <c r="CD157" s="42"/>
      <c r="CE157" s="46"/>
      <c r="CF157" s="46"/>
      <c r="CG157" s="46"/>
      <c r="CH157" s="46"/>
      <c r="CI157" s="47">
        <f>+CG157*CH157</f>
        <v>0</v>
      </c>
      <c r="CJ157" s="46"/>
      <c r="CK157" s="47">
        <f>+CE157+CF157+CI157+CJ157</f>
        <v>0</v>
      </c>
      <c r="CL157" s="46"/>
      <c r="CM157" s="46"/>
      <c r="CN157" s="46"/>
      <c r="CO157" s="46"/>
      <c r="CP157" s="46">
        <f>CN157*CO157</f>
        <v>0</v>
      </c>
      <c r="CQ157" s="46"/>
      <c r="CR157" s="47">
        <f t="shared" si="82"/>
        <v>0</v>
      </c>
      <c r="CS157" s="46"/>
      <c r="CT157" s="46"/>
      <c r="CU157" s="46"/>
      <c r="CV157" s="46"/>
      <c r="CW157" s="47">
        <f t="shared" si="121"/>
        <v>0</v>
      </c>
      <c r="CX157" s="46"/>
      <c r="CY157" s="47">
        <f t="shared" si="122"/>
        <v>0</v>
      </c>
      <c r="CZ157" s="46"/>
      <c r="DA157" s="46"/>
      <c r="DB157" s="46"/>
      <c r="DC157" s="46"/>
      <c r="DD157" s="47">
        <f t="shared" si="127"/>
        <v>0</v>
      </c>
      <c r="DE157" s="46"/>
      <c r="DF157" s="46">
        <f t="shared" si="128"/>
        <v>0</v>
      </c>
      <c r="DG157" s="46"/>
      <c r="DH157" s="46"/>
      <c r="DI157" s="46"/>
      <c r="DJ157" s="46"/>
      <c r="DK157" s="47">
        <f t="shared" si="125"/>
        <v>0</v>
      </c>
      <c r="DL157" s="47">
        <f t="shared" si="104"/>
        <v>0</v>
      </c>
      <c r="DM157" s="46"/>
      <c r="DN157" s="46"/>
      <c r="DO157" s="46"/>
      <c r="DP157" s="46"/>
      <c r="DQ157" s="46"/>
      <c r="DR157" s="46">
        <f t="shared" si="87"/>
        <v>0</v>
      </c>
      <c r="DS157" s="46"/>
      <c r="DT157" s="46">
        <f>75%*DR157</f>
        <v>0</v>
      </c>
      <c r="DU157" s="46"/>
      <c r="DV157" s="46">
        <f t="shared" si="126"/>
        <v>0</v>
      </c>
      <c r="DW157" s="46"/>
      <c r="DX157" s="47">
        <f t="shared" si="114"/>
        <v>0</v>
      </c>
      <c r="DY157" s="46"/>
      <c r="DZ157" s="46"/>
      <c r="EA157" s="46"/>
      <c r="EB157" s="46"/>
      <c r="EC157" s="46"/>
      <c r="ED157" s="46"/>
      <c r="EE157" s="47">
        <f t="shared" si="118"/>
        <v>0</v>
      </c>
      <c r="EF157" s="46"/>
      <c r="EG157" s="46"/>
      <c r="EH157" s="46"/>
      <c r="EI157" s="46"/>
      <c r="EJ157" s="46"/>
      <c r="EK157" s="47">
        <f t="shared" si="105"/>
        <v>0</v>
      </c>
      <c r="EL157" s="46">
        <f t="shared" si="106"/>
        <v>0</v>
      </c>
      <c r="EM157" s="46"/>
      <c r="EN157" s="46">
        <f t="shared" si="107"/>
        <v>0</v>
      </c>
    </row>
    <row r="158" spans="1:144" s="48" customFormat="1" ht="15" customHeight="1" x14ac:dyDescent="0.25">
      <c r="A158" s="58"/>
      <c r="B158" s="41">
        <v>5</v>
      </c>
      <c r="C158" s="42"/>
      <c r="D158" s="43"/>
      <c r="E158" s="42"/>
      <c r="F158" s="42"/>
      <c r="G158" s="49"/>
      <c r="H158" s="49"/>
      <c r="I158" s="49"/>
      <c r="J158" s="49"/>
      <c r="K158" s="49"/>
      <c r="L158" s="49"/>
      <c r="M158" s="42"/>
      <c r="N158" s="41"/>
      <c r="O158" s="41"/>
      <c r="P158" s="42"/>
      <c r="Q158" s="45"/>
      <c r="R158" s="45"/>
      <c r="S158" s="42"/>
      <c r="T158" s="46"/>
      <c r="U158" s="46"/>
      <c r="V158" s="46"/>
      <c r="W158" s="46"/>
      <c r="X158" s="46"/>
      <c r="Y158" s="46"/>
      <c r="Z158" s="42"/>
      <c r="AA158" s="42"/>
      <c r="AB158" s="42"/>
      <c r="AC158" s="42"/>
      <c r="AD158" s="42"/>
      <c r="AE158" s="42"/>
      <c r="AF158" s="42"/>
      <c r="AG158" s="42"/>
      <c r="AH158" s="42"/>
      <c r="AI158" s="46"/>
      <c r="AJ158" s="42"/>
      <c r="AK158" s="42"/>
      <c r="AL158" s="42"/>
      <c r="AM158" s="42"/>
      <c r="AN158" s="46">
        <f t="shared" si="100"/>
        <v>0</v>
      </c>
      <c r="AO158" s="46">
        <f t="shared" si="101"/>
        <v>0</v>
      </c>
      <c r="AP158" s="42" t="s">
        <v>111</v>
      </c>
      <c r="AQ158" s="46">
        <f t="shared" ref="AQ158:AQ191" si="129">20%*AO158</f>
        <v>0</v>
      </c>
      <c r="AR158" s="46"/>
      <c r="AS158" s="42"/>
      <c r="AT158" s="46"/>
      <c r="AU158" s="47">
        <f t="shared" si="123"/>
        <v>0</v>
      </c>
      <c r="AV158" s="47"/>
      <c r="AW158" s="47">
        <f>AQ158+AU158+AV158</f>
        <v>0</v>
      </c>
      <c r="AX158" s="47"/>
      <c r="AY158" s="46"/>
      <c r="AZ158" s="47"/>
      <c r="BA158" s="47"/>
      <c r="BB158" s="47"/>
      <c r="BC158" s="47">
        <f t="shared" si="120"/>
        <v>0</v>
      </c>
      <c r="BD158" s="47"/>
      <c r="BE158" s="47">
        <f t="shared" si="124"/>
        <v>0</v>
      </c>
      <c r="BF158" s="47"/>
      <c r="BG158" s="47"/>
      <c r="BH158" s="47"/>
      <c r="BI158" s="47"/>
      <c r="BJ158" s="47"/>
      <c r="BK158" s="46">
        <f>BI158*BJ158</f>
        <v>0</v>
      </c>
      <c r="BL158" s="47"/>
      <c r="BM158" s="47">
        <f>+BG158+BH158+BK158+BL158</f>
        <v>0</v>
      </c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6"/>
      <c r="CQ158" s="47"/>
      <c r="CR158" s="47">
        <f t="shared" si="82"/>
        <v>0</v>
      </c>
      <c r="CS158" s="47"/>
      <c r="CT158" s="47"/>
      <c r="CU158" s="47"/>
      <c r="CV158" s="47"/>
      <c r="CW158" s="47">
        <f t="shared" si="121"/>
        <v>0</v>
      </c>
      <c r="CX158" s="46"/>
      <c r="CY158" s="47">
        <f t="shared" si="122"/>
        <v>0</v>
      </c>
      <c r="CZ158" s="47"/>
      <c r="DA158" s="47"/>
      <c r="DB158" s="47"/>
      <c r="DC158" s="47"/>
      <c r="DD158" s="64">
        <f t="shared" si="127"/>
        <v>0</v>
      </c>
      <c r="DE158" s="47"/>
      <c r="DF158" s="46">
        <f t="shared" si="128"/>
        <v>0</v>
      </c>
      <c r="DG158" s="47"/>
      <c r="DH158" s="46">
        <f>AQ158/2</f>
        <v>0</v>
      </c>
      <c r="DI158" s="47"/>
      <c r="DJ158" s="47"/>
      <c r="DK158" s="47">
        <f t="shared" si="125"/>
        <v>0</v>
      </c>
      <c r="DL158" s="60">
        <f t="shared" si="104"/>
        <v>0</v>
      </c>
      <c r="DM158" s="94"/>
      <c r="DN158" s="46">
        <f>7.5%*AQ158</f>
        <v>0</v>
      </c>
      <c r="DO158" s="47"/>
      <c r="DP158" s="46">
        <f>10%*AQ158</f>
        <v>0</v>
      </c>
      <c r="DQ158" s="47"/>
      <c r="DR158" s="46">
        <f t="shared" si="87"/>
        <v>0</v>
      </c>
      <c r="DS158" s="47"/>
      <c r="DT158" s="46">
        <f t="shared" ref="DT158:DT180" si="130">75%*DP158</f>
        <v>0</v>
      </c>
      <c r="DU158" s="47"/>
      <c r="DV158" s="46">
        <f t="shared" si="126"/>
        <v>0</v>
      </c>
      <c r="DW158" s="47"/>
      <c r="DX158" s="47">
        <f t="shared" si="114"/>
        <v>0</v>
      </c>
      <c r="DY158" s="91"/>
      <c r="DZ158" s="47"/>
      <c r="EA158" s="47"/>
      <c r="EB158" s="47"/>
      <c r="EC158" s="47"/>
      <c r="ED158" s="47"/>
      <c r="EE158" s="47">
        <f t="shared" si="118"/>
        <v>0</v>
      </c>
      <c r="EF158" s="47"/>
      <c r="EG158" s="47"/>
      <c r="EH158" s="47"/>
      <c r="EI158" s="91"/>
      <c r="EJ158" s="47"/>
      <c r="EK158" s="47">
        <f t="shared" si="105"/>
        <v>0</v>
      </c>
      <c r="EL158" s="46">
        <f t="shared" si="106"/>
        <v>0</v>
      </c>
      <c r="EM158" s="46"/>
      <c r="EN158" s="46">
        <f t="shared" si="107"/>
        <v>0</v>
      </c>
    </row>
    <row r="159" spans="1:144" s="48" customFormat="1" x14ac:dyDescent="0.25">
      <c r="B159" s="41">
        <v>6</v>
      </c>
      <c r="C159" s="42"/>
      <c r="D159" s="43"/>
      <c r="E159" s="42"/>
      <c r="F159" s="42"/>
      <c r="G159" s="42"/>
      <c r="H159" s="42"/>
      <c r="I159" s="42"/>
      <c r="J159" s="42"/>
      <c r="K159" s="42"/>
      <c r="L159" s="42"/>
      <c r="M159" s="42"/>
      <c r="N159" s="41"/>
      <c r="O159" s="41"/>
      <c r="P159" s="42"/>
      <c r="Q159" s="45"/>
      <c r="R159" s="45"/>
      <c r="S159" s="42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2"/>
      <c r="AL159" s="46"/>
      <c r="AM159" s="42"/>
      <c r="AN159" s="46">
        <f t="shared" si="100"/>
        <v>0</v>
      </c>
      <c r="AO159" s="47">
        <f t="shared" si="101"/>
        <v>0</v>
      </c>
      <c r="AP159" s="42" t="s">
        <v>111</v>
      </c>
      <c r="AQ159" s="46">
        <f t="shared" si="129"/>
        <v>0</v>
      </c>
      <c r="AR159" s="46"/>
      <c r="AS159" s="42"/>
      <c r="AT159" s="46"/>
      <c r="AU159" s="47">
        <f t="shared" si="123"/>
        <v>0</v>
      </c>
      <c r="AV159" s="46"/>
      <c r="AW159" s="47">
        <f t="shared" ref="AW159:AW165" si="131">AQ159+AR159+AU159+AV159</f>
        <v>0</v>
      </c>
      <c r="AX159" s="42"/>
      <c r="AY159" s="46"/>
      <c r="AZ159" s="42"/>
      <c r="BA159" s="42"/>
      <c r="BB159" s="42"/>
      <c r="BC159" s="47">
        <f t="shared" si="120"/>
        <v>0</v>
      </c>
      <c r="BD159" s="42"/>
      <c r="BE159" s="47">
        <f t="shared" si="124"/>
        <v>0</v>
      </c>
      <c r="BF159" s="42"/>
      <c r="BG159" s="42"/>
      <c r="BH159" s="42"/>
      <c r="BI159" s="42"/>
      <c r="BJ159" s="42"/>
      <c r="BK159" s="47">
        <f t="shared" ref="BK159:BK171" si="132">+BI159*BJ159</f>
        <v>0</v>
      </c>
      <c r="BL159" s="42"/>
      <c r="BM159" s="46">
        <f>BK159</f>
        <v>0</v>
      </c>
      <c r="BN159" s="42"/>
      <c r="BO159" s="42"/>
      <c r="BP159" s="42"/>
      <c r="BQ159" s="42"/>
      <c r="BR159" s="42"/>
      <c r="BS159" s="42"/>
      <c r="BT159" s="42"/>
      <c r="BU159" s="47">
        <f t="shared" ref="BU159:BU180" si="133">+BO159+BP159+BS159+BT159</f>
        <v>0</v>
      </c>
      <c r="BV159" s="42"/>
      <c r="BW159" s="42"/>
      <c r="BX159" s="42"/>
      <c r="BY159" s="42"/>
      <c r="BZ159" s="42"/>
      <c r="CA159" s="42"/>
      <c r="CB159" s="42"/>
      <c r="CC159" s="47">
        <f t="shared" ref="CC159:CC180" si="134">+BW159+BX159+CA159+CB159</f>
        <v>0</v>
      </c>
      <c r="CD159" s="42"/>
      <c r="CE159" s="42"/>
      <c r="CF159" s="42"/>
      <c r="CG159" s="42"/>
      <c r="CH159" s="42"/>
      <c r="CI159" s="42"/>
      <c r="CJ159" s="42"/>
      <c r="CK159" s="47">
        <f t="shared" ref="CK159:CK180" si="135">+CE159+CF159+CI159+CJ159</f>
        <v>0</v>
      </c>
      <c r="CL159" s="42"/>
      <c r="CM159" s="42"/>
      <c r="CN159" s="42"/>
      <c r="CO159" s="42"/>
      <c r="CP159" s="46">
        <f t="shared" ref="CP159:CP196" si="136">CN159*CO159</f>
        <v>0</v>
      </c>
      <c r="CQ159" s="46"/>
      <c r="CR159" s="47">
        <f t="shared" si="82"/>
        <v>0</v>
      </c>
      <c r="CS159" s="46"/>
      <c r="CT159" s="46"/>
      <c r="CU159" s="46"/>
      <c r="CV159" s="46"/>
      <c r="CW159" s="47">
        <f t="shared" si="121"/>
        <v>0</v>
      </c>
      <c r="CX159" s="46"/>
      <c r="CY159" s="47">
        <f t="shared" si="122"/>
        <v>0</v>
      </c>
      <c r="CZ159" s="46"/>
      <c r="DA159" s="46"/>
      <c r="DB159" s="46"/>
      <c r="DC159" s="46"/>
      <c r="DD159" s="47">
        <f t="shared" si="127"/>
        <v>0</v>
      </c>
      <c r="DE159" s="42"/>
      <c r="DF159" s="46">
        <f t="shared" si="128"/>
        <v>0</v>
      </c>
      <c r="DG159" s="46"/>
      <c r="DH159" s="46">
        <f>AQ159/2</f>
        <v>0</v>
      </c>
      <c r="DI159" s="46"/>
      <c r="DJ159" s="46"/>
      <c r="DK159" s="47">
        <f t="shared" si="125"/>
        <v>0</v>
      </c>
      <c r="DL159" s="47">
        <f t="shared" si="104"/>
        <v>0</v>
      </c>
      <c r="DM159" s="46"/>
      <c r="DN159" s="46">
        <f>7.5%*AQ159</f>
        <v>0</v>
      </c>
      <c r="DO159" s="42"/>
      <c r="DP159" s="46">
        <f t="shared" ref="DP159:DP180" si="137">DN159</f>
        <v>0</v>
      </c>
      <c r="DQ159" s="42"/>
      <c r="DR159" s="46">
        <f t="shared" si="87"/>
        <v>0</v>
      </c>
      <c r="DS159" s="49"/>
      <c r="DT159" s="46">
        <f t="shared" si="130"/>
        <v>0</v>
      </c>
      <c r="DU159" s="42"/>
      <c r="DV159" s="46">
        <f t="shared" si="126"/>
        <v>0</v>
      </c>
      <c r="DW159" s="42"/>
      <c r="DX159" s="47">
        <f t="shared" si="114"/>
        <v>0</v>
      </c>
      <c r="DY159" s="46"/>
      <c r="DZ159" s="46"/>
      <c r="EA159" s="46"/>
      <c r="EB159" s="46"/>
      <c r="EC159" s="46"/>
      <c r="ED159" s="46"/>
      <c r="EE159" s="47">
        <f t="shared" si="118"/>
        <v>0</v>
      </c>
      <c r="EF159" s="46"/>
      <c r="EG159" s="46"/>
      <c r="EH159" s="46"/>
      <c r="EI159" s="46"/>
      <c r="EJ159" s="46"/>
      <c r="EK159" s="47">
        <f t="shared" si="105"/>
        <v>0</v>
      </c>
      <c r="EL159" s="46">
        <f t="shared" si="106"/>
        <v>0</v>
      </c>
      <c r="EM159" s="46"/>
      <c r="EN159" s="46">
        <f t="shared" si="107"/>
        <v>0</v>
      </c>
    </row>
    <row r="160" spans="1:144" s="48" customFormat="1" x14ac:dyDescent="0.25">
      <c r="B160" s="41">
        <v>7</v>
      </c>
      <c r="C160" s="42"/>
      <c r="D160" s="43"/>
      <c r="E160" s="42"/>
      <c r="F160" s="42"/>
      <c r="G160" s="42"/>
      <c r="H160" s="42"/>
      <c r="I160" s="42"/>
      <c r="J160" s="42"/>
      <c r="K160" s="42"/>
      <c r="L160" s="42"/>
      <c r="M160" s="42"/>
      <c r="N160" s="41"/>
      <c r="O160" s="41"/>
      <c r="P160" s="42"/>
      <c r="Q160" s="45"/>
      <c r="R160" s="45"/>
      <c r="S160" s="42"/>
      <c r="T160" s="46"/>
      <c r="U160" s="46"/>
      <c r="V160" s="42"/>
      <c r="W160" s="42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>
        <f t="shared" si="100"/>
        <v>0</v>
      </c>
      <c r="AO160" s="46">
        <f t="shared" si="101"/>
        <v>0</v>
      </c>
      <c r="AP160" s="46" t="s">
        <v>114</v>
      </c>
      <c r="AQ160" s="46">
        <f t="shared" si="129"/>
        <v>0</v>
      </c>
      <c r="AR160" s="46"/>
      <c r="AS160" s="46"/>
      <c r="AT160" s="46"/>
      <c r="AU160" s="47">
        <f t="shared" si="123"/>
        <v>0</v>
      </c>
      <c r="AV160" s="46"/>
      <c r="AW160" s="47">
        <f t="shared" si="131"/>
        <v>0</v>
      </c>
      <c r="AX160" s="46"/>
      <c r="AY160" s="46"/>
      <c r="AZ160" s="46"/>
      <c r="BA160" s="46"/>
      <c r="BB160" s="46"/>
      <c r="BC160" s="47">
        <f t="shared" si="120"/>
        <v>0</v>
      </c>
      <c r="BD160" s="46"/>
      <c r="BE160" s="47">
        <f t="shared" si="124"/>
        <v>0</v>
      </c>
      <c r="BF160" s="46"/>
      <c r="BG160" s="46"/>
      <c r="BH160" s="46" t="s">
        <v>115</v>
      </c>
      <c r="BI160" s="46"/>
      <c r="BJ160" s="46"/>
      <c r="BK160" s="47">
        <f t="shared" si="132"/>
        <v>0</v>
      </c>
      <c r="BL160" s="46"/>
      <c r="BM160" s="46">
        <f>BK160</f>
        <v>0</v>
      </c>
      <c r="BN160" s="46"/>
      <c r="BO160" s="46"/>
      <c r="BP160" s="46"/>
      <c r="BQ160" s="46"/>
      <c r="BR160" s="46"/>
      <c r="BS160" s="46"/>
      <c r="BT160" s="46"/>
      <c r="BU160" s="47">
        <f t="shared" si="133"/>
        <v>0</v>
      </c>
      <c r="BV160" s="46"/>
      <c r="BW160" s="46"/>
      <c r="BX160" s="46"/>
      <c r="BY160" s="46"/>
      <c r="BZ160" s="46"/>
      <c r="CA160" s="46"/>
      <c r="CB160" s="46"/>
      <c r="CC160" s="47">
        <f t="shared" si="134"/>
        <v>0</v>
      </c>
      <c r="CD160" s="46"/>
      <c r="CE160" s="46"/>
      <c r="CF160" s="46"/>
      <c r="CG160" s="46"/>
      <c r="CH160" s="46"/>
      <c r="CI160" s="46"/>
      <c r="CJ160" s="46"/>
      <c r="CK160" s="47">
        <f t="shared" si="135"/>
        <v>0</v>
      </c>
      <c r="CL160" s="46"/>
      <c r="CM160" s="46"/>
      <c r="CN160" s="46"/>
      <c r="CO160" s="46"/>
      <c r="CP160" s="46">
        <f t="shared" si="136"/>
        <v>0</v>
      </c>
      <c r="CQ160" s="46"/>
      <c r="CR160" s="47">
        <f t="shared" si="82"/>
        <v>0</v>
      </c>
      <c r="CS160" s="46"/>
      <c r="CT160" s="46"/>
      <c r="CU160" s="46"/>
      <c r="CV160" s="46"/>
      <c r="CW160" s="47">
        <f t="shared" si="121"/>
        <v>0</v>
      </c>
      <c r="CX160" s="46"/>
      <c r="CY160" s="47">
        <f t="shared" si="122"/>
        <v>0</v>
      </c>
      <c r="CZ160" s="46"/>
      <c r="DA160" s="46"/>
      <c r="DB160" s="46"/>
      <c r="DC160" s="46"/>
      <c r="DD160" s="47">
        <f t="shared" si="127"/>
        <v>0</v>
      </c>
      <c r="DE160" s="46"/>
      <c r="DF160" s="46">
        <f t="shared" si="128"/>
        <v>0</v>
      </c>
      <c r="DG160" s="46"/>
      <c r="DH160" s="46"/>
      <c r="DI160" s="46"/>
      <c r="DJ160" s="46"/>
      <c r="DK160" s="47">
        <f t="shared" si="125"/>
        <v>0</v>
      </c>
      <c r="DL160" s="47">
        <f t="shared" si="104"/>
        <v>0</v>
      </c>
      <c r="DM160" s="46"/>
      <c r="DN160" s="46"/>
      <c r="DO160" s="46"/>
      <c r="DP160" s="46">
        <f t="shared" si="137"/>
        <v>0</v>
      </c>
      <c r="DQ160" s="46"/>
      <c r="DR160" s="46">
        <f t="shared" si="87"/>
        <v>0</v>
      </c>
      <c r="DS160" s="46"/>
      <c r="DT160" s="46">
        <f t="shared" si="130"/>
        <v>0</v>
      </c>
      <c r="DU160" s="46"/>
      <c r="DV160" s="46">
        <f t="shared" si="126"/>
        <v>0</v>
      </c>
      <c r="DW160" s="46"/>
      <c r="DX160" s="47">
        <f t="shared" si="114"/>
        <v>0</v>
      </c>
      <c r="DY160" s="46"/>
      <c r="DZ160" s="46"/>
      <c r="EA160" s="46"/>
      <c r="EB160" s="46"/>
      <c r="EC160" s="46"/>
      <c r="ED160" s="46"/>
      <c r="EE160" s="47">
        <f t="shared" si="118"/>
        <v>0</v>
      </c>
      <c r="EF160" s="46"/>
      <c r="EG160" s="46"/>
      <c r="EH160" s="46"/>
      <c r="EI160" s="46"/>
      <c r="EJ160" s="46"/>
      <c r="EK160" s="47">
        <f t="shared" si="105"/>
        <v>0</v>
      </c>
      <c r="EL160" s="46">
        <f t="shared" si="106"/>
        <v>0</v>
      </c>
      <c r="EM160" s="46"/>
      <c r="EN160" s="46">
        <f t="shared" si="107"/>
        <v>0</v>
      </c>
    </row>
    <row r="161" spans="2:147" s="80" customFormat="1" ht="15" customHeight="1" x14ac:dyDescent="0.25">
      <c r="B161" s="76">
        <v>8</v>
      </c>
      <c r="C161" s="42"/>
      <c r="D161" s="43"/>
      <c r="E161" s="42"/>
      <c r="F161" s="74"/>
      <c r="G161" s="74"/>
      <c r="H161" s="74"/>
      <c r="I161" s="74"/>
      <c r="J161" s="74"/>
      <c r="K161" s="74"/>
      <c r="L161" s="74"/>
      <c r="M161" s="74"/>
      <c r="N161" s="76"/>
      <c r="O161" s="76"/>
      <c r="P161" s="74"/>
      <c r="Q161" s="77"/>
      <c r="R161" s="77"/>
      <c r="S161" s="74"/>
      <c r="T161" s="78"/>
      <c r="U161" s="78"/>
      <c r="V161" s="74"/>
      <c r="W161" s="74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>
        <f t="shared" si="100"/>
        <v>0</v>
      </c>
      <c r="AO161" s="78">
        <f t="shared" si="101"/>
        <v>0</v>
      </c>
      <c r="AP161" s="74" t="s">
        <v>111</v>
      </c>
      <c r="AQ161" s="78">
        <f t="shared" si="129"/>
        <v>0</v>
      </c>
      <c r="AR161" s="78"/>
      <c r="AS161" s="78"/>
      <c r="AT161" s="78"/>
      <c r="AU161" s="79">
        <f t="shared" si="123"/>
        <v>0</v>
      </c>
      <c r="AV161" s="78"/>
      <c r="AW161" s="79">
        <f t="shared" si="131"/>
        <v>0</v>
      </c>
      <c r="AX161" s="78"/>
      <c r="AY161" s="78"/>
      <c r="AZ161" s="78"/>
      <c r="BA161" s="78"/>
      <c r="BB161" s="78"/>
      <c r="BC161" s="79">
        <f t="shared" si="120"/>
        <v>0</v>
      </c>
      <c r="BD161" s="78"/>
      <c r="BE161" s="79">
        <f t="shared" si="124"/>
        <v>0</v>
      </c>
      <c r="BF161" s="78"/>
      <c r="BG161" s="78"/>
      <c r="BH161" s="78"/>
      <c r="BI161" s="78"/>
      <c r="BJ161" s="78"/>
      <c r="BK161" s="79">
        <f t="shared" si="132"/>
        <v>0</v>
      </c>
      <c r="BL161" s="78"/>
      <c r="BM161" s="79">
        <f t="shared" ref="BM161:BM180" si="138">+BG161+BH161+BK161+BL161</f>
        <v>0</v>
      </c>
      <c r="BN161" s="78"/>
      <c r="BO161" s="78"/>
      <c r="BP161" s="78"/>
      <c r="BQ161" s="78"/>
      <c r="BR161" s="78"/>
      <c r="BS161" s="78"/>
      <c r="BT161" s="78"/>
      <c r="BU161" s="79">
        <f t="shared" si="133"/>
        <v>0</v>
      </c>
      <c r="BV161" s="78"/>
      <c r="BW161" s="78"/>
      <c r="BX161" s="78"/>
      <c r="BY161" s="78"/>
      <c r="BZ161" s="78"/>
      <c r="CA161" s="78"/>
      <c r="CB161" s="78"/>
      <c r="CC161" s="79">
        <f t="shared" si="134"/>
        <v>0</v>
      </c>
      <c r="CD161" s="78"/>
      <c r="CE161" s="78"/>
      <c r="CF161" s="78"/>
      <c r="CG161" s="78"/>
      <c r="CH161" s="78"/>
      <c r="CI161" s="78"/>
      <c r="CJ161" s="78"/>
      <c r="CK161" s="79">
        <f t="shared" si="135"/>
        <v>0</v>
      </c>
      <c r="CL161" s="78"/>
      <c r="CM161" s="78"/>
      <c r="CN161" s="78"/>
      <c r="CO161" s="78"/>
      <c r="CP161" s="78">
        <f t="shared" si="136"/>
        <v>0</v>
      </c>
      <c r="CQ161" s="78"/>
      <c r="CR161" s="79">
        <f t="shared" si="82"/>
        <v>0</v>
      </c>
      <c r="CS161" s="78"/>
      <c r="CT161" s="78"/>
      <c r="CU161" s="78"/>
      <c r="CV161" s="78"/>
      <c r="CW161" s="79">
        <f t="shared" si="121"/>
        <v>0</v>
      </c>
      <c r="CX161" s="78"/>
      <c r="CY161" s="79">
        <f t="shared" si="122"/>
        <v>0</v>
      </c>
      <c r="CZ161" s="78"/>
      <c r="DA161" s="78"/>
      <c r="DB161" s="78"/>
      <c r="DC161" s="78"/>
      <c r="DD161" s="79">
        <f t="shared" si="127"/>
        <v>0</v>
      </c>
      <c r="DE161" s="78"/>
      <c r="DF161" s="78">
        <f t="shared" si="128"/>
        <v>0</v>
      </c>
      <c r="DG161" s="78"/>
      <c r="DH161" s="78">
        <f>AQ161/2</f>
        <v>0</v>
      </c>
      <c r="DI161" s="78"/>
      <c r="DJ161" s="78"/>
      <c r="DK161" s="79">
        <f t="shared" si="125"/>
        <v>0</v>
      </c>
      <c r="DL161" s="79">
        <f t="shared" si="104"/>
        <v>0</v>
      </c>
      <c r="DM161" s="78"/>
      <c r="DN161" s="78">
        <f>7.5%*AQ161</f>
        <v>0</v>
      </c>
      <c r="DO161" s="78"/>
      <c r="DP161" s="78">
        <f t="shared" si="137"/>
        <v>0</v>
      </c>
      <c r="DQ161" s="78"/>
      <c r="DR161" s="78">
        <f t="shared" si="87"/>
        <v>0</v>
      </c>
      <c r="DS161" s="78"/>
      <c r="DT161" s="78">
        <f t="shared" si="130"/>
        <v>0</v>
      </c>
      <c r="DU161" s="78"/>
      <c r="DV161" s="78">
        <f t="shared" si="126"/>
        <v>0</v>
      </c>
      <c r="DW161" s="78"/>
      <c r="DX161" s="79">
        <f t="shared" si="114"/>
        <v>0</v>
      </c>
      <c r="DY161" s="78"/>
      <c r="DZ161" s="78"/>
      <c r="EA161" s="78"/>
      <c r="EB161" s="78"/>
      <c r="EC161" s="78"/>
      <c r="ED161" s="78"/>
      <c r="EE161" s="79">
        <f t="shared" si="118"/>
        <v>0</v>
      </c>
      <c r="EF161" s="78"/>
      <c r="EG161" s="78"/>
      <c r="EH161" s="78"/>
      <c r="EI161" s="78"/>
      <c r="EJ161" s="78"/>
      <c r="EK161" s="79">
        <f t="shared" si="105"/>
        <v>0</v>
      </c>
      <c r="EL161" s="78">
        <f t="shared" si="106"/>
        <v>0</v>
      </c>
      <c r="EM161" s="78"/>
      <c r="EN161" s="78">
        <f t="shared" si="107"/>
        <v>0</v>
      </c>
    </row>
    <row r="162" spans="2:147" s="48" customFormat="1" x14ac:dyDescent="0.25">
      <c r="B162" s="41">
        <v>9</v>
      </c>
      <c r="C162" s="42"/>
      <c r="D162" s="43"/>
      <c r="E162" s="42"/>
      <c r="F162" s="42"/>
      <c r="G162" s="42"/>
      <c r="H162" s="42"/>
      <c r="I162" s="42"/>
      <c r="J162" s="42"/>
      <c r="K162" s="42"/>
      <c r="L162" s="42"/>
      <c r="M162" s="42"/>
      <c r="N162" s="41"/>
      <c r="O162" s="41"/>
      <c r="P162" s="42"/>
      <c r="Q162" s="45"/>
      <c r="R162" s="45"/>
      <c r="S162" s="42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7">
        <f t="shared" si="100"/>
        <v>0</v>
      </c>
      <c r="AO162" s="47">
        <f t="shared" si="101"/>
        <v>0</v>
      </c>
      <c r="AP162" s="42" t="s">
        <v>114</v>
      </c>
      <c r="AQ162" s="46">
        <f t="shared" si="129"/>
        <v>0</v>
      </c>
      <c r="AR162" s="46"/>
      <c r="AS162" s="46"/>
      <c r="AT162" s="46"/>
      <c r="AU162" s="47">
        <f t="shared" si="123"/>
        <v>0</v>
      </c>
      <c r="AV162" s="46"/>
      <c r="AW162" s="47">
        <f t="shared" si="131"/>
        <v>0</v>
      </c>
      <c r="AX162" s="42"/>
      <c r="AY162" s="46"/>
      <c r="AZ162" s="46"/>
      <c r="BA162" s="46"/>
      <c r="BB162" s="46"/>
      <c r="BC162" s="47">
        <f t="shared" si="120"/>
        <v>0</v>
      </c>
      <c r="BD162" s="46"/>
      <c r="BE162" s="47">
        <f t="shared" si="124"/>
        <v>0</v>
      </c>
      <c r="BF162" s="42"/>
      <c r="BG162" s="46"/>
      <c r="BH162" s="46"/>
      <c r="BI162" s="46"/>
      <c r="BJ162" s="46"/>
      <c r="BK162" s="47">
        <f t="shared" si="132"/>
        <v>0</v>
      </c>
      <c r="BL162" s="46"/>
      <c r="BM162" s="47">
        <f t="shared" si="138"/>
        <v>0</v>
      </c>
      <c r="BN162" s="42"/>
      <c r="BO162" s="46"/>
      <c r="BP162" s="46"/>
      <c r="BQ162" s="46"/>
      <c r="BR162" s="46"/>
      <c r="BS162" s="47"/>
      <c r="BT162" s="46"/>
      <c r="BU162" s="47">
        <f t="shared" si="133"/>
        <v>0</v>
      </c>
      <c r="BV162" s="42"/>
      <c r="BW162" s="46"/>
      <c r="BX162" s="46"/>
      <c r="BY162" s="46"/>
      <c r="BZ162" s="46"/>
      <c r="CA162" s="47"/>
      <c r="CB162" s="46"/>
      <c r="CC162" s="47">
        <f t="shared" si="134"/>
        <v>0</v>
      </c>
      <c r="CD162" s="42"/>
      <c r="CE162" s="46"/>
      <c r="CF162" s="46"/>
      <c r="CG162" s="46"/>
      <c r="CH162" s="46"/>
      <c r="CI162" s="47"/>
      <c r="CJ162" s="46"/>
      <c r="CK162" s="47">
        <f t="shared" si="135"/>
        <v>0</v>
      </c>
      <c r="CL162" s="46"/>
      <c r="CM162" s="46"/>
      <c r="CN162" s="46"/>
      <c r="CO162" s="46"/>
      <c r="CP162" s="46">
        <f t="shared" si="136"/>
        <v>0</v>
      </c>
      <c r="CQ162" s="46"/>
      <c r="CR162" s="47">
        <f t="shared" si="82"/>
        <v>0</v>
      </c>
      <c r="CS162" s="46"/>
      <c r="CT162" s="46"/>
      <c r="CU162" s="46"/>
      <c r="CV162" s="46"/>
      <c r="CW162" s="47">
        <f t="shared" si="121"/>
        <v>0</v>
      </c>
      <c r="CX162" s="46"/>
      <c r="CY162" s="47">
        <f t="shared" si="122"/>
        <v>0</v>
      </c>
      <c r="CZ162" s="46"/>
      <c r="DA162" s="46"/>
      <c r="DB162" s="46"/>
      <c r="DC162" s="46"/>
      <c r="DD162" s="47">
        <f t="shared" si="127"/>
        <v>0</v>
      </c>
      <c r="DE162" s="46"/>
      <c r="DF162" s="46">
        <f t="shared" si="128"/>
        <v>0</v>
      </c>
      <c r="DG162" s="46"/>
      <c r="DH162" s="46"/>
      <c r="DI162" s="46"/>
      <c r="DJ162" s="46"/>
      <c r="DK162" s="47">
        <f t="shared" si="125"/>
        <v>0</v>
      </c>
      <c r="DL162" s="47">
        <f t="shared" si="104"/>
        <v>0</v>
      </c>
      <c r="DM162" s="46"/>
      <c r="DN162" s="46"/>
      <c r="DO162" s="46"/>
      <c r="DP162" s="46">
        <f t="shared" si="137"/>
        <v>0</v>
      </c>
      <c r="DQ162" s="46"/>
      <c r="DR162" s="46">
        <f t="shared" si="87"/>
        <v>0</v>
      </c>
      <c r="DS162" s="46"/>
      <c r="DT162" s="46">
        <f t="shared" si="130"/>
        <v>0</v>
      </c>
      <c r="DU162" s="46"/>
      <c r="DV162" s="46">
        <f t="shared" si="126"/>
        <v>0</v>
      </c>
      <c r="DW162" s="46"/>
      <c r="DX162" s="47">
        <f t="shared" si="114"/>
        <v>0</v>
      </c>
      <c r="DY162" s="46"/>
      <c r="DZ162" s="46"/>
      <c r="EA162" s="46"/>
      <c r="EB162" s="46"/>
      <c r="EC162" s="46"/>
      <c r="ED162" s="46"/>
      <c r="EE162" s="47">
        <f t="shared" si="118"/>
        <v>0</v>
      </c>
      <c r="EF162" s="46"/>
      <c r="EG162" s="46"/>
      <c r="EH162" s="46"/>
      <c r="EI162" s="46"/>
      <c r="EJ162" s="46"/>
      <c r="EK162" s="47">
        <f t="shared" si="105"/>
        <v>0</v>
      </c>
      <c r="EL162" s="46">
        <f t="shared" si="106"/>
        <v>0</v>
      </c>
      <c r="EM162" s="46"/>
      <c r="EN162" s="46">
        <f t="shared" si="107"/>
        <v>0</v>
      </c>
    </row>
    <row r="163" spans="2:147" s="48" customFormat="1" x14ac:dyDescent="0.25">
      <c r="B163" s="41">
        <v>10</v>
      </c>
      <c r="C163" s="42"/>
      <c r="D163" s="43"/>
      <c r="E163" s="42"/>
      <c r="F163" s="42"/>
      <c r="G163" s="42"/>
      <c r="H163" s="42"/>
      <c r="I163" s="42"/>
      <c r="J163" s="42"/>
      <c r="K163" s="42"/>
      <c r="L163" s="42"/>
      <c r="M163" s="42"/>
      <c r="N163" s="41"/>
      <c r="O163" s="41"/>
      <c r="P163" s="42"/>
      <c r="Q163" s="45"/>
      <c r="R163" s="45"/>
      <c r="S163" s="42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7">
        <f t="shared" si="100"/>
        <v>0</v>
      </c>
      <c r="AO163" s="47">
        <f t="shared" si="101"/>
        <v>0</v>
      </c>
      <c r="AP163" s="42" t="s">
        <v>114</v>
      </c>
      <c r="AQ163" s="46">
        <f t="shared" si="129"/>
        <v>0</v>
      </c>
      <c r="AR163" s="46"/>
      <c r="AS163" s="46"/>
      <c r="AT163" s="46"/>
      <c r="AU163" s="47">
        <f t="shared" si="123"/>
        <v>0</v>
      </c>
      <c r="AV163" s="46"/>
      <c r="AW163" s="47">
        <f t="shared" si="131"/>
        <v>0</v>
      </c>
      <c r="AX163" s="42"/>
      <c r="AY163" s="46"/>
      <c r="AZ163" s="46"/>
      <c r="BA163" s="46"/>
      <c r="BB163" s="46"/>
      <c r="BC163" s="47">
        <f t="shared" si="120"/>
        <v>0</v>
      </c>
      <c r="BD163" s="46"/>
      <c r="BE163" s="47">
        <f t="shared" si="124"/>
        <v>0</v>
      </c>
      <c r="BF163" s="42"/>
      <c r="BG163" s="46"/>
      <c r="BH163" s="46"/>
      <c r="BI163" s="46"/>
      <c r="BJ163" s="46"/>
      <c r="BK163" s="47">
        <f t="shared" si="132"/>
        <v>0</v>
      </c>
      <c r="BL163" s="46"/>
      <c r="BM163" s="47">
        <f t="shared" si="138"/>
        <v>0</v>
      </c>
      <c r="BN163" s="42"/>
      <c r="BO163" s="46"/>
      <c r="BP163" s="46"/>
      <c r="BQ163" s="46"/>
      <c r="BR163" s="46"/>
      <c r="BS163" s="47"/>
      <c r="BT163" s="46"/>
      <c r="BU163" s="47">
        <f t="shared" si="133"/>
        <v>0</v>
      </c>
      <c r="BV163" s="42"/>
      <c r="BW163" s="46"/>
      <c r="BX163" s="46"/>
      <c r="BY163" s="46"/>
      <c r="BZ163" s="46"/>
      <c r="CA163" s="47"/>
      <c r="CB163" s="46"/>
      <c r="CC163" s="47">
        <f t="shared" si="134"/>
        <v>0</v>
      </c>
      <c r="CD163" s="42"/>
      <c r="CE163" s="46"/>
      <c r="CF163" s="46"/>
      <c r="CG163" s="46"/>
      <c r="CH163" s="46"/>
      <c r="CI163" s="47"/>
      <c r="CJ163" s="46"/>
      <c r="CK163" s="47">
        <f t="shared" si="135"/>
        <v>0</v>
      </c>
      <c r="CL163" s="46"/>
      <c r="CM163" s="46"/>
      <c r="CN163" s="46"/>
      <c r="CO163" s="46"/>
      <c r="CP163" s="46">
        <f t="shared" si="136"/>
        <v>0</v>
      </c>
      <c r="CQ163" s="46"/>
      <c r="CR163" s="47">
        <f t="shared" ref="CR163:CR226" si="139">CM163+CP163+CQ163</f>
        <v>0</v>
      </c>
      <c r="CS163" s="46"/>
      <c r="CT163" s="46"/>
      <c r="CU163" s="46"/>
      <c r="CV163" s="46"/>
      <c r="CW163" s="47">
        <f t="shared" si="121"/>
        <v>0</v>
      </c>
      <c r="CX163" s="46"/>
      <c r="CY163" s="47">
        <f t="shared" si="122"/>
        <v>0</v>
      </c>
      <c r="CZ163" s="46"/>
      <c r="DA163" s="46"/>
      <c r="DB163" s="46"/>
      <c r="DC163" s="46"/>
      <c r="DD163" s="47">
        <f t="shared" si="127"/>
        <v>0</v>
      </c>
      <c r="DE163" s="46"/>
      <c r="DF163" s="46">
        <f t="shared" si="128"/>
        <v>0</v>
      </c>
      <c r="DG163" s="46"/>
      <c r="DH163" s="46"/>
      <c r="DI163" s="46"/>
      <c r="DJ163" s="46"/>
      <c r="DK163" s="47">
        <f t="shared" si="125"/>
        <v>0</v>
      </c>
      <c r="DL163" s="47">
        <f t="shared" si="104"/>
        <v>0</v>
      </c>
      <c r="DM163" s="46"/>
      <c r="DN163" s="46"/>
      <c r="DO163" s="46"/>
      <c r="DP163" s="46">
        <f t="shared" si="137"/>
        <v>0</v>
      </c>
      <c r="DQ163" s="46"/>
      <c r="DR163" s="46">
        <f t="shared" ref="DR163:DR226" si="140">DP163</f>
        <v>0</v>
      </c>
      <c r="DS163" s="46"/>
      <c r="DT163" s="46">
        <f t="shared" si="130"/>
        <v>0</v>
      </c>
      <c r="DU163" s="46"/>
      <c r="DV163" s="46">
        <f t="shared" si="126"/>
        <v>0</v>
      </c>
      <c r="DW163" s="46"/>
      <c r="DX163" s="47">
        <f t="shared" si="114"/>
        <v>0</v>
      </c>
      <c r="DY163" s="46"/>
      <c r="DZ163" s="46"/>
      <c r="EA163" s="46"/>
      <c r="EB163" s="46"/>
      <c r="EC163" s="46"/>
      <c r="ED163" s="46"/>
      <c r="EE163" s="47">
        <f t="shared" si="118"/>
        <v>0</v>
      </c>
      <c r="EF163" s="46"/>
      <c r="EG163" s="46"/>
      <c r="EH163" s="46"/>
      <c r="EI163" s="46"/>
      <c r="EJ163" s="46"/>
      <c r="EK163" s="47">
        <f t="shared" si="105"/>
        <v>0</v>
      </c>
      <c r="EL163" s="46">
        <f t="shared" si="106"/>
        <v>0</v>
      </c>
      <c r="EM163" s="46"/>
      <c r="EN163" s="46">
        <f t="shared" si="107"/>
        <v>0</v>
      </c>
    </row>
    <row r="164" spans="2:147" s="48" customFormat="1" ht="15" customHeight="1" x14ac:dyDescent="0.25">
      <c r="B164" s="41">
        <v>11</v>
      </c>
      <c r="C164" s="42"/>
      <c r="D164" s="43"/>
      <c r="E164" s="42"/>
      <c r="F164" s="42"/>
      <c r="G164" s="42"/>
      <c r="H164" s="42"/>
      <c r="I164" s="42"/>
      <c r="J164" s="42"/>
      <c r="K164" s="42"/>
      <c r="L164" s="42"/>
      <c r="M164" s="42"/>
      <c r="N164" s="41"/>
      <c r="O164" s="41"/>
      <c r="P164" s="42"/>
      <c r="Q164" s="45"/>
      <c r="R164" s="45"/>
      <c r="S164" s="42"/>
      <c r="T164" s="46"/>
      <c r="U164" s="46"/>
      <c r="V164" s="46"/>
      <c r="W164" s="46"/>
      <c r="X164" s="46"/>
      <c r="Y164" s="46"/>
      <c r="Z164" s="42"/>
      <c r="AA164" s="42"/>
      <c r="AB164" s="42"/>
      <c r="AC164" s="42"/>
      <c r="AD164" s="42"/>
      <c r="AE164" s="42"/>
      <c r="AF164" s="42"/>
      <c r="AG164" s="42"/>
      <c r="AH164" s="42"/>
      <c r="AI164" s="46"/>
      <c r="AJ164" s="42"/>
      <c r="AK164" s="42"/>
      <c r="AL164" s="42"/>
      <c r="AM164" s="42"/>
      <c r="AN164" s="47">
        <f t="shared" si="100"/>
        <v>0</v>
      </c>
      <c r="AO164" s="47">
        <f t="shared" si="101"/>
        <v>0</v>
      </c>
      <c r="AP164" s="42" t="s">
        <v>111</v>
      </c>
      <c r="AQ164" s="46">
        <f t="shared" si="129"/>
        <v>0</v>
      </c>
      <c r="AR164" s="42"/>
      <c r="AS164" s="42"/>
      <c r="AT164" s="46"/>
      <c r="AU164" s="46">
        <f t="shared" si="123"/>
        <v>0</v>
      </c>
      <c r="AV164" s="47"/>
      <c r="AW164" s="47">
        <f t="shared" si="131"/>
        <v>0</v>
      </c>
      <c r="AX164" s="47"/>
      <c r="AY164" s="46"/>
      <c r="AZ164" s="47"/>
      <c r="BA164" s="47"/>
      <c r="BB164" s="47"/>
      <c r="BC164" s="47">
        <f t="shared" si="120"/>
        <v>0</v>
      </c>
      <c r="BD164" s="47"/>
      <c r="BE164" s="47">
        <f t="shared" si="124"/>
        <v>0</v>
      </c>
      <c r="BF164" s="47"/>
      <c r="BG164" s="47"/>
      <c r="BH164" s="47"/>
      <c r="BI164" s="47"/>
      <c r="BJ164" s="47"/>
      <c r="BK164" s="47">
        <f t="shared" si="132"/>
        <v>0</v>
      </c>
      <c r="BL164" s="47"/>
      <c r="BM164" s="47">
        <f t="shared" si="138"/>
        <v>0</v>
      </c>
      <c r="BN164" s="47"/>
      <c r="BO164" s="47"/>
      <c r="BP164" s="47"/>
      <c r="BQ164" s="47"/>
      <c r="BR164" s="47"/>
      <c r="BS164" s="47"/>
      <c r="BT164" s="47"/>
      <c r="BU164" s="47">
        <f t="shared" si="133"/>
        <v>0</v>
      </c>
      <c r="BV164" s="47"/>
      <c r="BW164" s="47"/>
      <c r="BX164" s="47"/>
      <c r="BY164" s="47"/>
      <c r="BZ164" s="47"/>
      <c r="CA164" s="47"/>
      <c r="CB164" s="47"/>
      <c r="CC164" s="47">
        <f t="shared" si="134"/>
        <v>0</v>
      </c>
      <c r="CD164" s="47"/>
      <c r="CE164" s="47"/>
      <c r="CF164" s="47"/>
      <c r="CG164" s="47"/>
      <c r="CH164" s="47"/>
      <c r="CI164" s="47"/>
      <c r="CJ164" s="47"/>
      <c r="CK164" s="47">
        <f t="shared" si="135"/>
        <v>0</v>
      </c>
      <c r="CL164" s="47"/>
      <c r="CM164" s="47"/>
      <c r="CN164" s="47"/>
      <c r="CO164" s="47"/>
      <c r="CP164" s="46">
        <f t="shared" si="136"/>
        <v>0</v>
      </c>
      <c r="CQ164" s="47"/>
      <c r="CR164" s="47">
        <f t="shared" si="139"/>
        <v>0</v>
      </c>
      <c r="CS164" s="47"/>
      <c r="CT164" s="47"/>
      <c r="CU164" s="47"/>
      <c r="CV164" s="47"/>
      <c r="CW164" s="47">
        <f t="shared" si="121"/>
        <v>0</v>
      </c>
      <c r="CX164" s="46"/>
      <c r="CY164" s="47">
        <f t="shared" si="122"/>
        <v>0</v>
      </c>
      <c r="CZ164" s="47"/>
      <c r="DA164" s="47"/>
      <c r="DB164" s="47"/>
      <c r="DC164" s="47"/>
      <c r="DD164" s="47">
        <f t="shared" si="127"/>
        <v>0</v>
      </c>
      <c r="DE164" s="47"/>
      <c r="DF164" s="46">
        <f t="shared" si="128"/>
        <v>0</v>
      </c>
      <c r="DG164" s="46"/>
      <c r="DH164" s="46">
        <f t="shared" ref="DH164:DH169" si="141">AQ164/2</f>
        <v>0</v>
      </c>
      <c r="DI164" s="46"/>
      <c r="DJ164" s="46"/>
      <c r="DK164" s="47">
        <f t="shared" si="125"/>
        <v>0</v>
      </c>
      <c r="DL164" s="47">
        <f t="shared" si="104"/>
        <v>0</v>
      </c>
      <c r="DM164" s="46"/>
      <c r="DN164" s="46">
        <f t="shared" ref="DN164:DN169" si="142">7.5%*AQ164</f>
        <v>0</v>
      </c>
      <c r="DO164" s="47"/>
      <c r="DP164" s="46">
        <f t="shared" si="137"/>
        <v>0</v>
      </c>
      <c r="DQ164" s="47"/>
      <c r="DR164" s="46">
        <f t="shared" si="140"/>
        <v>0</v>
      </c>
      <c r="DS164" s="47"/>
      <c r="DT164" s="46">
        <f t="shared" si="130"/>
        <v>0</v>
      </c>
      <c r="DU164" s="47"/>
      <c r="DV164" s="46">
        <f t="shared" si="126"/>
        <v>0</v>
      </c>
      <c r="DW164" s="47"/>
      <c r="DX164" s="47">
        <f t="shared" si="114"/>
        <v>0</v>
      </c>
      <c r="DY164" s="47"/>
      <c r="DZ164" s="47"/>
      <c r="EA164" s="47"/>
      <c r="EB164" s="47"/>
      <c r="EC164" s="47"/>
      <c r="ED164" s="47"/>
      <c r="EE164" s="47">
        <f t="shared" si="118"/>
        <v>0</v>
      </c>
      <c r="EF164" s="47"/>
      <c r="EG164" s="47"/>
      <c r="EH164" s="47"/>
      <c r="EI164" s="47"/>
      <c r="EJ164" s="47"/>
      <c r="EK164" s="47">
        <f t="shared" si="105"/>
        <v>0</v>
      </c>
      <c r="EL164" s="46">
        <f t="shared" si="106"/>
        <v>0</v>
      </c>
      <c r="EM164" s="46"/>
      <c r="EN164" s="46">
        <f t="shared" si="107"/>
        <v>0</v>
      </c>
    </row>
    <row r="165" spans="2:147" s="48" customFormat="1" ht="15" customHeight="1" x14ac:dyDescent="0.25">
      <c r="B165" s="41">
        <v>12</v>
      </c>
      <c r="C165" s="42"/>
      <c r="D165" s="43"/>
      <c r="E165" s="42"/>
      <c r="F165" s="42"/>
      <c r="G165" s="42"/>
      <c r="H165" s="42"/>
      <c r="I165" s="42"/>
      <c r="J165" s="42"/>
      <c r="K165" s="42"/>
      <c r="L165" s="42"/>
      <c r="M165" s="42"/>
      <c r="N165" s="41"/>
      <c r="O165" s="41"/>
      <c r="P165" s="42"/>
      <c r="Q165" s="45"/>
      <c r="R165" s="45"/>
      <c r="S165" s="42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2"/>
      <c r="AL165" s="46"/>
      <c r="AM165" s="46"/>
      <c r="AN165" s="46">
        <f t="shared" si="100"/>
        <v>0</v>
      </c>
      <c r="AO165" s="46">
        <f t="shared" si="101"/>
        <v>0</v>
      </c>
      <c r="AP165" s="42" t="s">
        <v>112</v>
      </c>
      <c r="AQ165" s="46">
        <f t="shared" si="129"/>
        <v>0</v>
      </c>
      <c r="AR165" s="46"/>
      <c r="AS165" s="42"/>
      <c r="AT165" s="46"/>
      <c r="AU165" s="46">
        <f t="shared" si="123"/>
        <v>0</v>
      </c>
      <c r="AV165" s="46"/>
      <c r="AW165" s="47">
        <f t="shared" si="131"/>
        <v>0</v>
      </c>
      <c r="AX165" s="42"/>
      <c r="AY165" s="46"/>
      <c r="AZ165" s="42"/>
      <c r="BA165" s="42"/>
      <c r="BB165" s="42"/>
      <c r="BC165" s="47">
        <f t="shared" si="120"/>
        <v>0</v>
      </c>
      <c r="BD165" s="42"/>
      <c r="BE165" s="47">
        <f t="shared" si="124"/>
        <v>0</v>
      </c>
      <c r="BF165" s="42"/>
      <c r="BG165" s="42"/>
      <c r="BH165" s="42"/>
      <c r="BI165" s="42"/>
      <c r="BJ165" s="42"/>
      <c r="BK165" s="47">
        <f t="shared" si="132"/>
        <v>0</v>
      </c>
      <c r="BL165" s="42"/>
      <c r="BM165" s="47">
        <f t="shared" si="138"/>
        <v>0</v>
      </c>
      <c r="BN165" s="42"/>
      <c r="BO165" s="42"/>
      <c r="BP165" s="42"/>
      <c r="BQ165" s="42"/>
      <c r="BR165" s="42"/>
      <c r="BS165" s="42"/>
      <c r="BT165" s="42"/>
      <c r="BU165" s="47">
        <f t="shared" si="133"/>
        <v>0</v>
      </c>
      <c r="BV165" s="42"/>
      <c r="BW165" s="42"/>
      <c r="BX165" s="42"/>
      <c r="BY165" s="42"/>
      <c r="BZ165" s="42"/>
      <c r="CA165" s="42"/>
      <c r="CB165" s="42"/>
      <c r="CC165" s="47">
        <f t="shared" si="134"/>
        <v>0</v>
      </c>
      <c r="CD165" s="42"/>
      <c r="CE165" s="42"/>
      <c r="CF165" s="42"/>
      <c r="CG165" s="42"/>
      <c r="CH165" s="42"/>
      <c r="CI165" s="42"/>
      <c r="CJ165" s="42"/>
      <c r="CK165" s="47">
        <f t="shared" si="135"/>
        <v>0</v>
      </c>
      <c r="CL165" s="42"/>
      <c r="CM165" s="42"/>
      <c r="CN165" s="42"/>
      <c r="CO165" s="42"/>
      <c r="CP165" s="46">
        <f t="shared" si="136"/>
        <v>0</v>
      </c>
      <c r="CQ165" s="46"/>
      <c r="CR165" s="47">
        <f t="shared" si="139"/>
        <v>0</v>
      </c>
      <c r="CS165" s="46"/>
      <c r="CT165" s="46"/>
      <c r="CU165" s="46"/>
      <c r="CV165" s="46"/>
      <c r="CW165" s="47">
        <f t="shared" si="121"/>
        <v>0</v>
      </c>
      <c r="CX165" s="46"/>
      <c r="CY165" s="47">
        <f t="shared" si="122"/>
        <v>0</v>
      </c>
      <c r="CZ165" s="46"/>
      <c r="DA165" s="46"/>
      <c r="DB165" s="46"/>
      <c r="DC165" s="46"/>
      <c r="DD165" s="47">
        <f t="shared" si="127"/>
        <v>0</v>
      </c>
      <c r="DE165" s="42"/>
      <c r="DF165" s="46">
        <f t="shared" si="128"/>
        <v>0</v>
      </c>
      <c r="DG165" s="46"/>
      <c r="DH165" s="46">
        <f t="shared" si="141"/>
        <v>0</v>
      </c>
      <c r="DI165" s="46"/>
      <c r="DJ165" s="46"/>
      <c r="DK165" s="47">
        <f t="shared" si="125"/>
        <v>0</v>
      </c>
      <c r="DL165" s="47">
        <f t="shared" si="104"/>
        <v>0</v>
      </c>
      <c r="DM165" s="46"/>
      <c r="DN165" s="46">
        <f t="shared" si="142"/>
        <v>0</v>
      </c>
      <c r="DO165" s="42"/>
      <c r="DP165" s="46">
        <f t="shared" si="137"/>
        <v>0</v>
      </c>
      <c r="DQ165" s="42"/>
      <c r="DR165" s="46">
        <f t="shared" si="140"/>
        <v>0</v>
      </c>
      <c r="DS165" s="42"/>
      <c r="DT165" s="46">
        <f t="shared" si="130"/>
        <v>0</v>
      </c>
      <c r="DU165" s="42"/>
      <c r="DV165" s="46">
        <f t="shared" si="126"/>
        <v>0</v>
      </c>
      <c r="DW165" s="42"/>
      <c r="DX165" s="47">
        <f t="shared" si="114"/>
        <v>0</v>
      </c>
      <c r="DY165" s="46"/>
      <c r="DZ165" s="46"/>
      <c r="EA165" s="47"/>
      <c r="EB165" s="46"/>
      <c r="EC165" s="46"/>
      <c r="ED165" s="46"/>
      <c r="EE165" s="47">
        <f t="shared" si="118"/>
        <v>0</v>
      </c>
      <c r="EF165" s="46"/>
      <c r="EG165" s="46"/>
      <c r="EH165" s="46"/>
      <c r="EI165" s="46"/>
      <c r="EJ165" s="46"/>
      <c r="EK165" s="47">
        <f t="shared" si="105"/>
        <v>0</v>
      </c>
      <c r="EL165" s="46">
        <f t="shared" si="106"/>
        <v>0</v>
      </c>
      <c r="EM165" s="46"/>
      <c r="EN165" s="46">
        <f t="shared" si="107"/>
        <v>0</v>
      </c>
    </row>
    <row r="166" spans="2:147" s="48" customFormat="1" ht="15" customHeight="1" x14ac:dyDescent="0.25">
      <c r="B166" s="41">
        <v>13</v>
      </c>
      <c r="C166" s="42"/>
      <c r="D166" s="43"/>
      <c r="E166" s="42"/>
      <c r="F166" s="42"/>
      <c r="G166" s="42"/>
      <c r="H166" s="42"/>
      <c r="I166" s="42"/>
      <c r="J166" s="42"/>
      <c r="K166" s="42"/>
      <c r="L166" s="42"/>
      <c r="M166" s="42"/>
      <c r="N166" s="41"/>
      <c r="O166" s="41"/>
      <c r="P166" s="42"/>
      <c r="Q166" s="45"/>
      <c r="R166" s="45"/>
      <c r="S166" s="42"/>
      <c r="T166" s="46"/>
      <c r="U166" s="46"/>
      <c r="V166" s="46"/>
      <c r="W166" s="46"/>
      <c r="X166" s="46"/>
      <c r="Y166" s="46"/>
      <c r="Z166" s="42"/>
      <c r="AA166" s="42"/>
      <c r="AB166" s="42"/>
      <c r="AC166" s="42"/>
      <c r="AD166" s="42"/>
      <c r="AE166" s="42"/>
      <c r="AF166" s="42"/>
      <c r="AG166" s="42"/>
      <c r="AH166" s="42"/>
      <c r="AI166" s="46"/>
      <c r="AJ166" s="42"/>
      <c r="AK166" s="42"/>
      <c r="AL166" s="42"/>
      <c r="AM166" s="42"/>
      <c r="AN166" s="47">
        <f t="shared" si="100"/>
        <v>0</v>
      </c>
      <c r="AO166" s="47">
        <f t="shared" si="101"/>
        <v>0</v>
      </c>
      <c r="AP166" s="42" t="s">
        <v>111</v>
      </c>
      <c r="AQ166" s="46">
        <f t="shared" si="129"/>
        <v>0</v>
      </c>
      <c r="AR166" s="42"/>
      <c r="AS166" s="42"/>
      <c r="AT166" s="46"/>
      <c r="AU166" s="46">
        <f t="shared" si="123"/>
        <v>0</v>
      </c>
      <c r="AV166" s="47"/>
      <c r="AW166" s="47">
        <f t="shared" ref="AW166:AW180" si="143">AQ166+AU166+AV166</f>
        <v>0</v>
      </c>
      <c r="AX166" s="47"/>
      <c r="AY166" s="46"/>
      <c r="AZ166" s="47"/>
      <c r="BA166" s="47"/>
      <c r="BB166" s="47"/>
      <c r="BC166" s="47">
        <f t="shared" si="120"/>
        <v>0</v>
      </c>
      <c r="BD166" s="47"/>
      <c r="BE166" s="47">
        <f t="shared" si="124"/>
        <v>0</v>
      </c>
      <c r="BF166" s="47"/>
      <c r="BG166" s="47"/>
      <c r="BH166" s="47"/>
      <c r="BI166" s="47"/>
      <c r="BJ166" s="47"/>
      <c r="BK166" s="47">
        <f t="shared" si="132"/>
        <v>0</v>
      </c>
      <c r="BL166" s="47"/>
      <c r="BM166" s="47">
        <f t="shared" si="138"/>
        <v>0</v>
      </c>
      <c r="BN166" s="47"/>
      <c r="BO166" s="47"/>
      <c r="BP166" s="47"/>
      <c r="BQ166" s="47"/>
      <c r="BR166" s="47"/>
      <c r="BS166" s="47"/>
      <c r="BT166" s="47"/>
      <c r="BU166" s="47">
        <f t="shared" si="133"/>
        <v>0</v>
      </c>
      <c r="BV166" s="47"/>
      <c r="BW166" s="47"/>
      <c r="BX166" s="47"/>
      <c r="BY166" s="47"/>
      <c r="BZ166" s="47"/>
      <c r="CA166" s="47"/>
      <c r="CB166" s="47"/>
      <c r="CC166" s="47">
        <f t="shared" si="134"/>
        <v>0</v>
      </c>
      <c r="CD166" s="47"/>
      <c r="CE166" s="47"/>
      <c r="CF166" s="47"/>
      <c r="CG166" s="47"/>
      <c r="CH166" s="47"/>
      <c r="CI166" s="47"/>
      <c r="CJ166" s="47"/>
      <c r="CK166" s="47">
        <f t="shared" si="135"/>
        <v>0</v>
      </c>
      <c r="CL166" s="47"/>
      <c r="CM166" s="47"/>
      <c r="CN166" s="47"/>
      <c r="CO166" s="47"/>
      <c r="CP166" s="46">
        <f t="shared" si="136"/>
        <v>0</v>
      </c>
      <c r="CQ166" s="47"/>
      <c r="CR166" s="47">
        <f t="shared" si="139"/>
        <v>0</v>
      </c>
      <c r="CS166" s="47"/>
      <c r="CT166" s="47"/>
      <c r="CU166" s="47"/>
      <c r="CV166" s="47"/>
      <c r="CW166" s="47">
        <f t="shared" si="121"/>
        <v>0</v>
      </c>
      <c r="CX166" s="46"/>
      <c r="CY166" s="47">
        <f t="shared" si="122"/>
        <v>0</v>
      </c>
      <c r="CZ166" s="47"/>
      <c r="DA166" s="47"/>
      <c r="DB166" s="47"/>
      <c r="DC166" s="47"/>
      <c r="DD166" s="47">
        <f t="shared" si="127"/>
        <v>0</v>
      </c>
      <c r="DE166" s="47"/>
      <c r="DF166" s="46">
        <f t="shared" si="128"/>
        <v>0</v>
      </c>
      <c r="DG166" s="46"/>
      <c r="DH166" s="46">
        <f t="shared" si="141"/>
        <v>0</v>
      </c>
      <c r="DI166" s="46"/>
      <c r="DJ166" s="46"/>
      <c r="DK166" s="47">
        <f t="shared" si="125"/>
        <v>0</v>
      </c>
      <c r="DL166" s="47">
        <f t="shared" si="104"/>
        <v>0</v>
      </c>
      <c r="DM166" s="46"/>
      <c r="DN166" s="46">
        <f t="shared" si="142"/>
        <v>0</v>
      </c>
      <c r="DO166" s="47"/>
      <c r="DP166" s="46">
        <f t="shared" si="137"/>
        <v>0</v>
      </c>
      <c r="DQ166" s="47"/>
      <c r="DR166" s="46">
        <f t="shared" si="140"/>
        <v>0</v>
      </c>
      <c r="DS166" s="47"/>
      <c r="DT166" s="46">
        <f t="shared" si="130"/>
        <v>0</v>
      </c>
      <c r="DU166" s="47"/>
      <c r="DV166" s="46">
        <f t="shared" si="126"/>
        <v>0</v>
      </c>
      <c r="DW166" s="47"/>
      <c r="DX166" s="47">
        <f t="shared" si="114"/>
        <v>0</v>
      </c>
      <c r="DY166" s="47"/>
      <c r="DZ166" s="47"/>
      <c r="EA166" s="47"/>
      <c r="EB166" s="47"/>
      <c r="EC166" s="47"/>
      <c r="ED166" s="47"/>
      <c r="EE166" s="47">
        <f t="shared" si="118"/>
        <v>0</v>
      </c>
      <c r="EF166" s="47"/>
      <c r="EG166" s="47"/>
      <c r="EH166" s="47"/>
      <c r="EI166" s="47"/>
      <c r="EJ166" s="47"/>
      <c r="EK166" s="47">
        <f t="shared" si="105"/>
        <v>0</v>
      </c>
      <c r="EL166" s="46">
        <f t="shared" si="106"/>
        <v>0</v>
      </c>
      <c r="EM166" s="46"/>
      <c r="EN166" s="46">
        <f t="shared" si="107"/>
        <v>0</v>
      </c>
    </row>
    <row r="167" spans="2:147" s="48" customFormat="1" ht="15" customHeight="1" x14ac:dyDescent="0.25">
      <c r="B167" s="41">
        <v>14</v>
      </c>
      <c r="C167" s="42"/>
      <c r="D167" s="43"/>
      <c r="E167" s="42"/>
      <c r="F167" s="42"/>
      <c r="G167" s="42"/>
      <c r="H167" s="42"/>
      <c r="I167" s="42"/>
      <c r="J167" s="42"/>
      <c r="K167" s="42"/>
      <c r="L167" s="42"/>
      <c r="M167" s="42"/>
      <c r="N167" s="41"/>
      <c r="O167" s="41"/>
      <c r="P167" s="42"/>
      <c r="Q167" s="45"/>
      <c r="R167" s="45"/>
      <c r="S167" s="45"/>
      <c r="T167" s="46"/>
      <c r="U167" s="46"/>
      <c r="V167" s="45"/>
      <c r="W167" s="45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>
        <f t="shared" si="100"/>
        <v>0</v>
      </c>
      <c r="AO167" s="46">
        <f t="shared" si="101"/>
        <v>0</v>
      </c>
      <c r="AP167" s="42" t="s">
        <v>112</v>
      </c>
      <c r="AQ167" s="46">
        <f t="shared" si="129"/>
        <v>0</v>
      </c>
      <c r="AR167" s="46"/>
      <c r="AS167" s="46"/>
      <c r="AT167" s="46"/>
      <c r="AU167" s="47">
        <f t="shared" si="123"/>
        <v>0</v>
      </c>
      <c r="AV167" s="46"/>
      <c r="AW167" s="47">
        <f t="shared" si="143"/>
        <v>0</v>
      </c>
      <c r="AX167" s="46"/>
      <c r="AY167" s="46"/>
      <c r="AZ167" s="46"/>
      <c r="BA167" s="46"/>
      <c r="BB167" s="46"/>
      <c r="BC167" s="47">
        <f t="shared" si="120"/>
        <v>0</v>
      </c>
      <c r="BD167" s="46"/>
      <c r="BE167" s="47">
        <f t="shared" si="124"/>
        <v>0</v>
      </c>
      <c r="BF167" s="46" t="s">
        <v>113</v>
      </c>
      <c r="BG167" s="46">
        <f>25%*AQ167</f>
        <v>0</v>
      </c>
      <c r="BH167" s="46"/>
      <c r="BI167" s="46"/>
      <c r="BJ167" s="46"/>
      <c r="BK167" s="47">
        <f t="shared" si="132"/>
        <v>0</v>
      </c>
      <c r="BL167" s="46"/>
      <c r="BM167" s="47">
        <f t="shared" si="138"/>
        <v>0</v>
      </c>
      <c r="BN167" s="46"/>
      <c r="BO167" s="46"/>
      <c r="BP167" s="46"/>
      <c r="BQ167" s="46"/>
      <c r="BR167" s="46"/>
      <c r="BS167" s="46"/>
      <c r="BT167" s="46"/>
      <c r="BU167" s="47">
        <f t="shared" si="133"/>
        <v>0</v>
      </c>
      <c r="BV167" s="46"/>
      <c r="BW167" s="46"/>
      <c r="BX167" s="46"/>
      <c r="BY167" s="46"/>
      <c r="BZ167" s="46"/>
      <c r="CA167" s="46"/>
      <c r="CB167" s="46"/>
      <c r="CC167" s="47">
        <f t="shared" si="134"/>
        <v>0</v>
      </c>
      <c r="CD167" s="46"/>
      <c r="CE167" s="46"/>
      <c r="CF167" s="46"/>
      <c r="CG167" s="46"/>
      <c r="CH167" s="46"/>
      <c r="CI167" s="46"/>
      <c r="CJ167" s="46"/>
      <c r="CK167" s="47">
        <f t="shared" si="135"/>
        <v>0</v>
      </c>
      <c r="CL167" s="46"/>
      <c r="CM167" s="46"/>
      <c r="CN167" s="46"/>
      <c r="CO167" s="46"/>
      <c r="CP167" s="46">
        <f t="shared" si="136"/>
        <v>0</v>
      </c>
      <c r="CQ167" s="46"/>
      <c r="CR167" s="47">
        <f t="shared" si="139"/>
        <v>0</v>
      </c>
      <c r="CS167" s="46"/>
      <c r="CT167" s="46"/>
      <c r="CU167" s="46"/>
      <c r="CV167" s="46"/>
      <c r="CW167" s="47">
        <f t="shared" si="121"/>
        <v>0</v>
      </c>
      <c r="CX167" s="46"/>
      <c r="CY167" s="47">
        <f t="shared" si="122"/>
        <v>0</v>
      </c>
      <c r="CZ167" s="46"/>
      <c r="DA167" s="46"/>
      <c r="DB167" s="46"/>
      <c r="DC167" s="46"/>
      <c r="DD167" s="47">
        <f t="shared" si="127"/>
        <v>0</v>
      </c>
      <c r="DE167" s="46"/>
      <c r="DF167" s="46">
        <f t="shared" si="128"/>
        <v>0</v>
      </c>
      <c r="DG167" s="46"/>
      <c r="DH167" s="46">
        <f t="shared" si="141"/>
        <v>0</v>
      </c>
      <c r="DI167" s="46"/>
      <c r="DJ167" s="46"/>
      <c r="DK167" s="47">
        <f t="shared" si="125"/>
        <v>0</v>
      </c>
      <c r="DL167" s="47">
        <f t="shared" si="104"/>
        <v>0</v>
      </c>
      <c r="DM167" s="46"/>
      <c r="DN167" s="46">
        <f t="shared" si="142"/>
        <v>0</v>
      </c>
      <c r="DO167" s="46"/>
      <c r="DP167" s="46">
        <f t="shared" si="137"/>
        <v>0</v>
      </c>
      <c r="DQ167" s="46"/>
      <c r="DR167" s="46">
        <f t="shared" si="140"/>
        <v>0</v>
      </c>
      <c r="DS167" s="46"/>
      <c r="DT167" s="46">
        <f t="shared" si="130"/>
        <v>0</v>
      </c>
      <c r="DU167" s="46"/>
      <c r="DV167" s="46">
        <f t="shared" si="126"/>
        <v>0</v>
      </c>
      <c r="DW167" s="46"/>
      <c r="DX167" s="47">
        <f t="shared" si="114"/>
        <v>0</v>
      </c>
      <c r="DY167" s="46"/>
      <c r="DZ167" s="46"/>
      <c r="EA167" s="46"/>
      <c r="EB167" s="46"/>
      <c r="EC167" s="46"/>
      <c r="ED167" s="46"/>
      <c r="EE167" s="47">
        <f t="shared" si="118"/>
        <v>0</v>
      </c>
      <c r="EF167" s="46"/>
      <c r="EG167" s="46"/>
      <c r="EH167" s="46"/>
      <c r="EI167" s="46"/>
      <c r="EJ167" s="46"/>
      <c r="EK167" s="47">
        <f t="shared" si="105"/>
        <v>0</v>
      </c>
      <c r="EL167" s="46">
        <f t="shared" si="106"/>
        <v>0</v>
      </c>
      <c r="EM167" s="46"/>
      <c r="EN167" s="46">
        <f t="shared" si="107"/>
        <v>0</v>
      </c>
    </row>
    <row r="168" spans="2:147" s="80" customFormat="1" ht="15" customHeight="1" x14ac:dyDescent="0.25">
      <c r="B168" s="76">
        <v>15</v>
      </c>
      <c r="C168" s="42"/>
      <c r="D168" s="43"/>
      <c r="E168" s="42"/>
      <c r="F168" s="74"/>
      <c r="G168" s="74"/>
      <c r="H168" s="74"/>
      <c r="I168" s="74"/>
      <c r="J168" s="74"/>
      <c r="K168" s="74"/>
      <c r="L168" s="74"/>
      <c r="M168" s="74"/>
      <c r="N168" s="76"/>
      <c r="O168" s="76"/>
      <c r="P168" s="74"/>
      <c r="Q168" s="77"/>
      <c r="R168" s="77"/>
      <c r="S168" s="74"/>
      <c r="T168" s="78"/>
      <c r="U168" s="78"/>
      <c r="V168" s="74"/>
      <c r="W168" s="74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>
        <f t="shared" si="100"/>
        <v>0</v>
      </c>
      <c r="AO168" s="78">
        <f t="shared" si="101"/>
        <v>0</v>
      </c>
      <c r="AP168" s="74" t="s">
        <v>111</v>
      </c>
      <c r="AQ168" s="46">
        <f t="shared" si="129"/>
        <v>0</v>
      </c>
      <c r="AR168" s="78"/>
      <c r="AS168" s="78"/>
      <c r="AT168" s="78"/>
      <c r="AU168" s="79">
        <f t="shared" si="123"/>
        <v>0</v>
      </c>
      <c r="AV168" s="78"/>
      <c r="AW168" s="79">
        <f t="shared" si="143"/>
        <v>0</v>
      </c>
      <c r="AX168" s="78"/>
      <c r="AY168" s="78"/>
      <c r="AZ168" s="78"/>
      <c r="BA168" s="78"/>
      <c r="BB168" s="78"/>
      <c r="BC168" s="79">
        <f t="shared" si="120"/>
        <v>0</v>
      </c>
      <c r="BD168" s="78"/>
      <c r="BE168" s="79">
        <f t="shared" si="124"/>
        <v>0</v>
      </c>
      <c r="BF168" s="78"/>
      <c r="BG168" s="78"/>
      <c r="BH168" s="78"/>
      <c r="BI168" s="78"/>
      <c r="BJ168" s="78"/>
      <c r="BK168" s="79">
        <f t="shared" si="132"/>
        <v>0</v>
      </c>
      <c r="BL168" s="78"/>
      <c r="BM168" s="79">
        <f t="shared" si="138"/>
        <v>0</v>
      </c>
      <c r="BN168" s="78"/>
      <c r="BO168" s="78"/>
      <c r="BP168" s="78"/>
      <c r="BQ168" s="78"/>
      <c r="BR168" s="78"/>
      <c r="BS168" s="78"/>
      <c r="BT168" s="78"/>
      <c r="BU168" s="79">
        <f t="shared" si="133"/>
        <v>0</v>
      </c>
      <c r="BV168" s="78"/>
      <c r="BW168" s="78"/>
      <c r="BX168" s="78"/>
      <c r="BY168" s="78"/>
      <c r="BZ168" s="78"/>
      <c r="CA168" s="78"/>
      <c r="CB168" s="78"/>
      <c r="CC168" s="79">
        <f t="shared" si="134"/>
        <v>0</v>
      </c>
      <c r="CD168" s="78"/>
      <c r="CE168" s="78"/>
      <c r="CF168" s="78"/>
      <c r="CG168" s="78"/>
      <c r="CH168" s="78"/>
      <c r="CI168" s="78"/>
      <c r="CJ168" s="78"/>
      <c r="CK168" s="79">
        <f t="shared" si="135"/>
        <v>0</v>
      </c>
      <c r="CL168" s="78"/>
      <c r="CM168" s="78"/>
      <c r="CN168" s="78"/>
      <c r="CO168" s="78"/>
      <c r="CP168" s="78">
        <f t="shared" si="136"/>
        <v>0</v>
      </c>
      <c r="CQ168" s="78"/>
      <c r="CR168" s="79">
        <f t="shared" si="139"/>
        <v>0</v>
      </c>
      <c r="CS168" s="78"/>
      <c r="CT168" s="78"/>
      <c r="CU168" s="78"/>
      <c r="CV168" s="78"/>
      <c r="CW168" s="79">
        <f t="shared" si="121"/>
        <v>0</v>
      </c>
      <c r="CX168" s="78"/>
      <c r="CY168" s="79">
        <f t="shared" si="122"/>
        <v>0</v>
      </c>
      <c r="CZ168" s="78"/>
      <c r="DA168" s="78"/>
      <c r="DB168" s="78"/>
      <c r="DC168" s="78"/>
      <c r="DD168" s="79">
        <f t="shared" si="127"/>
        <v>0</v>
      </c>
      <c r="DE168" s="78"/>
      <c r="DF168" s="78">
        <f t="shared" si="128"/>
        <v>0</v>
      </c>
      <c r="DG168" s="78"/>
      <c r="DH168" s="78">
        <f t="shared" si="141"/>
        <v>0</v>
      </c>
      <c r="DI168" s="78"/>
      <c r="DJ168" s="78"/>
      <c r="DK168" s="79">
        <f t="shared" si="125"/>
        <v>0</v>
      </c>
      <c r="DL168" s="79">
        <f t="shared" si="104"/>
        <v>0</v>
      </c>
      <c r="DM168" s="78"/>
      <c r="DN168" s="78">
        <f t="shared" si="142"/>
        <v>0</v>
      </c>
      <c r="DO168" s="78"/>
      <c r="DP168" s="78">
        <f t="shared" si="137"/>
        <v>0</v>
      </c>
      <c r="DQ168" s="78"/>
      <c r="DR168" s="78">
        <f t="shared" si="140"/>
        <v>0</v>
      </c>
      <c r="DS168" s="78"/>
      <c r="DT168" s="78">
        <f t="shared" si="130"/>
        <v>0</v>
      </c>
      <c r="DU168" s="78"/>
      <c r="DV168" s="78">
        <f t="shared" si="126"/>
        <v>0</v>
      </c>
      <c r="DW168" s="78"/>
      <c r="DX168" s="79">
        <f t="shared" si="114"/>
        <v>0</v>
      </c>
      <c r="DY168" s="78"/>
      <c r="DZ168" s="78"/>
      <c r="EA168" s="78"/>
      <c r="EB168" s="78"/>
      <c r="EC168" s="78"/>
      <c r="ED168" s="78"/>
      <c r="EE168" s="79">
        <f t="shared" si="118"/>
        <v>0</v>
      </c>
      <c r="EF168" s="78"/>
      <c r="EG168" s="78"/>
      <c r="EH168" s="78"/>
      <c r="EI168" s="78"/>
      <c r="EJ168" s="78"/>
      <c r="EK168" s="79">
        <f t="shared" si="105"/>
        <v>0</v>
      </c>
      <c r="EL168" s="78">
        <f t="shared" si="106"/>
        <v>0</v>
      </c>
      <c r="EM168" s="78"/>
      <c r="EN168" s="78">
        <f t="shared" si="107"/>
        <v>0</v>
      </c>
    </row>
    <row r="169" spans="2:147" ht="15" customHeight="1" x14ac:dyDescent="0.25">
      <c r="B169" s="41">
        <v>16</v>
      </c>
      <c r="C169" s="86"/>
      <c r="D169" s="87"/>
      <c r="E169" s="86"/>
      <c r="F169" s="86"/>
      <c r="G169" s="86"/>
      <c r="H169" s="86"/>
      <c r="I169" s="86"/>
      <c r="J169" s="86"/>
      <c r="K169" s="86"/>
      <c r="L169" s="86"/>
      <c r="M169" s="86"/>
      <c r="N169" s="88"/>
      <c r="O169" s="88"/>
      <c r="P169" s="86"/>
      <c r="Q169" s="89"/>
      <c r="R169" s="89"/>
      <c r="S169" s="86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64">
        <f t="shared" si="100"/>
        <v>0</v>
      </c>
      <c r="AO169" s="64">
        <f t="shared" si="101"/>
        <v>0</v>
      </c>
      <c r="AP169" s="86" t="s">
        <v>116</v>
      </c>
      <c r="AQ169" s="46">
        <f t="shared" si="129"/>
        <v>0</v>
      </c>
      <c r="AR169" s="90"/>
      <c r="AS169" s="90"/>
      <c r="AT169" s="90"/>
      <c r="AU169" s="64">
        <f t="shared" si="123"/>
        <v>0</v>
      </c>
      <c r="AV169" s="90"/>
      <c r="AW169" s="64">
        <f t="shared" si="143"/>
        <v>0</v>
      </c>
      <c r="AX169" s="86"/>
      <c r="AY169" s="90"/>
      <c r="AZ169" s="90"/>
      <c r="BA169" s="90"/>
      <c r="BB169" s="90"/>
      <c r="BC169" s="64">
        <f t="shared" si="120"/>
        <v>0</v>
      </c>
      <c r="BD169" s="90"/>
      <c r="BE169" s="64">
        <f t="shared" si="124"/>
        <v>0</v>
      </c>
      <c r="BF169" s="86"/>
      <c r="BG169" s="90"/>
      <c r="BH169" s="90"/>
      <c r="BI169" s="90"/>
      <c r="BJ169" s="90"/>
      <c r="BK169" s="64">
        <f t="shared" si="132"/>
        <v>0</v>
      </c>
      <c r="BL169" s="90"/>
      <c r="BM169" s="64">
        <f t="shared" si="138"/>
        <v>0</v>
      </c>
      <c r="BN169" s="86"/>
      <c r="BO169" s="90"/>
      <c r="BP169" s="90"/>
      <c r="BQ169" s="90"/>
      <c r="BR169" s="90"/>
      <c r="BS169" s="64"/>
      <c r="BT169" s="90"/>
      <c r="BU169" s="64">
        <f t="shared" si="133"/>
        <v>0</v>
      </c>
      <c r="BV169" s="86"/>
      <c r="BW169" s="90"/>
      <c r="BX169" s="90"/>
      <c r="BY169" s="90"/>
      <c r="BZ169" s="90"/>
      <c r="CA169" s="64"/>
      <c r="CB169" s="90"/>
      <c r="CC169" s="64">
        <f t="shared" si="134"/>
        <v>0</v>
      </c>
      <c r="CD169" s="86"/>
      <c r="CE169" s="90"/>
      <c r="CF169" s="90"/>
      <c r="CG169" s="90"/>
      <c r="CH169" s="90"/>
      <c r="CI169" s="64"/>
      <c r="CJ169" s="90"/>
      <c r="CK169" s="64">
        <f t="shared" si="135"/>
        <v>0</v>
      </c>
      <c r="CL169" s="90"/>
      <c r="CM169" s="90"/>
      <c r="CN169" s="90"/>
      <c r="CO169" s="90"/>
      <c r="CP169" s="90">
        <f t="shared" si="136"/>
        <v>0</v>
      </c>
      <c r="CQ169" s="90"/>
      <c r="CR169" s="64">
        <f t="shared" si="139"/>
        <v>0</v>
      </c>
      <c r="CS169" s="90"/>
      <c r="CT169" s="90"/>
      <c r="CU169" s="90"/>
      <c r="CV169" s="90"/>
      <c r="CW169" s="64">
        <f t="shared" si="121"/>
        <v>0</v>
      </c>
      <c r="CX169" s="90"/>
      <c r="CY169" s="64">
        <f t="shared" si="122"/>
        <v>0</v>
      </c>
      <c r="CZ169" s="90"/>
      <c r="DA169" s="90"/>
      <c r="DB169" s="90"/>
      <c r="DC169" s="90"/>
      <c r="DD169" s="64">
        <f t="shared" si="127"/>
        <v>0</v>
      </c>
      <c r="DE169" s="90"/>
      <c r="DF169" s="90">
        <f t="shared" si="128"/>
        <v>0</v>
      </c>
      <c r="DG169" s="90"/>
      <c r="DH169" s="46">
        <f t="shared" si="141"/>
        <v>0</v>
      </c>
      <c r="DI169" s="90"/>
      <c r="DJ169" s="90"/>
      <c r="DK169" s="64">
        <f t="shared" si="125"/>
        <v>0</v>
      </c>
      <c r="DL169" s="64">
        <f t="shared" si="104"/>
        <v>0</v>
      </c>
      <c r="DM169" s="90"/>
      <c r="DN169" s="46">
        <f t="shared" si="142"/>
        <v>0</v>
      </c>
      <c r="DO169" s="90"/>
      <c r="DP169" s="90">
        <f t="shared" si="137"/>
        <v>0</v>
      </c>
      <c r="DQ169" s="90"/>
      <c r="DR169" s="90">
        <f t="shared" si="140"/>
        <v>0</v>
      </c>
      <c r="DS169" s="90"/>
      <c r="DT169" s="90">
        <f t="shared" si="130"/>
        <v>0</v>
      </c>
      <c r="DU169" s="90"/>
      <c r="DV169" s="90">
        <f t="shared" si="126"/>
        <v>0</v>
      </c>
      <c r="DW169" s="90"/>
      <c r="DX169" s="64">
        <f t="shared" si="114"/>
        <v>0</v>
      </c>
      <c r="DY169" s="90"/>
      <c r="DZ169" s="90"/>
      <c r="EA169" s="90"/>
      <c r="EB169" s="90"/>
      <c r="EC169" s="90"/>
      <c r="ED169" s="90"/>
      <c r="EE169" s="64">
        <f t="shared" si="118"/>
        <v>0</v>
      </c>
      <c r="EF169" s="90"/>
      <c r="EG169" s="90"/>
      <c r="EH169" s="90"/>
      <c r="EI169" s="90"/>
      <c r="EJ169" s="90"/>
      <c r="EK169" s="64">
        <f t="shared" si="105"/>
        <v>0</v>
      </c>
      <c r="EL169" s="90">
        <f t="shared" si="106"/>
        <v>0</v>
      </c>
      <c r="EM169" s="90"/>
      <c r="EN169" s="90">
        <f t="shared" si="107"/>
        <v>0</v>
      </c>
    </row>
    <row r="170" spans="2:147" s="48" customFormat="1" ht="15" customHeight="1" x14ac:dyDescent="0.25">
      <c r="B170" s="41">
        <v>17</v>
      </c>
      <c r="C170" s="42"/>
      <c r="D170" s="43"/>
      <c r="E170" s="42"/>
      <c r="F170" s="42"/>
      <c r="G170" s="42"/>
      <c r="H170" s="42"/>
      <c r="I170" s="42"/>
      <c r="J170" s="42"/>
      <c r="K170" s="42"/>
      <c r="L170" s="42"/>
      <c r="M170" s="42"/>
      <c r="N170" s="41"/>
      <c r="O170" s="41"/>
      <c r="P170" s="42"/>
      <c r="Q170" s="45"/>
      <c r="R170" s="45"/>
      <c r="S170" s="42"/>
      <c r="T170" s="46"/>
      <c r="U170" s="46"/>
      <c r="V170" s="42"/>
      <c r="W170" s="42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>
        <f t="shared" si="100"/>
        <v>0</v>
      </c>
      <c r="AO170" s="47">
        <f t="shared" si="101"/>
        <v>0</v>
      </c>
      <c r="AP170" s="46" t="s">
        <v>114</v>
      </c>
      <c r="AQ170" s="46">
        <f t="shared" si="129"/>
        <v>0</v>
      </c>
      <c r="AR170" s="46"/>
      <c r="AS170" s="46"/>
      <c r="AT170" s="46"/>
      <c r="AU170" s="47">
        <f t="shared" si="123"/>
        <v>0</v>
      </c>
      <c r="AV170" s="46"/>
      <c r="AW170" s="47">
        <f t="shared" si="143"/>
        <v>0</v>
      </c>
      <c r="AX170" s="46"/>
      <c r="AY170" s="46"/>
      <c r="AZ170" s="46"/>
      <c r="BA170" s="46"/>
      <c r="BB170" s="46"/>
      <c r="BC170" s="47">
        <f t="shared" si="120"/>
        <v>0</v>
      </c>
      <c r="BD170" s="46"/>
      <c r="BE170" s="47">
        <f t="shared" si="124"/>
        <v>0</v>
      </c>
      <c r="BF170" s="46"/>
      <c r="BG170" s="46"/>
      <c r="BH170" s="46"/>
      <c r="BI170" s="46"/>
      <c r="BJ170" s="46"/>
      <c r="BK170" s="47">
        <f t="shared" si="132"/>
        <v>0</v>
      </c>
      <c r="BL170" s="46"/>
      <c r="BM170" s="47">
        <f t="shared" si="138"/>
        <v>0</v>
      </c>
      <c r="BN170" s="46"/>
      <c r="BO170" s="46"/>
      <c r="BP170" s="46"/>
      <c r="BQ170" s="46"/>
      <c r="BR170" s="46"/>
      <c r="BS170" s="46"/>
      <c r="BT170" s="46"/>
      <c r="BU170" s="47">
        <f t="shared" si="133"/>
        <v>0</v>
      </c>
      <c r="BV170" s="46"/>
      <c r="BW170" s="46"/>
      <c r="BX170" s="46"/>
      <c r="BY170" s="46"/>
      <c r="BZ170" s="46"/>
      <c r="CA170" s="46"/>
      <c r="CB170" s="46"/>
      <c r="CC170" s="47">
        <f t="shared" si="134"/>
        <v>0</v>
      </c>
      <c r="CD170" s="46"/>
      <c r="CE170" s="46"/>
      <c r="CF170" s="46"/>
      <c r="CG170" s="46"/>
      <c r="CH170" s="46"/>
      <c r="CI170" s="46"/>
      <c r="CJ170" s="46"/>
      <c r="CK170" s="47">
        <f t="shared" si="135"/>
        <v>0</v>
      </c>
      <c r="CL170" s="46"/>
      <c r="CM170" s="46"/>
      <c r="CN170" s="46"/>
      <c r="CO170" s="46"/>
      <c r="CP170" s="46">
        <f t="shared" si="136"/>
        <v>0</v>
      </c>
      <c r="CQ170" s="46"/>
      <c r="CR170" s="47">
        <f t="shared" si="139"/>
        <v>0</v>
      </c>
      <c r="CS170" s="46"/>
      <c r="CT170" s="46"/>
      <c r="CU170" s="46"/>
      <c r="CV170" s="46"/>
      <c r="CW170" s="47">
        <f t="shared" si="121"/>
        <v>0</v>
      </c>
      <c r="CX170" s="46"/>
      <c r="CY170" s="47">
        <f t="shared" si="122"/>
        <v>0</v>
      </c>
      <c r="CZ170" s="46"/>
      <c r="DA170" s="46"/>
      <c r="DB170" s="46"/>
      <c r="DC170" s="46"/>
      <c r="DD170" s="47">
        <f t="shared" si="127"/>
        <v>0</v>
      </c>
      <c r="DE170" s="46"/>
      <c r="DF170" s="46">
        <f t="shared" si="128"/>
        <v>0</v>
      </c>
      <c r="DG170" s="46"/>
      <c r="DH170" s="46"/>
      <c r="DI170" s="46"/>
      <c r="DJ170" s="46"/>
      <c r="DK170" s="47">
        <f t="shared" si="125"/>
        <v>0</v>
      </c>
      <c r="DL170" s="47">
        <f t="shared" si="104"/>
        <v>0</v>
      </c>
      <c r="DM170" s="46"/>
      <c r="DN170" s="46"/>
      <c r="DO170" s="46"/>
      <c r="DP170" s="46">
        <f t="shared" si="137"/>
        <v>0</v>
      </c>
      <c r="DQ170" s="46"/>
      <c r="DR170" s="46">
        <f t="shared" si="140"/>
        <v>0</v>
      </c>
      <c r="DS170" s="46"/>
      <c r="DT170" s="46">
        <f t="shared" si="130"/>
        <v>0</v>
      </c>
      <c r="DU170" s="46"/>
      <c r="DV170" s="46">
        <f t="shared" si="126"/>
        <v>0</v>
      </c>
      <c r="DW170" s="46"/>
      <c r="DX170" s="47">
        <f t="shared" si="114"/>
        <v>0</v>
      </c>
      <c r="DY170" s="46"/>
      <c r="DZ170" s="46"/>
      <c r="EA170" s="46"/>
      <c r="EB170" s="46"/>
      <c r="EC170" s="46"/>
      <c r="ED170" s="46"/>
      <c r="EE170" s="47">
        <f t="shared" si="118"/>
        <v>0</v>
      </c>
      <c r="EF170" s="46"/>
      <c r="EG170" s="46"/>
      <c r="EH170" s="46"/>
      <c r="EI170" s="46"/>
      <c r="EJ170" s="46"/>
      <c r="EK170" s="47">
        <f t="shared" si="105"/>
        <v>0</v>
      </c>
      <c r="EL170" s="46">
        <f t="shared" si="106"/>
        <v>0</v>
      </c>
      <c r="EM170" s="46"/>
      <c r="EN170" s="46">
        <f t="shared" si="107"/>
        <v>0</v>
      </c>
    </row>
    <row r="171" spans="2:147" s="48" customFormat="1" ht="15" customHeight="1" x14ac:dyDescent="0.25">
      <c r="B171" s="41">
        <v>18</v>
      </c>
      <c r="C171" s="42"/>
      <c r="D171" s="43"/>
      <c r="E171" s="42"/>
      <c r="F171" s="42"/>
      <c r="G171" s="42"/>
      <c r="H171" s="42"/>
      <c r="I171" s="42"/>
      <c r="J171" s="42"/>
      <c r="K171" s="42"/>
      <c r="L171" s="42"/>
      <c r="M171" s="42"/>
      <c r="N171" s="41"/>
      <c r="O171" s="41"/>
      <c r="P171" s="42"/>
      <c r="Q171" s="45"/>
      <c r="R171" s="45"/>
      <c r="S171" s="42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>
        <f t="shared" si="100"/>
        <v>0</v>
      </c>
      <c r="AO171" s="47">
        <f t="shared" si="101"/>
        <v>0</v>
      </c>
      <c r="AP171" s="46" t="s">
        <v>114</v>
      </c>
      <c r="AQ171" s="46">
        <f t="shared" si="129"/>
        <v>0</v>
      </c>
      <c r="AR171" s="46"/>
      <c r="AS171" s="46"/>
      <c r="AT171" s="46"/>
      <c r="AU171" s="47">
        <f t="shared" si="123"/>
        <v>0</v>
      </c>
      <c r="AV171" s="46"/>
      <c r="AW171" s="47">
        <f t="shared" si="143"/>
        <v>0</v>
      </c>
      <c r="AX171" s="46"/>
      <c r="AY171" s="46"/>
      <c r="AZ171" s="46"/>
      <c r="BA171" s="46"/>
      <c r="BB171" s="46"/>
      <c r="BC171" s="47">
        <f t="shared" si="120"/>
        <v>0</v>
      </c>
      <c r="BD171" s="46"/>
      <c r="BE171" s="47">
        <f t="shared" si="124"/>
        <v>0</v>
      </c>
      <c r="BF171" s="46"/>
      <c r="BG171" s="46"/>
      <c r="BH171" s="46"/>
      <c r="BI171" s="46"/>
      <c r="BJ171" s="46"/>
      <c r="BK171" s="47">
        <f t="shared" si="132"/>
        <v>0</v>
      </c>
      <c r="BL171" s="46"/>
      <c r="BM171" s="47">
        <f t="shared" si="138"/>
        <v>0</v>
      </c>
      <c r="BN171" s="46"/>
      <c r="BO171" s="46"/>
      <c r="BP171" s="46"/>
      <c r="BQ171" s="46"/>
      <c r="BR171" s="46"/>
      <c r="BS171" s="46"/>
      <c r="BT171" s="46"/>
      <c r="BU171" s="47">
        <f t="shared" si="133"/>
        <v>0</v>
      </c>
      <c r="BV171" s="46"/>
      <c r="BW171" s="46"/>
      <c r="BX171" s="46"/>
      <c r="BY171" s="46"/>
      <c r="BZ171" s="46"/>
      <c r="CA171" s="46"/>
      <c r="CB171" s="46"/>
      <c r="CC171" s="47">
        <f t="shared" si="134"/>
        <v>0</v>
      </c>
      <c r="CD171" s="46"/>
      <c r="CE171" s="46"/>
      <c r="CF171" s="46"/>
      <c r="CG171" s="46"/>
      <c r="CH171" s="46"/>
      <c r="CI171" s="46"/>
      <c r="CJ171" s="46"/>
      <c r="CK171" s="47">
        <f t="shared" si="135"/>
        <v>0</v>
      </c>
      <c r="CL171" s="46"/>
      <c r="CM171" s="46"/>
      <c r="CN171" s="46"/>
      <c r="CO171" s="46"/>
      <c r="CP171" s="46">
        <f t="shared" si="136"/>
        <v>0</v>
      </c>
      <c r="CQ171" s="46"/>
      <c r="CR171" s="47">
        <f t="shared" si="139"/>
        <v>0</v>
      </c>
      <c r="CS171" s="46"/>
      <c r="CT171" s="46"/>
      <c r="CU171" s="46"/>
      <c r="CV171" s="46"/>
      <c r="CW171" s="47">
        <f t="shared" si="121"/>
        <v>0</v>
      </c>
      <c r="CX171" s="46"/>
      <c r="CY171" s="47">
        <f t="shared" si="122"/>
        <v>0</v>
      </c>
      <c r="CZ171" s="46"/>
      <c r="DA171" s="46"/>
      <c r="DB171" s="46"/>
      <c r="DC171" s="46"/>
      <c r="DD171" s="47">
        <f t="shared" si="127"/>
        <v>0</v>
      </c>
      <c r="DE171" s="46"/>
      <c r="DF171" s="46">
        <f t="shared" si="128"/>
        <v>0</v>
      </c>
      <c r="DG171" s="46"/>
      <c r="DH171" s="46"/>
      <c r="DI171" s="46"/>
      <c r="DJ171" s="46"/>
      <c r="DK171" s="47">
        <f t="shared" si="125"/>
        <v>0</v>
      </c>
      <c r="DL171" s="47">
        <f t="shared" si="104"/>
        <v>0</v>
      </c>
      <c r="DM171" s="46"/>
      <c r="DN171" s="46"/>
      <c r="DO171" s="46"/>
      <c r="DP171" s="46">
        <f t="shared" si="137"/>
        <v>0</v>
      </c>
      <c r="DQ171" s="46"/>
      <c r="DR171" s="46">
        <f t="shared" si="140"/>
        <v>0</v>
      </c>
      <c r="DS171" s="46"/>
      <c r="DT171" s="46">
        <f t="shared" si="130"/>
        <v>0</v>
      </c>
      <c r="DU171" s="46"/>
      <c r="DV171" s="46">
        <f t="shared" si="126"/>
        <v>0</v>
      </c>
      <c r="DW171" s="46"/>
      <c r="DX171" s="47">
        <f t="shared" si="114"/>
        <v>0</v>
      </c>
      <c r="DY171" s="46"/>
      <c r="DZ171" s="46"/>
      <c r="EA171" s="47"/>
      <c r="EB171" s="46"/>
      <c r="EC171" s="46"/>
      <c r="ED171" s="46"/>
      <c r="EE171" s="47">
        <f t="shared" si="118"/>
        <v>0</v>
      </c>
      <c r="EF171" s="46"/>
      <c r="EG171" s="46"/>
      <c r="EH171" s="46"/>
      <c r="EI171" s="46"/>
      <c r="EJ171" s="46"/>
      <c r="EK171" s="47">
        <f t="shared" si="105"/>
        <v>0</v>
      </c>
      <c r="EL171" s="46">
        <f t="shared" si="106"/>
        <v>0</v>
      </c>
      <c r="EM171" s="46"/>
      <c r="EN171" s="46">
        <f t="shared" si="107"/>
        <v>0</v>
      </c>
    </row>
    <row r="172" spans="2:147" s="48" customFormat="1" ht="15" customHeight="1" x14ac:dyDescent="0.25">
      <c r="B172" s="41">
        <v>19</v>
      </c>
      <c r="C172" s="42"/>
      <c r="D172" s="43"/>
      <c r="E172" s="42"/>
      <c r="F172" s="42"/>
      <c r="G172" s="42"/>
      <c r="H172" s="42"/>
      <c r="I172" s="42"/>
      <c r="J172" s="42"/>
      <c r="K172" s="42"/>
      <c r="L172" s="42"/>
      <c r="M172" s="42"/>
      <c r="N172" s="41"/>
      <c r="O172" s="41"/>
      <c r="P172" s="42"/>
      <c r="Q172" s="45"/>
      <c r="R172" s="45"/>
      <c r="S172" s="42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7">
        <f t="shared" si="100"/>
        <v>0</v>
      </c>
      <c r="AO172" s="47">
        <f t="shared" si="101"/>
        <v>0</v>
      </c>
      <c r="AP172" s="46" t="s">
        <v>116</v>
      </c>
      <c r="AQ172" s="46">
        <f t="shared" si="129"/>
        <v>0</v>
      </c>
      <c r="AR172" s="46"/>
      <c r="AS172" s="46"/>
      <c r="AT172" s="46"/>
      <c r="AU172" s="47">
        <f t="shared" si="123"/>
        <v>0</v>
      </c>
      <c r="AV172" s="46"/>
      <c r="AW172" s="47">
        <f t="shared" si="143"/>
        <v>0</v>
      </c>
      <c r="AX172" s="42"/>
      <c r="AY172" s="46"/>
      <c r="AZ172" s="46"/>
      <c r="BA172" s="46"/>
      <c r="BB172" s="46"/>
      <c r="BC172" s="47">
        <f t="shared" si="120"/>
        <v>0</v>
      </c>
      <c r="BD172" s="46"/>
      <c r="BE172" s="47">
        <f t="shared" si="124"/>
        <v>0</v>
      </c>
      <c r="BF172" s="42"/>
      <c r="BG172" s="46"/>
      <c r="BH172" s="46"/>
      <c r="BI172" s="46"/>
      <c r="BJ172" s="46"/>
      <c r="BK172" s="46">
        <f>BI172*BJ172</f>
        <v>0</v>
      </c>
      <c r="BL172" s="46"/>
      <c r="BM172" s="47">
        <f t="shared" si="138"/>
        <v>0</v>
      </c>
      <c r="BN172" s="42"/>
      <c r="BO172" s="46"/>
      <c r="BP172" s="46"/>
      <c r="BQ172" s="46"/>
      <c r="BR172" s="46"/>
      <c r="BS172" s="47"/>
      <c r="BT172" s="46"/>
      <c r="BU172" s="47">
        <f t="shared" si="133"/>
        <v>0</v>
      </c>
      <c r="BV172" s="42"/>
      <c r="BW172" s="46"/>
      <c r="BX172" s="46"/>
      <c r="BY172" s="46"/>
      <c r="BZ172" s="46"/>
      <c r="CA172" s="47"/>
      <c r="CB172" s="46"/>
      <c r="CC172" s="47">
        <f t="shared" si="134"/>
        <v>0</v>
      </c>
      <c r="CD172" s="42"/>
      <c r="CE172" s="46"/>
      <c r="CF172" s="46"/>
      <c r="CG172" s="46"/>
      <c r="CH172" s="46"/>
      <c r="CI172" s="47"/>
      <c r="CJ172" s="46"/>
      <c r="CK172" s="47">
        <f t="shared" si="135"/>
        <v>0</v>
      </c>
      <c r="CL172" s="46"/>
      <c r="CM172" s="46"/>
      <c r="CN172" s="46"/>
      <c r="CO172" s="46"/>
      <c r="CP172" s="46">
        <f t="shared" si="136"/>
        <v>0</v>
      </c>
      <c r="CQ172" s="46"/>
      <c r="CR172" s="47">
        <f t="shared" si="139"/>
        <v>0</v>
      </c>
      <c r="CS172" s="46"/>
      <c r="CT172" s="46"/>
      <c r="CU172" s="46"/>
      <c r="CV172" s="46"/>
      <c r="CW172" s="47">
        <f t="shared" si="121"/>
        <v>0</v>
      </c>
      <c r="CX172" s="46"/>
      <c r="CY172" s="47">
        <f t="shared" si="122"/>
        <v>0</v>
      </c>
      <c r="CZ172" s="46"/>
      <c r="DA172" s="46"/>
      <c r="DB172" s="46"/>
      <c r="DC172" s="46"/>
      <c r="DD172" s="47">
        <f t="shared" si="127"/>
        <v>0</v>
      </c>
      <c r="DE172" s="46"/>
      <c r="DF172" s="46">
        <f t="shared" si="128"/>
        <v>0</v>
      </c>
      <c r="DG172" s="46"/>
      <c r="DH172" s="46">
        <f>AQ172/2</f>
        <v>0</v>
      </c>
      <c r="DI172" s="46"/>
      <c r="DJ172" s="46"/>
      <c r="DK172" s="47">
        <f t="shared" si="125"/>
        <v>0</v>
      </c>
      <c r="DL172" s="47">
        <f t="shared" si="104"/>
        <v>0</v>
      </c>
      <c r="DM172" s="46"/>
      <c r="DN172" s="46">
        <f>7.5%*AQ172</f>
        <v>0</v>
      </c>
      <c r="DO172" s="46"/>
      <c r="DP172" s="46">
        <f t="shared" si="137"/>
        <v>0</v>
      </c>
      <c r="DQ172" s="46"/>
      <c r="DR172" s="46">
        <f t="shared" si="140"/>
        <v>0</v>
      </c>
      <c r="DS172" s="46"/>
      <c r="DT172" s="46">
        <f t="shared" si="130"/>
        <v>0</v>
      </c>
      <c r="DU172" s="46"/>
      <c r="DV172" s="46">
        <f t="shared" si="126"/>
        <v>0</v>
      </c>
      <c r="DW172" s="46"/>
      <c r="DX172" s="47">
        <f t="shared" si="114"/>
        <v>0</v>
      </c>
      <c r="DY172" s="46"/>
      <c r="DZ172" s="46"/>
      <c r="EA172" s="46"/>
      <c r="EB172" s="46"/>
      <c r="EC172" s="46"/>
      <c r="ED172" s="46"/>
      <c r="EE172" s="47">
        <f t="shared" si="118"/>
        <v>0</v>
      </c>
      <c r="EF172" s="46"/>
      <c r="EG172" s="46"/>
      <c r="EH172" s="46"/>
      <c r="EI172" s="46"/>
      <c r="EJ172" s="46"/>
      <c r="EK172" s="47">
        <f t="shared" si="105"/>
        <v>0</v>
      </c>
      <c r="EL172" s="46">
        <f t="shared" si="106"/>
        <v>0</v>
      </c>
      <c r="EM172" s="46"/>
      <c r="EN172" s="46">
        <f t="shared" si="107"/>
        <v>0</v>
      </c>
      <c r="EQ172" s="48" t="s">
        <v>117</v>
      </c>
    </row>
    <row r="173" spans="2:147" s="48" customFormat="1" ht="15" customHeight="1" x14ac:dyDescent="0.25">
      <c r="B173" s="41">
        <v>20</v>
      </c>
      <c r="C173" s="42"/>
      <c r="D173" s="43"/>
      <c r="E173" s="42"/>
      <c r="F173" s="42"/>
      <c r="G173" s="42"/>
      <c r="H173" s="42"/>
      <c r="I173" s="42"/>
      <c r="J173" s="42"/>
      <c r="K173" s="42"/>
      <c r="L173" s="42"/>
      <c r="M173" s="42"/>
      <c r="N173" s="41"/>
      <c r="O173" s="41"/>
      <c r="P173" s="42"/>
      <c r="Q173" s="45"/>
      <c r="R173" s="45"/>
      <c r="S173" s="42"/>
      <c r="T173" s="46"/>
      <c r="U173" s="46"/>
      <c r="V173" s="42"/>
      <c r="W173" s="42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>
        <f t="shared" si="100"/>
        <v>0</v>
      </c>
      <c r="AO173" s="47">
        <f t="shared" si="101"/>
        <v>0</v>
      </c>
      <c r="AP173" s="46" t="s">
        <v>118</v>
      </c>
      <c r="AQ173" s="46">
        <f t="shared" si="129"/>
        <v>0</v>
      </c>
      <c r="AR173" s="46"/>
      <c r="AS173" s="46"/>
      <c r="AT173" s="46"/>
      <c r="AU173" s="47">
        <f t="shared" si="123"/>
        <v>0</v>
      </c>
      <c r="AV173" s="46"/>
      <c r="AW173" s="47">
        <f t="shared" si="143"/>
        <v>0</v>
      </c>
      <c r="AX173" s="46"/>
      <c r="AY173" s="46"/>
      <c r="AZ173" s="46"/>
      <c r="BA173" s="46"/>
      <c r="BB173" s="46"/>
      <c r="BC173" s="47">
        <f t="shared" si="120"/>
        <v>0</v>
      </c>
      <c r="BD173" s="46"/>
      <c r="BE173" s="47">
        <f t="shared" si="124"/>
        <v>0</v>
      </c>
      <c r="BF173" s="46"/>
      <c r="BG173" s="46"/>
      <c r="BH173" s="46"/>
      <c r="BI173" s="46"/>
      <c r="BJ173" s="46"/>
      <c r="BK173" s="46">
        <f>BI173*BJ173</f>
        <v>0</v>
      </c>
      <c r="BL173" s="46"/>
      <c r="BM173" s="47">
        <f t="shared" si="138"/>
        <v>0</v>
      </c>
      <c r="BN173" s="46"/>
      <c r="BO173" s="46"/>
      <c r="BP173" s="46"/>
      <c r="BQ173" s="46"/>
      <c r="BR173" s="46"/>
      <c r="BS173" s="46"/>
      <c r="BT173" s="46"/>
      <c r="BU173" s="47">
        <f t="shared" si="133"/>
        <v>0</v>
      </c>
      <c r="BV173" s="46"/>
      <c r="BW173" s="46"/>
      <c r="BX173" s="46"/>
      <c r="BY173" s="46"/>
      <c r="BZ173" s="46"/>
      <c r="CA173" s="46"/>
      <c r="CB173" s="46"/>
      <c r="CC173" s="47">
        <f t="shared" si="134"/>
        <v>0</v>
      </c>
      <c r="CD173" s="46"/>
      <c r="CE173" s="46"/>
      <c r="CF173" s="46"/>
      <c r="CG173" s="46"/>
      <c r="CH173" s="46"/>
      <c r="CI173" s="46"/>
      <c r="CJ173" s="46"/>
      <c r="CK173" s="47">
        <f t="shared" si="135"/>
        <v>0</v>
      </c>
      <c r="CL173" s="46"/>
      <c r="CM173" s="46"/>
      <c r="CN173" s="46"/>
      <c r="CO173" s="46"/>
      <c r="CP173" s="46">
        <f t="shared" si="136"/>
        <v>0</v>
      </c>
      <c r="CQ173" s="46"/>
      <c r="CR173" s="47">
        <f t="shared" si="139"/>
        <v>0</v>
      </c>
      <c r="CS173" s="46"/>
      <c r="CT173" s="46"/>
      <c r="CU173" s="46"/>
      <c r="CV173" s="46"/>
      <c r="CW173" s="47">
        <f t="shared" si="121"/>
        <v>0</v>
      </c>
      <c r="CX173" s="46"/>
      <c r="CY173" s="47">
        <f t="shared" si="122"/>
        <v>0</v>
      </c>
      <c r="CZ173" s="46"/>
      <c r="DA173" s="46"/>
      <c r="DB173" s="46"/>
      <c r="DC173" s="46"/>
      <c r="DD173" s="47">
        <f t="shared" si="127"/>
        <v>0</v>
      </c>
      <c r="DE173" s="46"/>
      <c r="DF173" s="46">
        <f t="shared" si="128"/>
        <v>0</v>
      </c>
      <c r="DG173" s="46"/>
      <c r="DH173" s="46"/>
      <c r="DI173" s="46"/>
      <c r="DJ173" s="46"/>
      <c r="DK173" s="47">
        <f t="shared" si="125"/>
        <v>0</v>
      </c>
      <c r="DL173" s="47">
        <f t="shared" si="104"/>
        <v>0</v>
      </c>
      <c r="DM173" s="46"/>
      <c r="DN173" s="46"/>
      <c r="DO173" s="46"/>
      <c r="DP173" s="46">
        <f t="shared" si="137"/>
        <v>0</v>
      </c>
      <c r="DQ173" s="46"/>
      <c r="DR173" s="46">
        <f t="shared" si="140"/>
        <v>0</v>
      </c>
      <c r="DS173" s="46"/>
      <c r="DT173" s="46">
        <f t="shared" si="130"/>
        <v>0</v>
      </c>
      <c r="DU173" s="46"/>
      <c r="DV173" s="46">
        <f t="shared" si="126"/>
        <v>0</v>
      </c>
      <c r="DW173" s="46"/>
      <c r="DX173" s="47">
        <f t="shared" si="114"/>
        <v>0</v>
      </c>
      <c r="DY173" s="46"/>
      <c r="DZ173" s="46"/>
      <c r="EA173" s="46"/>
      <c r="EB173" s="46"/>
      <c r="EC173" s="46"/>
      <c r="ED173" s="46"/>
      <c r="EE173" s="47">
        <f t="shared" si="118"/>
        <v>0</v>
      </c>
      <c r="EF173" s="46"/>
      <c r="EG173" s="46"/>
      <c r="EH173" s="46"/>
      <c r="EI173" s="46"/>
      <c r="EJ173" s="46"/>
      <c r="EK173" s="47">
        <f t="shared" si="105"/>
        <v>0</v>
      </c>
      <c r="EL173" s="46">
        <f t="shared" si="106"/>
        <v>0</v>
      </c>
      <c r="EM173" s="46"/>
      <c r="EN173" s="46">
        <f t="shared" si="107"/>
        <v>0</v>
      </c>
    </row>
    <row r="174" spans="2:147" s="48" customFormat="1" ht="15" customHeight="1" x14ac:dyDescent="0.25">
      <c r="B174" s="41">
        <v>21</v>
      </c>
      <c r="C174" s="42"/>
      <c r="D174" s="43"/>
      <c r="E174" s="42"/>
      <c r="F174" s="42"/>
      <c r="G174" s="42"/>
      <c r="H174" s="42"/>
      <c r="I174" s="42"/>
      <c r="J174" s="42"/>
      <c r="K174" s="42"/>
      <c r="L174" s="42"/>
      <c r="M174" s="42"/>
      <c r="N174" s="41"/>
      <c r="O174" s="41"/>
      <c r="P174" s="42"/>
      <c r="Q174" s="45"/>
      <c r="R174" s="45"/>
      <c r="S174" s="42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>
        <f t="shared" si="100"/>
        <v>0</v>
      </c>
      <c r="AO174" s="47">
        <f t="shared" si="101"/>
        <v>0</v>
      </c>
      <c r="AP174" s="46" t="s">
        <v>114</v>
      </c>
      <c r="AQ174" s="46">
        <f t="shared" si="129"/>
        <v>0</v>
      </c>
      <c r="AR174" s="46"/>
      <c r="AS174" s="46"/>
      <c r="AT174" s="46"/>
      <c r="AU174" s="47">
        <f t="shared" si="123"/>
        <v>0</v>
      </c>
      <c r="AV174" s="46"/>
      <c r="AW174" s="47">
        <f t="shared" si="143"/>
        <v>0</v>
      </c>
      <c r="AX174" s="46"/>
      <c r="AY174" s="46"/>
      <c r="AZ174" s="46"/>
      <c r="BA174" s="46"/>
      <c r="BB174" s="46"/>
      <c r="BC174" s="47">
        <f t="shared" si="120"/>
        <v>0</v>
      </c>
      <c r="BD174" s="46"/>
      <c r="BE174" s="47">
        <f t="shared" si="124"/>
        <v>0</v>
      </c>
      <c r="BF174" s="46"/>
      <c r="BG174" s="46"/>
      <c r="BH174" s="46"/>
      <c r="BI174" s="46"/>
      <c r="BJ174" s="46"/>
      <c r="BK174" s="47">
        <f t="shared" ref="BK174:BK180" si="144">+BI174*BJ174</f>
        <v>0</v>
      </c>
      <c r="BL174" s="46"/>
      <c r="BM174" s="47">
        <f t="shared" si="138"/>
        <v>0</v>
      </c>
      <c r="BN174" s="46"/>
      <c r="BO174" s="46"/>
      <c r="BP174" s="46"/>
      <c r="BQ174" s="46"/>
      <c r="BR174" s="46"/>
      <c r="BS174" s="46"/>
      <c r="BT174" s="46"/>
      <c r="BU174" s="47">
        <f t="shared" si="133"/>
        <v>0</v>
      </c>
      <c r="BV174" s="46"/>
      <c r="BW174" s="46"/>
      <c r="BX174" s="46"/>
      <c r="BY174" s="46"/>
      <c r="BZ174" s="46"/>
      <c r="CA174" s="46"/>
      <c r="CB174" s="46"/>
      <c r="CC174" s="47">
        <f t="shared" si="134"/>
        <v>0</v>
      </c>
      <c r="CD174" s="46"/>
      <c r="CE174" s="46"/>
      <c r="CF174" s="46"/>
      <c r="CG174" s="46"/>
      <c r="CH174" s="46"/>
      <c r="CI174" s="46"/>
      <c r="CJ174" s="46"/>
      <c r="CK174" s="47">
        <f t="shared" si="135"/>
        <v>0</v>
      </c>
      <c r="CL174" s="46"/>
      <c r="CM174" s="46"/>
      <c r="CN174" s="46"/>
      <c r="CO174" s="46"/>
      <c r="CP174" s="46">
        <f t="shared" si="136"/>
        <v>0</v>
      </c>
      <c r="CQ174" s="46"/>
      <c r="CR174" s="47">
        <f t="shared" si="139"/>
        <v>0</v>
      </c>
      <c r="CS174" s="46"/>
      <c r="CT174" s="46"/>
      <c r="CU174" s="46"/>
      <c r="CV174" s="46"/>
      <c r="CW174" s="47">
        <f t="shared" si="121"/>
        <v>0</v>
      </c>
      <c r="CX174" s="46"/>
      <c r="CY174" s="47">
        <f t="shared" si="122"/>
        <v>0</v>
      </c>
      <c r="CZ174" s="46"/>
      <c r="DA174" s="46"/>
      <c r="DB174" s="46"/>
      <c r="DC174" s="46"/>
      <c r="DD174" s="47">
        <f t="shared" si="127"/>
        <v>0</v>
      </c>
      <c r="DE174" s="46"/>
      <c r="DF174" s="46">
        <f t="shared" si="128"/>
        <v>0</v>
      </c>
      <c r="DG174" s="46"/>
      <c r="DH174" s="46"/>
      <c r="DI174" s="46"/>
      <c r="DJ174" s="46"/>
      <c r="DK174" s="47">
        <f t="shared" si="125"/>
        <v>0</v>
      </c>
      <c r="DL174" s="47">
        <f t="shared" si="104"/>
        <v>0</v>
      </c>
      <c r="DM174" s="46"/>
      <c r="DN174" s="46"/>
      <c r="DO174" s="46"/>
      <c r="DP174" s="46">
        <f t="shared" si="137"/>
        <v>0</v>
      </c>
      <c r="DQ174" s="46"/>
      <c r="DR174" s="46">
        <f t="shared" si="140"/>
        <v>0</v>
      </c>
      <c r="DS174" s="46"/>
      <c r="DT174" s="46">
        <f t="shared" si="130"/>
        <v>0</v>
      </c>
      <c r="DU174" s="46"/>
      <c r="DV174" s="46">
        <f t="shared" si="126"/>
        <v>0</v>
      </c>
      <c r="DW174" s="46"/>
      <c r="DX174" s="47">
        <f t="shared" si="114"/>
        <v>0</v>
      </c>
      <c r="DY174" s="46"/>
      <c r="DZ174" s="46"/>
      <c r="EA174" s="46"/>
      <c r="EB174" s="46"/>
      <c r="EC174" s="46"/>
      <c r="ED174" s="46"/>
      <c r="EE174" s="47">
        <f t="shared" si="118"/>
        <v>0</v>
      </c>
      <c r="EF174" s="46"/>
      <c r="EG174" s="46"/>
      <c r="EH174" s="46"/>
      <c r="EI174" s="46"/>
      <c r="EJ174" s="46"/>
      <c r="EK174" s="47">
        <f t="shared" si="105"/>
        <v>0</v>
      </c>
      <c r="EL174" s="46">
        <f t="shared" si="106"/>
        <v>0</v>
      </c>
      <c r="EM174" s="46"/>
      <c r="EN174" s="46">
        <f t="shared" si="107"/>
        <v>0</v>
      </c>
    </row>
    <row r="175" spans="2:147" s="48" customFormat="1" ht="15" customHeight="1" x14ac:dyDescent="0.25">
      <c r="B175" s="41">
        <v>22</v>
      </c>
      <c r="C175" s="42"/>
      <c r="D175" s="43"/>
      <c r="E175" s="42"/>
      <c r="F175" s="42"/>
      <c r="G175" s="42"/>
      <c r="H175" s="42"/>
      <c r="I175" s="42"/>
      <c r="J175" s="42"/>
      <c r="K175" s="42"/>
      <c r="L175" s="42"/>
      <c r="M175" s="42"/>
      <c r="N175" s="41"/>
      <c r="O175" s="41"/>
      <c r="P175" s="42"/>
      <c r="Q175" s="45"/>
      <c r="R175" s="45"/>
      <c r="S175" s="42"/>
      <c r="T175" s="46"/>
      <c r="U175" s="46"/>
      <c r="V175" s="42"/>
      <c r="W175" s="42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>
        <f t="shared" si="100"/>
        <v>0</v>
      </c>
      <c r="AO175" s="47">
        <f t="shared" si="101"/>
        <v>0</v>
      </c>
      <c r="AP175" s="46" t="s">
        <v>114</v>
      </c>
      <c r="AQ175" s="46">
        <f t="shared" si="129"/>
        <v>0</v>
      </c>
      <c r="AR175" s="46"/>
      <c r="AS175" s="46"/>
      <c r="AT175" s="46"/>
      <c r="AU175" s="47">
        <f t="shared" si="123"/>
        <v>0</v>
      </c>
      <c r="AV175" s="46"/>
      <c r="AW175" s="47">
        <f t="shared" si="143"/>
        <v>0</v>
      </c>
      <c r="AX175" s="46"/>
      <c r="AY175" s="46"/>
      <c r="AZ175" s="46"/>
      <c r="BA175" s="46"/>
      <c r="BB175" s="46"/>
      <c r="BC175" s="47">
        <f t="shared" si="120"/>
        <v>0</v>
      </c>
      <c r="BD175" s="46"/>
      <c r="BE175" s="47">
        <f t="shared" si="124"/>
        <v>0</v>
      </c>
      <c r="BF175" s="46"/>
      <c r="BG175" s="46"/>
      <c r="BH175" s="46"/>
      <c r="BI175" s="46"/>
      <c r="BJ175" s="46"/>
      <c r="BK175" s="47">
        <f t="shared" si="144"/>
        <v>0</v>
      </c>
      <c r="BL175" s="46"/>
      <c r="BM175" s="47">
        <f t="shared" si="138"/>
        <v>0</v>
      </c>
      <c r="BN175" s="46"/>
      <c r="BO175" s="46"/>
      <c r="BP175" s="46"/>
      <c r="BQ175" s="46"/>
      <c r="BR175" s="46"/>
      <c r="BS175" s="46"/>
      <c r="BT175" s="46"/>
      <c r="BU175" s="47">
        <f t="shared" si="133"/>
        <v>0</v>
      </c>
      <c r="BV175" s="46"/>
      <c r="BW175" s="46"/>
      <c r="BX175" s="46"/>
      <c r="BY175" s="46"/>
      <c r="BZ175" s="46"/>
      <c r="CA175" s="46"/>
      <c r="CB175" s="46"/>
      <c r="CC175" s="47">
        <f t="shared" si="134"/>
        <v>0</v>
      </c>
      <c r="CD175" s="46"/>
      <c r="CE175" s="46"/>
      <c r="CF175" s="46"/>
      <c r="CG175" s="46"/>
      <c r="CH175" s="46"/>
      <c r="CI175" s="46"/>
      <c r="CJ175" s="46"/>
      <c r="CK175" s="47">
        <f t="shared" si="135"/>
        <v>0</v>
      </c>
      <c r="CL175" s="46"/>
      <c r="CM175" s="46"/>
      <c r="CN175" s="46"/>
      <c r="CO175" s="46"/>
      <c r="CP175" s="46">
        <f t="shared" si="136"/>
        <v>0</v>
      </c>
      <c r="CQ175" s="46"/>
      <c r="CR175" s="47">
        <f t="shared" si="139"/>
        <v>0</v>
      </c>
      <c r="CS175" s="46"/>
      <c r="CT175" s="46"/>
      <c r="CU175" s="46"/>
      <c r="CV175" s="46"/>
      <c r="CW175" s="47">
        <f t="shared" si="121"/>
        <v>0</v>
      </c>
      <c r="CX175" s="46"/>
      <c r="CY175" s="47">
        <f t="shared" si="122"/>
        <v>0</v>
      </c>
      <c r="CZ175" s="46"/>
      <c r="DA175" s="46"/>
      <c r="DB175" s="46"/>
      <c r="DC175" s="46"/>
      <c r="DD175" s="47">
        <f t="shared" si="127"/>
        <v>0</v>
      </c>
      <c r="DE175" s="46"/>
      <c r="DF175" s="46">
        <f t="shared" si="128"/>
        <v>0</v>
      </c>
      <c r="DG175" s="46"/>
      <c r="DH175" s="46"/>
      <c r="DI175" s="46"/>
      <c r="DJ175" s="46"/>
      <c r="DK175" s="47">
        <f t="shared" si="125"/>
        <v>0</v>
      </c>
      <c r="DL175" s="47">
        <f t="shared" si="104"/>
        <v>0</v>
      </c>
      <c r="DM175" s="46"/>
      <c r="DN175" s="46"/>
      <c r="DO175" s="46"/>
      <c r="DP175" s="46">
        <f t="shared" si="137"/>
        <v>0</v>
      </c>
      <c r="DQ175" s="46"/>
      <c r="DR175" s="46">
        <f t="shared" si="140"/>
        <v>0</v>
      </c>
      <c r="DS175" s="46"/>
      <c r="DT175" s="46">
        <f t="shared" si="130"/>
        <v>0</v>
      </c>
      <c r="DU175" s="46"/>
      <c r="DV175" s="46">
        <f t="shared" si="126"/>
        <v>0</v>
      </c>
      <c r="DW175" s="46"/>
      <c r="DX175" s="47">
        <f t="shared" si="114"/>
        <v>0</v>
      </c>
      <c r="DY175" s="46"/>
      <c r="DZ175" s="46"/>
      <c r="EA175" s="46"/>
      <c r="EB175" s="46"/>
      <c r="EC175" s="46"/>
      <c r="ED175" s="46"/>
      <c r="EE175" s="47">
        <f t="shared" si="118"/>
        <v>0</v>
      </c>
      <c r="EF175" s="46"/>
      <c r="EG175" s="46"/>
      <c r="EH175" s="46"/>
      <c r="EI175" s="46"/>
      <c r="EJ175" s="46"/>
      <c r="EK175" s="47">
        <f t="shared" si="105"/>
        <v>0</v>
      </c>
      <c r="EL175" s="46">
        <f t="shared" si="106"/>
        <v>0</v>
      </c>
      <c r="EM175" s="46"/>
      <c r="EN175" s="46">
        <f t="shared" si="107"/>
        <v>0</v>
      </c>
    </row>
    <row r="176" spans="2:147" s="80" customFormat="1" ht="15" customHeight="1" x14ac:dyDescent="0.25">
      <c r="B176" s="41">
        <v>23</v>
      </c>
      <c r="C176" s="42"/>
      <c r="D176" s="43"/>
      <c r="E176" s="42"/>
      <c r="F176" s="42"/>
      <c r="G176" s="42"/>
      <c r="H176" s="42"/>
      <c r="I176" s="42"/>
      <c r="J176" s="42"/>
      <c r="K176" s="42"/>
      <c r="L176" s="42"/>
      <c r="M176" s="42"/>
      <c r="N176" s="41"/>
      <c r="O176" s="41"/>
      <c r="P176" s="42"/>
      <c r="Q176" s="45"/>
      <c r="R176" s="45"/>
      <c r="S176" s="42"/>
      <c r="T176" s="46"/>
      <c r="U176" s="46"/>
      <c r="V176" s="42"/>
      <c r="W176" s="42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>
        <f t="shared" si="100"/>
        <v>0</v>
      </c>
      <c r="AO176" s="47">
        <f t="shared" si="101"/>
        <v>0</v>
      </c>
      <c r="AP176" s="46" t="s">
        <v>118</v>
      </c>
      <c r="AQ176" s="46">
        <f t="shared" si="129"/>
        <v>0</v>
      </c>
      <c r="AR176" s="46"/>
      <c r="AS176" s="46"/>
      <c r="AT176" s="46"/>
      <c r="AU176" s="47">
        <f t="shared" si="123"/>
        <v>0</v>
      </c>
      <c r="AV176" s="46"/>
      <c r="AW176" s="47">
        <f t="shared" si="143"/>
        <v>0</v>
      </c>
      <c r="AX176" s="46"/>
      <c r="AY176" s="46"/>
      <c r="AZ176" s="46"/>
      <c r="BA176" s="46"/>
      <c r="BB176" s="46"/>
      <c r="BC176" s="47">
        <f t="shared" si="120"/>
        <v>0</v>
      </c>
      <c r="BD176" s="46"/>
      <c r="BE176" s="47">
        <f t="shared" si="124"/>
        <v>0</v>
      </c>
      <c r="BF176" s="46"/>
      <c r="BG176" s="46"/>
      <c r="BH176" s="46"/>
      <c r="BI176" s="46"/>
      <c r="BJ176" s="46"/>
      <c r="BK176" s="47">
        <f t="shared" si="144"/>
        <v>0</v>
      </c>
      <c r="BL176" s="46"/>
      <c r="BM176" s="47">
        <f t="shared" si="138"/>
        <v>0</v>
      </c>
      <c r="BN176" s="46"/>
      <c r="BO176" s="46"/>
      <c r="BP176" s="46"/>
      <c r="BQ176" s="46"/>
      <c r="BR176" s="46"/>
      <c r="BS176" s="46"/>
      <c r="BT176" s="46"/>
      <c r="BU176" s="47">
        <f t="shared" si="133"/>
        <v>0</v>
      </c>
      <c r="BV176" s="46"/>
      <c r="BW176" s="46"/>
      <c r="BX176" s="46"/>
      <c r="BY176" s="46"/>
      <c r="BZ176" s="46"/>
      <c r="CA176" s="46"/>
      <c r="CB176" s="46"/>
      <c r="CC176" s="47">
        <f t="shared" si="134"/>
        <v>0</v>
      </c>
      <c r="CD176" s="46"/>
      <c r="CE176" s="46"/>
      <c r="CF176" s="46"/>
      <c r="CG176" s="46"/>
      <c r="CH176" s="46"/>
      <c r="CI176" s="46"/>
      <c r="CJ176" s="46"/>
      <c r="CK176" s="47">
        <f t="shared" si="135"/>
        <v>0</v>
      </c>
      <c r="CL176" s="46"/>
      <c r="CM176" s="46"/>
      <c r="CN176" s="46"/>
      <c r="CO176" s="46"/>
      <c r="CP176" s="46">
        <f t="shared" si="136"/>
        <v>0</v>
      </c>
      <c r="CQ176" s="46"/>
      <c r="CR176" s="47">
        <f t="shared" si="139"/>
        <v>0</v>
      </c>
      <c r="CS176" s="46"/>
      <c r="CT176" s="46"/>
      <c r="CU176" s="46"/>
      <c r="CV176" s="46"/>
      <c r="CW176" s="47">
        <f t="shared" si="121"/>
        <v>0</v>
      </c>
      <c r="CX176" s="46"/>
      <c r="CY176" s="47">
        <f t="shared" si="122"/>
        <v>0</v>
      </c>
      <c r="CZ176" s="46"/>
      <c r="DA176" s="46"/>
      <c r="DB176" s="46"/>
      <c r="DC176" s="46"/>
      <c r="DD176" s="47">
        <f t="shared" si="127"/>
        <v>0</v>
      </c>
      <c r="DE176" s="46"/>
      <c r="DF176" s="46">
        <f t="shared" si="128"/>
        <v>0</v>
      </c>
      <c r="DG176" s="46"/>
      <c r="DH176" s="46"/>
      <c r="DI176" s="46"/>
      <c r="DJ176" s="46"/>
      <c r="DK176" s="47">
        <f t="shared" si="125"/>
        <v>0</v>
      </c>
      <c r="DL176" s="47">
        <f t="shared" si="104"/>
        <v>0</v>
      </c>
      <c r="DM176" s="46"/>
      <c r="DN176" s="46"/>
      <c r="DO176" s="46"/>
      <c r="DP176" s="46">
        <f t="shared" si="137"/>
        <v>0</v>
      </c>
      <c r="DQ176" s="46"/>
      <c r="DR176" s="46">
        <f t="shared" si="140"/>
        <v>0</v>
      </c>
      <c r="DS176" s="46"/>
      <c r="DT176" s="46">
        <f t="shared" si="130"/>
        <v>0</v>
      </c>
      <c r="DU176" s="46"/>
      <c r="DV176" s="46">
        <f t="shared" si="126"/>
        <v>0</v>
      </c>
      <c r="DW176" s="46"/>
      <c r="DX176" s="47">
        <f t="shared" si="114"/>
        <v>0</v>
      </c>
      <c r="DY176" s="46"/>
      <c r="DZ176" s="46"/>
      <c r="EA176" s="46"/>
      <c r="EB176" s="46"/>
      <c r="EC176" s="46"/>
      <c r="ED176" s="46"/>
      <c r="EE176" s="47">
        <f t="shared" si="118"/>
        <v>0</v>
      </c>
      <c r="EF176" s="46"/>
      <c r="EG176" s="46"/>
      <c r="EH176" s="46"/>
      <c r="EI176" s="46"/>
      <c r="EJ176" s="46"/>
      <c r="EK176" s="47">
        <f t="shared" si="105"/>
        <v>0</v>
      </c>
      <c r="EL176" s="46">
        <f t="shared" si="106"/>
        <v>0</v>
      </c>
      <c r="EM176" s="78"/>
      <c r="EN176" s="46">
        <f t="shared" si="107"/>
        <v>0</v>
      </c>
    </row>
    <row r="177" spans="2:144" s="48" customFormat="1" ht="15" customHeight="1" x14ac:dyDescent="0.25">
      <c r="B177" s="41">
        <v>24</v>
      </c>
      <c r="C177" s="42"/>
      <c r="D177" s="43"/>
      <c r="E177" s="42"/>
      <c r="F177" s="42"/>
      <c r="G177" s="42"/>
      <c r="H177" s="42"/>
      <c r="I177" s="42"/>
      <c r="J177" s="42"/>
      <c r="K177" s="42"/>
      <c r="L177" s="42"/>
      <c r="M177" s="42"/>
      <c r="N177" s="41"/>
      <c r="O177" s="41"/>
      <c r="P177" s="43"/>
      <c r="Q177" s="45"/>
      <c r="R177" s="45"/>
      <c r="S177" s="44"/>
      <c r="T177" s="46"/>
      <c r="U177" s="46"/>
      <c r="V177" s="42"/>
      <c r="W177" s="42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>
        <f t="shared" si="100"/>
        <v>0</v>
      </c>
      <c r="AO177" s="47">
        <f t="shared" si="101"/>
        <v>0</v>
      </c>
      <c r="AP177" s="46" t="s">
        <v>119</v>
      </c>
      <c r="AQ177" s="46">
        <f t="shared" si="129"/>
        <v>0</v>
      </c>
      <c r="AR177" s="46"/>
      <c r="AS177" s="46"/>
      <c r="AT177" s="46"/>
      <c r="AU177" s="47">
        <f t="shared" si="123"/>
        <v>0</v>
      </c>
      <c r="AV177" s="46"/>
      <c r="AW177" s="47">
        <f t="shared" si="143"/>
        <v>0</v>
      </c>
      <c r="AX177" s="46"/>
      <c r="AY177" s="46"/>
      <c r="AZ177" s="46"/>
      <c r="BA177" s="46"/>
      <c r="BB177" s="46"/>
      <c r="BC177" s="47">
        <f t="shared" si="120"/>
        <v>0</v>
      </c>
      <c r="BD177" s="46"/>
      <c r="BE177" s="47">
        <f t="shared" si="124"/>
        <v>0</v>
      </c>
      <c r="BF177" s="46"/>
      <c r="BG177" s="46"/>
      <c r="BH177" s="46"/>
      <c r="BI177" s="46"/>
      <c r="BJ177" s="46"/>
      <c r="BK177" s="47">
        <f t="shared" si="144"/>
        <v>0</v>
      </c>
      <c r="BL177" s="46"/>
      <c r="BM177" s="47">
        <f t="shared" si="138"/>
        <v>0</v>
      </c>
      <c r="BN177" s="46"/>
      <c r="BO177" s="46"/>
      <c r="BP177" s="46"/>
      <c r="BQ177" s="46"/>
      <c r="BR177" s="46"/>
      <c r="BS177" s="46"/>
      <c r="BT177" s="46"/>
      <c r="BU177" s="47">
        <f t="shared" si="133"/>
        <v>0</v>
      </c>
      <c r="BV177" s="46"/>
      <c r="BW177" s="46"/>
      <c r="BX177" s="46"/>
      <c r="BY177" s="46"/>
      <c r="BZ177" s="46"/>
      <c r="CA177" s="46"/>
      <c r="CB177" s="46"/>
      <c r="CC177" s="47">
        <f t="shared" si="134"/>
        <v>0</v>
      </c>
      <c r="CD177" s="46"/>
      <c r="CE177" s="46"/>
      <c r="CF177" s="46"/>
      <c r="CG177" s="46"/>
      <c r="CH177" s="46"/>
      <c r="CI177" s="46"/>
      <c r="CJ177" s="46"/>
      <c r="CK177" s="47">
        <f t="shared" si="135"/>
        <v>0</v>
      </c>
      <c r="CL177" s="46"/>
      <c r="CM177" s="46"/>
      <c r="CN177" s="46"/>
      <c r="CO177" s="46"/>
      <c r="CP177" s="46">
        <f t="shared" si="136"/>
        <v>0</v>
      </c>
      <c r="CQ177" s="46"/>
      <c r="CR177" s="47">
        <f t="shared" si="139"/>
        <v>0</v>
      </c>
      <c r="CS177" s="46"/>
      <c r="CT177" s="46"/>
      <c r="CU177" s="46"/>
      <c r="CV177" s="46"/>
      <c r="CW177" s="47">
        <f t="shared" si="121"/>
        <v>0</v>
      </c>
      <c r="CX177" s="46"/>
      <c r="CY177" s="47">
        <f t="shared" si="122"/>
        <v>0</v>
      </c>
      <c r="CZ177" s="46"/>
      <c r="DA177" s="46"/>
      <c r="DB177" s="46"/>
      <c r="DC177" s="46"/>
      <c r="DD177" s="47">
        <f t="shared" si="127"/>
        <v>0</v>
      </c>
      <c r="DE177" s="46"/>
      <c r="DF177" s="46">
        <f t="shared" si="128"/>
        <v>0</v>
      </c>
      <c r="DG177" s="46"/>
      <c r="DH177" s="46">
        <f>AQ177/2</f>
        <v>0</v>
      </c>
      <c r="DI177" s="46"/>
      <c r="DJ177" s="46"/>
      <c r="DK177" s="47">
        <f t="shared" si="125"/>
        <v>0</v>
      </c>
      <c r="DL177" s="47">
        <f t="shared" si="104"/>
        <v>0</v>
      </c>
      <c r="DM177" s="46"/>
      <c r="DN177" s="46">
        <f>7.5%*AQ177</f>
        <v>0</v>
      </c>
      <c r="DO177" s="46"/>
      <c r="DP177" s="46">
        <f t="shared" si="137"/>
        <v>0</v>
      </c>
      <c r="DQ177" s="46"/>
      <c r="DR177" s="46">
        <f t="shared" si="140"/>
        <v>0</v>
      </c>
      <c r="DS177" s="46"/>
      <c r="DT177" s="46">
        <f t="shared" si="130"/>
        <v>0</v>
      </c>
      <c r="DU177" s="46"/>
      <c r="DV177" s="46">
        <f t="shared" si="126"/>
        <v>0</v>
      </c>
      <c r="DW177" s="46"/>
      <c r="DX177" s="47">
        <f t="shared" si="114"/>
        <v>0</v>
      </c>
      <c r="DY177" s="46"/>
      <c r="DZ177" s="46"/>
      <c r="EA177" s="46"/>
      <c r="EB177" s="46"/>
      <c r="EC177" s="46"/>
      <c r="ED177" s="46"/>
      <c r="EE177" s="47">
        <f t="shared" si="118"/>
        <v>0</v>
      </c>
      <c r="EF177" s="46"/>
      <c r="EG177" s="46"/>
      <c r="EH177" s="46"/>
      <c r="EI177" s="46"/>
      <c r="EJ177" s="46"/>
      <c r="EK177" s="47">
        <f t="shared" si="105"/>
        <v>0</v>
      </c>
      <c r="EL177" s="46">
        <f t="shared" si="106"/>
        <v>0</v>
      </c>
      <c r="EM177" s="46"/>
      <c r="EN177" s="46">
        <f t="shared" si="107"/>
        <v>0</v>
      </c>
    </row>
    <row r="178" spans="2:144" s="48" customFormat="1" x14ac:dyDescent="0.25">
      <c r="B178" s="41">
        <v>25</v>
      </c>
      <c r="C178" s="42"/>
      <c r="D178" s="43"/>
      <c r="E178" s="42"/>
      <c r="F178" s="42"/>
      <c r="G178" s="42"/>
      <c r="H178" s="42"/>
      <c r="I178" s="42"/>
      <c r="J178" s="42"/>
      <c r="K178" s="42"/>
      <c r="L178" s="42"/>
      <c r="M178" s="42"/>
      <c r="N178" s="41"/>
      <c r="O178" s="41"/>
      <c r="P178" s="42"/>
      <c r="Q178" s="45"/>
      <c r="R178" s="45"/>
      <c r="S178" s="42"/>
      <c r="T178" s="46"/>
      <c r="U178" s="46"/>
      <c r="V178" s="42"/>
      <c r="W178" s="42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>
        <f t="shared" si="100"/>
        <v>0</v>
      </c>
      <c r="AO178" s="47">
        <f t="shared" si="101"/>
        <v>0</v>
      </c>
      <c r="AP178" s="46" t="s">
        <v>111</v>
      </c>
      <c r="AQ178" s="46">
        <f t="shared" si="129"/>
        <v>0</v>
      </c>
      <c r="AR178" s="46"/>
      <c r="AS178" s="46"/>
      <c r="AT178" s="46"/>
      <c r="AU178" s="47">
        <f t="shared" si="123"/>
        <v>0</v>
      </c>
      <c r="AV178" s="46"/>
      <c r="AW178" s="47">
        <f t="shared" si="143"/>
        <v>0</v>
      </c>
      <c r="AX178" s="46"/>
      <c r="AY178" s="46"/>
      <c r="AZ178" s="46"/>
      <c r="BA178" s="46"/>
      <c r="BB178" s="46"/>
      <c r="BC178" s="47">
        <f t="shared" si="120"/>
        <v>0</v>
      </c>
      <c r="BD178" s="46"/>
      <c r="BE178" s="47">
        <f t="shared" si="124"/>
        <v>0</v>
      </c>
      <c r="BF178" s="46"/>
      <c r="BG178" s="46"/>
      <c r="BH178" s="46"/>
      <c r="BI178" s="46"/>
      <c r="BJ178" s="46"/>
      <c r="BK178" s="47">
        <f t="shared" si="144"/>
        <v>0</v>
      </c>
      <c r="BL178" s="46"/>
      <c r="BM178" s="47">
        <f t="shared" si="138"/>
        <v>0</v>
      </c>
      <c r="BN178" s="46"/>
      <c r="BO178" s="46"/>
      <c r="BP178" s="46"/>
      <c r="BQ178" s="46"/>
      <c r="BR178" s="46"/>
      <c r="BS178" s="46"/>
      <c r="BT178" s="46"/>
      <c r="BU178" s="47">
        <f t="shared" si="133"/>
        <v>0</v>
      </c>
      <c r="BV178" s="46"/>
      <c r="BW178" s="46"/>
      <c r="BX178" s="46"/>
      <c r="BY178" s="46"/>
      <c r="BZ178" s="46"/>
      <c r="CA178" s="46"/>
      <c r="CB178" s="46"/>
      <c r="CC178" s="47">
        <f t="shared" si="134"/>
        <v>0</v>
      </c>
      <c r="CD178" s="46"/>
      <c r="CE178" s="46"/>
      <c r="CF178" s="46"/>
      <c r="CG178" s="46"/>
      <c r="CH178" s="46"/>
      <c r="CI178" s="46"/>
      <c r="CJ178" s="46"/>
      <c r="CK178" s="47">
        <f t="shared" si="135"/>
        <v>0</v>
      </c>
      <c r="CL178" s="46"/>
      <c r="CM178" s="46"/>
      <c r="CN178" s="46"/>
      <c r="CO178" s="46"/>
      <c r="CP178" s="46">
        <f t="shared" si="136"/>
        <v>0</v>
      </c>
      <c r="CQ178" s="46"/>
      <c r="CR178" s="47">
        <f t="shared" si="139"/>
        <v>0</v>
      </c>
      <c r="CS178" s="46"/>
      <c r="CT178" s="46"/>
      <c r="CU178" s="46"/>
      <c r="CV178" s="46"/>
      <c r="CW178" s="47">
        <f t="shared" si="121"/>
        <v>0</v>
      </c>
      <c r="CX178" s="46"/>
      <c r="CY178" s="47">
        <f t="shared" si="122"/>
        <v>0</v>
      </c>
      <c r="CZ178" s="46"/>
      <c r="DA178" s="46"/>
      <c r="DB178" s="46"/>
      <c r="DC178" s="46"/>
      <c r="DD178" s="47">
        <f t="shared" si="127"/>
        <v>0</v>
      </c>
      <c r="DE178" s="46"/>
      <c r="DF178" s="46">
        <f t="shared" si="128"/>
        <v>0</v>
      </c>
      <c r="DG178" s="46"/>
      <c r="DH178" s="46">
        <f>AQ178/2</f>
        <v>0</v>
      </c>
      <c r="DI178" s="46"/>
      <c r="DJ178" s="46"/>
      <c r="DK178" s="47">
        <f t="shared" si="125"/>
        <v>0</v>
      </c>
      <c r="DL178" s="47">
        <f t="shared" si="104"/>
        <v>0</v>
      </c>
      <c r="DM178" s="46"/>
      <c r="DN178" s="46">
        <f>7.5%*AQ178</f>
        <v>0</v>
      </c>
      <c r="DO178" s="46"/>
      <c r="DP178" s="46">
        <f t="shared" si="137"/>
        <v>0</v>
      </c>
      <c r="DQ178" s="46"/>
      <c r="DR178" s="46">
        <f t="shared" si="140"/>
        <v>0</v>
      </c>
      <c r="DS178" s="46"/>
      <c r="DT178" s="46">
        <f t="shared" si="130"/>
        <v>0</v>
      </c>
      <c r="DU178" s="46"/>
      <c r="DV178" s="46">
        <f t="shared" si="126"/>
        <v>0</v>
      </c>
      <c r="DW178" s="46"/>
      <c r="DX178" s="47">
        <f t="shared" si="114"/>
        <v>0</v>
      </c>
      <c r="DY178" s="46"/>
      <c r="DZ178" s="46"/>
      <c r="EA178" s="46"/>
      <c r="EB178" s="46"/>
      <c r="EC178" s="46"/>
      <c r="ED178" s="46"/>
      <c r="EE178" s="47">
        <f t="shared" si="118"/>
        <v>0</v>
      </c>
      <c r="EF178" s="46"/>
      <c r="EG178" s="46"/>
      <c r="EH178" s="46"/>
      <c r="EI178" s="46"/>
      <c r="EJ178" s="46"/>
      <c r="EK178" s="47">
        <f t="shared" si="105"/>
        <v>0</v>
      </c>
      <c r="EL178" s="46">
        <f t="shared" si="106"/>
        <v>0</v>
      </c>
      <c r="EM178" s="46"/>
      <c r="EN178" s="46">
        <f t="shared" si="107"/>
        <v>0</v>
      </c>
    </row>
    <row r="179" spans="2:144" s="48" customFormat="1" ht="15" customHeight="1" x14ac:dyDescent="0.25">
      <c r="B179" s="41">
        <v>26</v>
      </c>
      <c r="C179" s="42"/>
      <c r="D179" s="43"/>
      <c r="E179" s="42"/>
      <c r="F179" s="42"/>
      <c r="G179" s="42"/>
      <c r="H179" s="42"/>
      <c r="I179" s="42"/>
      <c r="J179" s="42"/>
      <c r="K179" s="42"/>
      <c r="L179" s="42"/>
      <c r="M179" s="42"/>
      <c r="N179" s="41"/>
      <c r="O179" s="41"/>
      <c r="P179" s="42"/>
      <c r="Q179" s="45"/>
      <c r="R179" s="45"/>
      <c r="S179" s="42"/>
      <c r="T179" s="46"/>
      <c r="U179" s="46"/>
      <c r="V179" s="42"/>
      <c r="W179" s="42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>
        <f t="shared" si="100"/>
        <v>0</v>
      </c>
      <c r="AO179" s="47">
        <f t="shared" si="101"/>
        <v>0</v>
      </c>
      <c r="AP179" s="46" t="s">
        <v>111</v>
      </c>
      <c r="AQ179" s="46">
        <f t="shared" si="129"/>
        <v>0</v>
      </c>
      <c r="AR179" s="46"/>
      <c r="AS179" s="46"/>
      <c r="AT179" s="46"/>
      <c r="AU179" s="47">
        <f t="shared" si="123"/>
        <v>0</v>
      </c>
      <c r="AV179" s="46"/>
      <c r="AW179" s="47">
        <f t="shared" si="143"/>
        <v>0</v>
      </c>
      <c r="AX179" s="46"/>
      <c r="AY179" s="46"/>
      <c r="AZ179" s="46"/>
      <c r="BA179" s="46"/>
      <c r="BB179" s="46"/>
      <c r="BC179" s="47">
        <f t="shared" si="120"/>
        <v>0</v>
      </c>
      <c r="BD179" s="46"/>
      <c r="BE179" s="47">
        <f t="shared" si="124"/>
        <v>0</v>
      </c>
      <c r="BF179" s="46"/>
      <c r="BG179" s="46"/>
      <c r="BH179" s="46"/>
      <c r="BI179" s="46"/>
      <c r="BJ179" s="46"/>
      <c r="BK179" s="47">
        <f t="shared" si="144"/>
        <v>0</v>
      </c>
      <c r="BL179" s="46"/>
      <c r="BM179" s="47">
        <f t="shared" si="138"/>
        <v>0</v>
      </c>
      <c r="BN179" s="46"/>
      <c r="BO179" s="46"/>
      <c r="BP179" s="46"/>
      <c r="BQ179" s="46"/>
      <c r="BR179" s="46"/>
      <c r="BS179" s="46"/>
      <c r="BT179" s="46"/>
      <c r="BU179" s="47">
        <f t="shared" si="133"/>
        <v>0</v>
      </c>
      <c r="BV179" s="46"/>
      <c r="BW179" s="46"/>
      <c r="BX179" s="46"/>
      <c r="BY179" s="46"/>
      <c r="BZ179" s="46"/>
      <c r="CA179" s="46"/>
      <c r="CB179" s="46"/>
      <c r="CC179" s="47">
        <f t="shared" si="134"/>
        <v>0</v>
      </c>
      <c r="CD179" s="46"/>
      <c r="CE179" s="46"/>
      <c r="CF179" s="46"/>
      <c r="CG179" s="46"/>
      <c r="CH179" s="46"/>
      <c r="CI179" s="46"/>
      <c r="CJ179" s="46"/>
      <c r="CK179" s="47">
        <f t="shared" si="135"/>
        <v>0</v>
      </c>
      <c r="CL179" s="46"/>
      <c r="CM179" s="46"/>
      <c r="CN179" s="46"/>
      <c r="CO179" s="46"/>
      <c r="CP179" s="46">
        <f t="shared" si="136"/>
        <v>0</v>
      </c>
      <c r="CQ179" s="46"/>
      <c r="CR179" s="47">
        <f t="shared" si="139"/>
        <v>0</v>
      </c>
      <c r="CS179" s="46"/>
      <c r="CT179" s="46"/>
      <c r="CU179" s="46"/>
      <c r="CV179" s="46"/>
      <c r="CW179" s="47">
        <f t="shared" si="121"/>
        <v>0</v>
      </c>
      <c r="CX179" s="46"/>
      <c r="CY179" s="47">
        <f t="shared" si="122"/>
        <v>0</v>
      </c>
      <c r="CZ179" s="46"/>
      <c r="DA179" s="46"/>
      <c r="DB179" s="46"/>
      <c r="DC179" s="46"/>
      <c r="DD179" s="47">
        <f t="shared" si="127"/>
        <v>0</v>
      </c>
      <c r="DE179" s="46"/>
      <c r="DF179" s="46">
        <f t="shared" si="128"/>
        <v>0</v>
      </c>
      <c r="DG179" s="46"/>
      <c r="DH179" s="46">
        <f>AQ179/2</f>
        <v>0</v>
      </c>
      <c r="DI179" s="46"/>
      <c r="DJ179" s="46"/>
      <c r="DK179" s="47">
        <f t="shared" si="125"/>
        <v>0</v>
      </c>
      <c r="DL179" s="47">
        <f t="shared" si="104"/>
        <v>0</v>
      </c>
      <c r="DM179" s="46"/>
      <c r="DN179" s="46">
        <f>7.5%*AQ179</f>
        <v>0</v>
      </c>
      <c r="DO179" s="46"/>
      <c r="DP179" s="46">
        <f t="shared" si="137"/>
        <v>0</v>
      </c>
      <c r="DQ179" s="46"/>
      <c r="DR179" s="46">
        <f t="shared" si="140"/>
        <v>0</v>
      </c>
      <c r="DS179" s="46"/>
      <c r="DT179" s="46">
        <f t="shared" si="130"/>
        <v>0</v>
      </c>
      <c r="DU179" s="46"/>
      <c r="DV179" s="46">
        <f t="shared" si="126"/>
        <v>0</v>
      </c>
      <c r="DW179" s="46"/>
      <c r="DX179" s="47">
        <f t="shared" si="114"/>
        <v>0</v>
      </c>
      <c r="DY179" s="46"/>
      <c r="DZ179" s="46"/>
      <c r="EA179" s="47"/>
      <c r="EB179" s="46"/>
      <c r="EC179" s="46"/>
      <c r="ED179" s="46"/>
      <c r="EE179" s="47">
        <f t="shared" si="118"/>
        <v>0</v>
      </c>
      <c r="EF179" s="46"/>
      <c r="EG179" s="46"/>
      <c r="EH179" s="46"/>
      <c r="EI179" s="46"/>
      <c r="EJ179" s="46"/>
      <c r="EK179" s="47">
        <f t="shared" si="105"/>
        <v>0</v>
      </c>
      <c r="EL179" s="46">
        <f t="shared" si="106"/>
        <v>0</v>
      </c>
      <c r="EM179" s="46"/>
      <c r="EN179" s="46">
        <f t="shared" si="107"/>
        <v>0</v>
      </c>
    </row>
    <row r="180" spans="2:144" s="48" customFormat="1" ht="15" customHeight="1" x14ac:dyDescent="0.25">
      <c r="B180" s="41">
        <v>27</v>
      </c>
      <c r="C180" s="42"/>
      <c r="D180" s="43"/>
      <c r="E180" s="42"/>
      <c r="F180" s="42"/>
      <c r="G180" s="42"/>
      <c r="H180" s="42"/>
      <c r="I180" s="42"/>
      <c r="J180" s="42"/>
      <c r="K180" s="42"/>
      <c r="L180" s="42"/>
      <c r="M180" s="42"/>
      <c r="N180" s="41"/>
      <c r="O180" s="41"/>
      <c r="P180" s="42"/>
      <c r="Q180" s="45"/>
      <c r="R180" s="45"/>
      <c r="S180" s="42"/>
      <c r="T180" s="46"/>
      <c r="U180" s="46"/>
      <c r="V180" s="42"/>
      <c r="W180" s="42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>
        <f t="shared" si="100"/>
        <v>0</v>
      </c>
      <c r="AO180" s="47">
        <f t="shared" si="101"/>
        <v>0</v>
      </c>
      <c r="AP180" s="46" t="s">
        <v>118</v>
      </c>
      <c r="AQ180" s="46">
        <f t="shared" si="129"/>
        <v>0</v>
      </c>
      <c r="AR180" s="46"/>
      <c r="AS180" s="46"/>
      <c r="AT180" s="46"/>
      <c r="AU180" s="47">
        <f t="shared" si="123"/>
        <v>0</v>
      </c>
      <c r="AV180" s="46"/>
      <c r="AW180" s="47">
        <f t="shared" si="143"/>
        <v>0</v>
      </c>
      <c r="AX180" s="46"/>
      <c r="AY180" s="46"/>
      <c r="AZ180" s="46"/>
      <c r="BA180" s="46"/>
      <c r="BB180" s="46"/>
      <c r="BC180" s="47">
        <f t="shared" si="120"/>
        <v>0</v>
      </c>
      <c r="BD180" s="46"/>
      <c r="BE180" s="47">
        <f t="shared" si="124"/>
        <v>0</v>
      </c>
      <c r="BF180" s="46"/>
      <c r="BG180" s="46"/>
      <c r="BH180" s="46"/>
      <c r="BI180" s="46"/>
      <c r="BJ180" s="46"/>
      <c r="BK180" s="47">
        <f t="shared" si="144"/>
        <v>0</v>
      </c>
      <c r="BL180" s="46"/>
      <c r="BM180" s="47">
        <f t="shared" si="138"/>
        <v>0</v>
      </c>
      <c r="BN180" s="46"/>
      <c r="BO180" s="46"/>
      <c r="BP180" s="46"/>
      <c r="BQ180" s="46"/>
      <c r="BR180" s="46"/>
      <c r="BS180" s="46"/>
      <c r="BT180" s="46"/>
      <c r="BU180" s="47">
        <f t="shared" si="133"/>
        <v>0</v>
      </c>
      <c r="BV180" s="46"/>
      <c r="BW180" s="46"/>
      <c r="BX180" s="46"/>
      <c r="BY180" s="46"/>
      <c r="BZ180" s="46"/>
      <c r="CA180" s="46"/>
      <c r="CB180" s="46"/>
      <c r="CC180" s="47">
        <f t="shared" si="134"/>
        <v>0</v>
      </c>
      <c r="CD180" s="46"/>
      <c r="CE180" s="46"/>
      <c r="CF180" s="46"/>
      <c r="CG180" s="46"/>
      <c r="CH180" s="46"/>
      <c r="CI180" s="46"/>
      <c r="CJ180" s="46"/>
      <c r="CK180" s="47">
        <f t="shared" si="135"/>
        <v>0</v>
      </c>
      <c r="CL180" s="46"/>
      <c r="CM180" s="46"/>
      <c r="CN180" s="46"/>
      <c r="CO180" s="46"/>
      <c r="CP180" s="46">
        <f t="shared" si="136"/>
        <v>0</v>
      </c>
      <c r="CQ180" s="46"/>
      <c r="CR180" s="47">
        <f t="shared" si="139"/>
        <v>0</v>
      </c>
      <c r="CS180" s="46"/>
      <c r="CT180" s="46"/>
      <c r="CU180" s="46"/>
      <c r="CV180" s="46"/>
      <c r="CW180" s="47">
        <f t="shared" si="121"/>
        <v>0</v>
      </c>
      <c r="CX180" s="46"/>
      <c r="CY180" s="47">
        <f t="shared" si="122"/>
        <v>0</v>
      </c>
      <c r="CZ180" s="46"/>
      <c r="DA180" s="46"/>
      <c r="DB180" s="46"/>
      <c r="DC180" s="46"/>
      <c r="DD180" s="47">
        <f t="shared" si="127"/>
        <v>0</v>
      </c>
      <c r="DE180" s="46"/>
      <c r="DF180" s="46">
        <f t="shared" si="128"/>
        <v>0</v>
      </c>
      <c r="DG180" s="46"/>
      <c r="DH180" s="46"/>
      <c r="DI180" s="46"/>
      <c r="DJ180" s="46"/>
      <c r="DK180" s="47">
        <f t="shared" si="125"/>
        <v>0</v>
      </c>
      <c r="DL180" s="47">
        <f t="shared" si="104"/>
        <v>0</v>
      </c>
      <c r="DM180" s="46"/>
      <c r="DN180" s="46"/>
      <c r="DO180" s="46"/>
      <c r="DP180" s="46">
        <f t="shared" si="137"/>
        <v>0</v>
      </c>
      <c r="DQ180" s="46"/>
      <c r="DR180" s="46">
        <f t="shared" si="140"/>
        <v>0</v>
      </c>
      <c r="DS180" s="46"/>
      <c r="DT180" s="46">
        <f t="shared" si="130"/>
        <v>0</v>
      </c>
      <c r="DU180" s="46"/>
      <c r="DV180" s="46">
        <f t="shared" si="126"/>
        <v>0</v>
      </c>
      <c r="DW180" s="46"/>
      <c r="DX180" s="47">
        <f t="shared" si="114"/>
        <v>0</v>
      </c>
      <c r="DY180" s="46"/>
      <c r="DZ180" s="46"/>
      <c r="EA180" s="46"/>
      <c r="EB180" s="46"/>
      <c r="EC180" s="46"/>
      <c r="ED180" s="46"/>
      <c r="EE180" s="47">
        <f t="shared" si="118"/>
        <v>0</v>
      </c>
      <c r="EF180" s="46"/>
      <c r="EG180" s="46"/>
      <c r="EH180" s="46"/>
      <c r="EI180" s="46"/>
      <c r="EJ180" s="46"/>
      <c r="EK180" s="47">
        <f t="shared" si="105"/>
        <v>0</v>
      </c>
      <c r="EL180" s="46">
        <f t="shared" si="106"/>
        <v>0</v>
      </c>
      <c r="EM180" s="46"/>
      <c r="EN180" s="46">
        <f t="shared" si="107"/>
        <v>0</v>
      </c>
    </row>
    <row r="181" spans="2:144" s="51" customFormat="1" ht="15" customHeight="1" x14ac:dyDescent="0.25">
      <c r="B181" s="41">
        <v>28</v>
      </c>
      <c r="C181" s="97"/>
      <c r="D181" s="98"/>
      <c r="E181" s="42"/>
      <c r="F181" s="52"/>
      <c r="G181" s="52"/>
      <c r="H181" s="52"/>
      <c r="I181" s="52"/>
      <c r="J181" s="52"/>
      <c r="K181" s="52"/>
      <c r="L181" s="52"/>
      <c r="M181" s="52"/>
      <c r="N181" s="54"/>
      <c r="O181" s="54"/>
      <c r="P181" s="52"/>
      <c r="Q181" s="55"/>
      <c r="R181" s="55"/>
      <c r="S181" s="55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47">
        <f t="shared" si="100"/>
        <v>0</v>
      </c>
      <c r="AO181" s="46">
        <f t="shared" si="101"/>
        <v>0</v>
      </c>
      <c r="AP181" s="56" t="s">
        <v>111</v>
      </c>
      <c r="AQ181" s="46">
        <f t="shared" si="129"/>
        <v>0</v>
      </c>
      <c r="AR181" s="56"/>
      <c r="AS181" s="56"/>
      <c r="AT181" s="56"/>
      <c r="AU181" s="47">
        <f t="shared" si="123"/>
        <v>0</v>
      </c>
      <c r="AV181" s="56"/>
      <c r="AW181" s="47">
        <f>AQ181+AR181+AU181+AV181</f>
        <v>0</v>
      </c>
      <c r="AX181" s="56"/>
      <c r="AY181" s="46"/>
      <c r="AZ181" s="56"/>
      <c r="BA181" s="56"/>
      <c r="BB181" s="56"/>
      <c r="BC181" s="47">
        <f t="shared" si="120"/>
        <v>0</v>
      </c>
      <c r="BD181" s="56"/>
      <c r="BE181" s="47">
        <f t="shared" si="124"/>
        <v>0</v>
      </c>
      <c r="BF181" s="56"/>
      <c r="BG181" s="56"/>
      <c r="BH181" s="56"/>
      <c r="BI181" s="56"/>
      <c r="BJ181" s="56"/>
      <c r="BK181" s="56"/>
      <c r="BL181" s="56"/>
      <c r="BM181" s="46">
        <f>BK181</f>
        <v>0</v>
      </c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7">
        <f t="shared" si="136"/>
        <v>0</v>
      </c>
      <c r="CQ181" s="56"/>
      <c r="CR181" s="47">
        <f t="shared" si="139"/>
        <v>0</v>
      </c>
      <c r="CS181" s="56"/>
      <c r="CT181" s="56"/>
      <c r="CU181" s="56"/>
      <c r="CV181" s="56"/>
      <c r="CW181" s="47">
        <f t="shared" si="121"/>
        <v>0</v>
      </c>
      <c r="CX181" s="46"/>
      <c r="CY181" s="47">
        <f t="shared" si="122"/>
        <v>0</v>
      </c>
      <c r="CZ181" s="56"/>
      <c r="DA181" s="56"/>
      <c r="DB181" s="56"/>
      <c r="DC181" s="56"/>
      <c r="DD181" s="47">
        <f t="shared" si="127"/>
        <v>0</v>
      </c>
      <c r="DE181" s="56"/>
      <c r="DF181" s="46">
        <f t="shared" si="128"/>
        <v>0</v>
      </c>
      <c r="DG181" s="56"/>
      <c r="DH181" s="46">
        <f>AQ181/2</f>
        <v>0</v>
      </c>
      <c r="DI181" s="56"/>
      <c r="DJ181" s="56"/>
      <c r="DK181" s="47">
        <f t="shared" si="125"/>
        <v>0</v>
      </c>
      <c r="DL181" s="47">
        <f t="shared" si="104"/>
        <v>0</v>
      </c>
      <c r="DM181" s="56"/>
      <c r="DN181" s="46">
        <f>7.5%*AQ181</f>
        <v>0</v>
      </c>
      <c r="DO181" s="56"/>
      <c r="DP181" s="46">
        <f>10%*AQ181</f>
        <v>0</v>
      </c>
      <c r="DQ181" s="56"/>
      <c r="DR181" s="46">
        <f t="shared" si="140"/>
        <v>0</v>
      </c>
      <c r="DS181" s="56"/>
      <c r="DT181" s="46">
        <f>75%*DR181</f>
        <v>0</v>
      </c>
      <c r="DU181" s="56"/>
      <c r="DV181" s="46">
        <f t="shared" si="126"/>
        <v>0</v>
      </c>
      <c r="DW181" s="56"/>
      <c r="DX181" s="47">
        <f t="shared" si="114"/>
        <v>0</v>
      </c>
      <c r="DY181" s="56"/>
      <c r="DZ181" s="56"/>
      <c r="EA181" s="56"/>
      <c r="EB181" s="56"/>
      <c r="EC181" s="56"/>
      <c r="ED181" s="56"/>
      <c r="EE181" s="47">
        <f t="shared" si="118"/>
        <v>0</v>
      </c>
      <c r="EF181" s="56"/>
      <c r="EG181" s="56"/>
      <c r="EH181" s="56"/>
      <c r="EI181" s="56"/>
      <c r="EJ181" s="56"/>
      <c r="EK181" s="47">
        <f t="shared" si="105"/>
        <v>0</v>
      </c>
      <c r="EL181" s="46">
        <f t="shared" si="106"/>
        <v>0</v>
      </c>
      <c r="EM181" s="56"/>
      <c r="EN181" s="61">
        <f t="shared" si="107"/>
        <v>0</v>
      </c>
    </row>
    <row r="182" spans="2:144" s="48" customFormat="1" ht="15" customHeight="1" x14ac:dyDescent="0.25">
      <c r="B182" s="41">
        <v>29</v>
      </c>
      <c r="C182" s="42"/>
      <c r="D182" s="43"/>
      <c r="E182" s="42"/>
      <c r="F182" s="42"/>
      <c r="G182" s="42"/>
      <c r="H182" s="42"/>
      <c r="I182" s="42"/>
      <c r="J182" s="42"/>
      <c r="K182" s="42"/>
      <c r="L182" s="42"/>
      <c r="M182" s="42"/>
      <c r="N182" s="41"/>
      <c r="O182" s="41"/>
      <c r="P182" s="42"/>
      <c r="Q182" s="45"/>
      <c r="R182" s="45"/>
      <c r="S182" s="42"/>
      <c r="T182" s="46"/>
      <c r="U182" s="46"/>
      <c r="V182" s="42"/>
      <c r="W182" s="42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>
        <f t="shared" si="100"/>
        <v>0</v>
      </c>
      <c r="AO182" s="47">
        <f t="shared" si="101"/>
        <v>0</v>
      </c>
      <c r="AP182" s="46" t="s">
        <v>114</v>
      </c>
      <c r="AQ182" s="46">
        <f t="shared" si="129"/>
        <v>0</v>
      </c>
      <c r="AR182" s="46"/>
      <c r="AS182" s="46"/>
      <c r="AT182" s="46"/>
      <c r="AU182" s="47">
        <f t="shared" si="123"/>
        <v>0</v>
      </c>
      <c r="AV182" s="46"/>
      <c r="AW182" s="47">
        <f t="shared" ref="AW182:AW200" si="145">AQ182+AU182+AV182</f>
        <v>0</v>
      </c>
      <c r="AX182" s="46"/>
      <c r="AY182" s="46"/>
      <c r="AZ182" s="46"/>
      <c r="BA182" s="46"/>
      <c r="BB182" s="46"/>
      <c r="BC182" s="47">
        <f t="shared" si="120"/>
        <v>0</v>
      </c>
      <c r="BD182" s="46"/>
      <c r="BE182" s="47">
        <f t="shared" si="124"/>
        <v>0</v>
      </c>
      <c r="BF182" s="46"/>
      <c r="BG182" s="46"/>
      <c r="BH182" s="46"/>
      <c r="BI182" s="46"/>
      <c r="BJ182" s="46"/>
      <c r="BK182" s="47">
        <f t="shared" ref="BK182:BK196" si="146">+BI182*BJ182</f>
        <v>0</v>
      </c>
      <c r="BL182" s="46"/>
      <c r="BM182" s="47">
        <f t="shared" ref="BM182:BM200" si="147">+BG182+BH182+BK182+BL182</f>
        <v>0</v>
      </c>
      <c r="BN182" s="46"/>
      <c r="BO182" s="46"/>
      <c r="BP182" s="46"/>
      <c r="BQ182" s="46"/>
      <c r="BR182" s="46"/>
      <c r="BS182" s="46"/>
      <c r="BT182" s="46"/>
      <c r="BU182" s="47">
        <f t="shared" ref="BU182:BU196" si="148">+BO182+BP182+BS182+BT182</f>
        <v>0</v>
      </c>
      <c r="BV182" s="46"/>
      <c r="BW182" s="46"/>
      <c r="BX182" s="46"/>
      <c r="BY182" s="46"/>
      <c r="BZ182" s="46"/>
      <c r="CA182" s="46"/>
      <c r="CB182" s="46"/>
      <c r="CC182" s="47">
        <f t="shared" ref="CC182:CC196" si="149">+BW182+BX182+CA182+CB182</f>
        <v>0</v>
      </c>
      <c r="CD182" s="46"/>
      <c r="CE182" s="46"/>
      <c r="CF182" s="46"/>
      <c r="CG182" s="46"/>
      <c r="CH182" s="46"/>
      <c r="CI182" s="46"/>
      <c r="CJ182" s="46"/>
      <c r="CK182" s="47">
        <f t="shared" ref="CK182:CK196" si="150">+CE182+CF182+CI182+CJ182</f>
        <v>0</v>
      </c>
      <c r="CL182" s="46"/>
      <c r="CM182" s="46"/>
      <c r="CN182" s="46"/>
      <c r="CO182" s="46"/>
      <c r="CP182" s="46">
        <f t="shared" si="136"/>
        <v>0</v>
      </c>
      <c r="CQ182" s="46"/>
      <c r="CR182" s="47">
        <f t="shared" si="139"/>
        <v>0</v>
      </c>
      <c r="CS182" s="46"/>
      <c r="CT182" s="46"/>
      <c r="CU182" s="46"/>
      <c r="CV182" s="46"/>
      <c r="CW182" s="47">
        <f t="shared" si="121"/>
        <v>0</v>
      </c>
      <c r="CX182" s="46"/>
      <c r="CY182" s="47">
        <f t="shared" si="122"/>
        <v>0</v>
      </c>
      <c r="CZ182" s="46"/>
      <c r="DA182" s="46"/>
      <c r="DB182" s="46"/>
      <c r="DC182" s="46"/>
      <c r="DD182" s="47">
        <f t="shared" si="127"/>
        <v>0</v>
      </c>
      <c r="DE182" s="46"/>
      <c r="DF182" s="46">
        <f t="shared" si="128"/>
        <v>0</v>
      </c>
      <c r="DG182" s="46"/>
      <c r="DH182" s="46"/>
      <c r="DI182" s="46"/>
      <c r="DJ182" s="46"/>
      <c r="DK182" s="47">
        <f t="shared" si="125"/>
        <v>0</v>
      </c>
      <c r="DL182" s="47">
        <f t="shared" si="104"/>
        <v>0</v>
      </c>
      <c r="DM182" s="46"/>
      <c r="DN182" s="46"/>
      <c r="DO182" s="46"/>
      <c r="DP182" s="46"/>
      <c r="DQ182" s="46"/>
      <c r="DR182" s="46">
        <f t="shared" si="140"/>
        <v>0</v>
      </c>
      <c r="DS182" s="46"/>
      <c r="DT182" s="46">
        <f t="shared" ref="DT182:DT200" si="151">75%*DP182</f>
        <v>0</v>
      </c>
      <c r="DU182" s="46"/>
      <c r="DV182" s="46">
        <f t="shared" si="126"/>
        <v>0</v>
      </c>
      <c r="DW182" s="46"/>
      <c r="DX182" s="47">
        <f t="shared" si="114"/>
        <v>0</v>
      </c>
      <c r="DY182" s="46"/>
      <c r="DZ182" s="46"/>
      <c r="EA182" s="46"/>
      <c r="EB182" s="46"/>
      <c r="EC182" s="46"/>
      <c r="ED182" s="46"/>
      <c r="EE182" s="47">
        <f t="shared" si="118"/>
        <v>0</v>
      </c>
      <c r="EF182" s="46"/>
      <c r="EG182" s="46"/>
      <c r="EH182" s="46"/>
      <c r="EI182" s="46"/>
      <c r="EJ182" s="46"/>
      <c r="EK182" s="47">
        <f t="shared" si="105"/>
        <v>0</v>
      </c>
      <c r="EL182" s="46">
        <f t="shared" si="106"/>
        <v>0</v>
      </c>
      <c r="EM182" s="46"/>
      <c r="EN182" s="46">
        <f t="shared" si="107"/>
        <v>0</v>
      </c>
    </row>
    <row r="183" spans="2:144" s="48" customFormat="1" ht="15" customHeight="1" x14ac:dyDescent="0.25">
      <c r="B183" s="41">
        <v>31</v>
      </c>
      <c r="C183" s="42"/>
      <c r="D183" s="43"/>
      <c r="E183" s="42"/>
      <c r="F183" s="42"/>
      <c r="G183" s="42"/>
      <c r="H183" s="42"/>
      <c r="I183" s="42"/>
      <c r="J183" s="42"/>
      <c r="K183" s="42"/>
      <c r="L183" s="42"/>
      <c r="M183" s="42"/>
      <c r="N183" s="41"/>
      <c r="O183" s="41"/>
      <c r="P183" s="42"/>
      <c r="Q183" s="45"/>
      <c r="R183" s="45"/>
      <c r="S183" s="42"/>
      <c r="T183" s="46"/>
      <c r="U183" s="46"/>
      <c r="V183" s="42"/>
      <c r="W183" s="42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>
        <f t="shared" si="100"/>
        <v>0</v>
      </c>
      <c r="AO183" s="47">
        <f t="shared" si="101"/>
        <v>0</v>
      </c>
      <c r="AP183" s="46" t="s">
        <v>120</v>
      </c>
      <c r="AQ183" s="46">
        <f t="shared" si="129"/>
        <v>0</v>
      </c>
      <c r="AR183" s="46"/>
      <c r="AS183" s="46"/>
      <c r="AT183" s="46"/>
      <c r="AU183" s="47">
        <f t="shared" si="123"/>
        <v>0</v>
      </c>
      <c r="AV183" s="46"/>
      <c r="AW183" s="47">
        <f t="shared" si="145"/>
        <v>0</v>
      </c>
      <c r="AX183" s="46"/>
      <c r="AY183" s="46"/>
      <c r="AZ183" s="46"/>
      <c r="BA183" s="46"/>
      <c r="BB183" s="46"/>
      <c r="BC183" s="47">
        <f t="shared" si="120"/>
        <v>0</v>
      </c>
      <c r="BD183" s="46"/>
      <c r="BE183" s="47">
        <f t="shared" si="124"/>
        <v>0</v>
      </c>
      <c r="BF183" s="46"/>
      <c r="BG183" s="46"/>
      <c r="BH183" s="46"/>
      <c r="BI183" s="46"/>
      <c r="BJ183" s="46"/>
      <c r="BK183" s="47">
        <f t="shared" si="146"/>
        <v>0</v>
      </c>
      <c r="BL183" s="46"/>
      <c r="BM183" s="47">
        <f t="shared" si="147"/>
        <v>0</v>
      </c>
      <c r="BN183" s="46"/>
      <c r="BO183" s="46"/>
      <c r="BP183" s="46"/>
      <c r="BQ183" s="46"/>
      <c r="BR183" s="46"/>
      <c r="BS183" s="46"/>
      <c r="BT183" s="46"/>
      <c r="BU183" s="47">
        <f t="shared" si="148"/>
        <v>0</v>
      </c>
      <c r="BV183" s="46"/>
      <c r="BW183" s="46"/>
      <c r="BX183" s="46"/>
      <c r="BY183" s="46"/>
      <c r="BZ183" s="46"/>
      <c r="CA183" s="46"/>
      <c r="CB183" s="46"/>
      <c r="CC183" s="47">
        <f t="shared" si="149"/>
        <v>0</v>
      </c>
      <c r="CD183" s="46"/>
      <c r="CE183" s="46"/>
      <c r="CF183" s="46"/>
      <c r="CG183" s="46"/>
      <c r="CH183" s="46"/>
      <c r="CI183" s="46"/>
      <c r="CJ183" s="46"/>
      <c r="CK183" s="47">
        <f t="shared" si="150"/>
        <v>0</v>
      </c>
      <c r="CL183" s="46"/>
      <c r="CM183" s="46"/>
      <c r="CN183" s="46"/>
      <c r="CO183" s="46"/>
      <c r="CP183" s="46">
        <f t="shared" si="136"/>
        <v>0</v>
      </c>
      <c r="CQ183" s="46"/>
      <c r="CR183" s="47">
        <f t="shared" si="139"/>
        <v>0</v>
      </c>
      <c r="CS183" s="46"/>
      <c r="CT183" s="46"/>
      <c r="CU183" s="46"/>
      <c r="CV183" s="46"/>
      <c r="CW183" s="47">
        <f t="shared" si="121"/>
        <v>0</v>
      </c>
      <c r="CX183" s="46"/>
      <c r="CY183" s="47">
        <f t="shared" si="122"/>
        <v>0</v>
      </c>
      <c r="CZ183" s="46"/>
      <c r="DA183" s="46"/>
      <c r="DB183" s="46"/>
      <c r="DC183" s="46"/>
      <c r="DD183" s="47">
        <f t="shared" si="127"/>
        <v>0</v>
      </c>
      <c r="DE183" s="46"/>
      <c r="DF183" s="46">
        <f t="shared" si="128"/>
        <v>0</v>
      </c>
      <c r="DG183" s="46"/>
      <c r="DH183" s="46">
        <f>AQ183/2</f>
        <v>0</v>
      </c>
      <c r="DI183" s="46"/>
      <c r="DJ183" s="46"/>
      <c r="DK183" s="47">
        <f t="shared" si="125"/>
        <v>0</v>
      </c>
      <c r="DL183" s="47">
        <f t="shared" si="104"/>
        <v>0</v>
      </c>
      <c r="DM183" s="46"/>
      <c r="DN183" s="46">
        <f>7.5%*AQ183</f>
        <v>0</v>
      </c>
      <c r="DO183" s="46"/>
      <c r="DP183" s="46">
        <f>10%*AQ183</f>
        <v>0</v>
      </c>
      <c r="DQ183" s="46"/>
      <c r="DR183" s="46">
        <f t="shared" si="140"/>
        <v>0</v>
      </c>
      <c r="DS183" s="46"/>
      <c r="DT183" s="46">
        <f t="shared" si="151"/>
        <v>0</v>
      </c>
      <c r="DU183" s="46"/>
      <c r="DV183" s="46">
        <f t="shared" si="126"/>
        <v>0</v>
      </c>
      <c r="DW183" s="46"/>
      <c r="DX183" s="47">
        <f t="shared" si="114"/>
        <v>0</v>
      </c>
      <c r="DY183" s="46"/>
      <c r="DZ183" s="46"/>
      <c r="EA183" s="46"/>
      <c r="EB183" s="46"/>
      <c r="EC183" s="46"/>
      <c r="ED183" s="46"/>
      <c r="EE183" s="47">
        <f t="shared" si="118"/>
        <v>0</v>
      </c>
      <c r="EF183" s="46"/>
      <c r="EG183" s="46"/>
      <c r="EH183" s="46"/>
      <c r="EI183" s="46"/>
      <c r="EJ183" s="46"/>
      <c r="EK183" s="47">
        <f t="shared" si="105"/>
        <v>0</v>
      </c>
      <c r="EL183" s="46">
        <f t="shared" si="106"/>
        <v>0</v>
      </c>
      <c r="EM183" s="46"/>
      <c r="EN183" s="46">
        <f t="shared" si="107"/>
        <v>0</v>
      </c>
    </row>
    <row r="184" spans="2:144" s="48" customFormat="1" ht="15" customHeight="1" x14ac:dyDescent="0.25">
      <c r="B184" s="41">
        <v>32</v>
      </c>
      <c r="C184" s="42"/>
      <c r="D184" s="43"/>
      <c r="E184" s="42"/>
      <c r="F184" s="42"/>
      <c r="G184" s="42"/>
      <c r="H184" s="42"/>
      <c r="I184" s="42"/>
      <c r="J184" s="42"/>
      <c r="K184" s="42"/>
      <c r="L184" s="42"/>
      <c r="M184" s="42"/>
      <c r="N184" s="41"/>
      <c r="O184" s="41"/>
      <c r="P184" s="42"/>
      <c r="Q184" s="45"/>
      <c r="R184" s="45"/>
      <c r="S184" s="42"/>
      <c r="T184" s="46"/>
      <c r="U184" s="46"/>
      <c r="V184" s="42"/>
      <c r="W184" s="42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>
        <f t="shared" si="100"/>
        <v>0</v>
      </c>
      <c r="AO184" s="47">
        <f t="shared" si="101"/>
        <v>0</v>
      </c>
      <c r="AP184" s="46" t="s">
        <v>112</v>
      </c>
      <c r="AQ184" s="46">
        <f t="shared" si="129"/>
        <v>0</v>
      </c>
      <c r="AR184" s="46"/>
      <c r="AS184" s="46"/>
      <c r="AT184" s="46"/>
      <c r="AU184" s="47">
        <f t="shared" si="123"/>
        <v>0</v>
      </c>
      <c r="AV184" s="46"/>
      <c r="AW184" s="47">
        <f t="shared" si="145"/>
        <v>0</v>
      </c>
      <c r="AX184" s="46"/>
      <c r="AY184" s="46"/>
      <c r="AZ184" s="46"/>
      <c r="BA184" s="46"/>
      <c r="BB184" s="46"/>
      <c r="BC184" s="47">
        <f t="shared" si="120"/>
        <v>0</v>
      </c>
      <c r="BD184" s="46"/>
      <c r="BE184" s="47">
        <f t="shared" si="124"/>
        <v>0</v>
      </c>
      <c r="BF184" s="46"/>
      <c r="BG184" s="46"/>
      <c r="BH184" s="46"/>
      <c r="BI184" s="46"/>
      <c r="BJ184" s="46"/>
      <c r="BK184" s="47">
        <f t="shared" si="146"/>
        <v>0</v>
      </c>
      <c r="BL184" s="46"/>
      <c r="BM184" s="47">
        <f t="shared" si="147"/>
        <v>0</v>
      </c>
      <c r="BN184" s="46"/>
      <c r="BO184" s="46"/>
      <c r="BP184" s="46"/>
      <c r="BQ184" s="46"/>
      <c r="BR184" s="46"/>
      <c r="BS184" s="46"/>
      <c r="BT184" s="46"/>
      <c r="BU184" s="47">
        <f t="shared" si="148"/>
        <v>0</v>
      </c>
      <c r="BV184" s="46"/>
      <c r="BW184" s="46"/>
      <c r="BX184" s="46"/>
      <c r="BY184" s="46"/>
      <c r="BZ184" s="46"/>
      <c r="CA184" s="46"/>
      <c r="CB184" s="46"/>
      <c r="CC184" s="47">
        <f t="shared" si="149"/>
        <v>0</v>
      </c>
      <c r="CD184" s="46"/>
      <c r="CE184" s="46"/>
      <c r="CF184" s="46"/>
      <c r="CG184" s="46"/>
      <c r="CH184" s="46"/>
      <c r="CI184" s="46"/>
      <c r="CJ184" s="46"/>
      <c r="CK184" s="47">
        <f t="shared" si="150"/>
        <v>0</v>
      </c>
      <c r="CL184" s="46"/>
      <c r="CM184" s="46"/>
      <c r="CN184" s="46"/>
      <c r="CO184" s="46"/>
      <c r="CP184" s="46">
        <f t="shared" si="136"/>
        <v>0</v>
      </c>
      <c r="CQ184" s="46"/>
      <c r="CR184" s="47">
        <f t="shared" si="139"/>
        <v>0</v>
      </c>
      <c r="CS184" s="46"/>
      <c r="CT184" s="46"/>
      <c r="CU184" s="46"/>
      <c r="CV184" s="46"/>
      <c r="CW184" s="47">
        <f t="shared" si="121"/>
        <v>0</v>
      </c>
      <c r="CX184" s="46"/>
      <c r="CY184" s="47">
        <f t="shared" si="122"/>
        <v>0</v>
      </c>
      <c r="CZ184" s="46"/>
      <c r="DA184" s="46"/>
      <c r="DB184" s="46"/>
      <c r="DC184" s="46"/>
      <c r="DD184" s="47">
        <f t="shared" si="127"/>
        <v>0</v>
      </c>
      <c r="DE184" s="46"/>
      <c r="DF184" s="46">
        <f t="shared" si="128"/>
        <v>0</v>
      </c>
      <c r="DG184" s="46"/>
      <c r="DH184" s="46">
        <f>AQ184/2</f>
        <v>0</v>
      </c>
      <c r="DI184" s="46"/>
      <c r="DJ184" s="46"/>
      <c r="DK184" s="47">
        <f t="shared" si="125"/>
        <v>0</v>
      </c>
      <c r="DL184" s="47">
        <f t="shared" si="104"/>
        <v>0</v>
      </c>
      <c r="DM184" s="46"/>
      <c r="DN184" s="46">
        <f>7.5%*AQ184</f>
        <v>0</v>
      </c>
      <c r="DO184" s="46"/>
      <c r="DP184" s="46">
        <f>10%*AQ184</f>
        <v>0</v>
      </c>
      <c r="DQ184" s="46"/>
      <c r="DR184" s="46">
        <f t="shared" si="140"/>
        <v>0</v>
      </c>
      <c r="DS184" s="46"/>
      <c r="DT184" s="46">
        <f t="shared" si="151"/>
        <v>0</v>
      </c>
      <c r="DU184" s="46"/>
      <c r="DV184" s="46">
        <f t="shared" si="126"/>
        <v>0</v>
      </c>
      <c r="DW184" s="46"/>
      <c r="DX184" s="47">
        <f t="shared" si="114"/>
        <v>0</v>
      </c>
      <c r="DY184" s="46"/>
      <c r="DZ184" s="46"/>
      <c r="EA184" s="46"/>
      <c r="EB184" s="46"/>
      <c r="EC184" s="46"/>
      <c r="ED184" s="46"/>
      <c r="EE184" s="47">
        <f t="shared" si="118"/>
        <v>0</v>
      </c>
      <c r="EF184" s="46"/>
      <c r="EG184" s="46"/>
      <c r="EH184" s="46"/>
      <c r="EI184" s="46"/>
      <c r="EJ184" s="46"/>
      <c r="EK184" s="47">
        <f t="shared" si="105"/>
        <v>0</v>
      </c>
      <c r="EL184" s="46">
        <f t="shared" si="106"/>
        <v>0</v>
      </c>
      <c r="EM184" s="46"/>
      <c r="EN184" s="46">
        <f t="shared" si="107"/>
        <v>0</v>
      </c>
    </row>
    <row r="185" spans="2:144" s="48" customFormat="1" ht="15" customHeight="1" x14ac:dyDescent="0.25">
      <c r="B185" s="41">
        <v>33</v>
      </c>
      <c r="C185" s="42"/>
      <c r="D185" s="43"/>
      <c r="E185" s="42"/>
      <c r="F185" s="42"/>
      <c r="G185" s="42"/>
      <c r="H185" s="42"/>
      <c r="I185" s="42"/>
      <c r="J185" s="42"/>
      <c r="K185" s="42"/>
      <c r="L185" s="42"/>
      <c r="M185" s="42"/>
      <c r="N185" s="41"/>
      <c r="O185" s="41"/>
      <c r="P185" s="42"/>
      <c r="Q185" s="45"/>
      <c r="R185" s="45"/>
      <c r="S185" s="42"/>
      <c r="T185" s="46"/>
      <c r="U185" s="46"/>
      <c r="V185" s="42"/>
      <c r="W185" s="42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>
        <f t="shared" si="100"/>
        <v>0</v>
      </c>
      <c r="AO185" s="47">
        <f t="shared" si="101"/>
        <v>0</v>
      </c>
      <c r="AP185" s="46" t="s">
        <v>119</v>
      </c>
      <c r="AQ185" s="46">
        <f t="shared" si="129"/>
        <v>0</v>
      </c>
      <c r="AR185" s="46"/>
      <c r="AS185" s="46"/>
      <c r="AT185" s="46"/>
      <c r="AU185" s="47">
        <f t="shared" si="123"/>
        <v>0</v>
      </c>
      <c r="AV185" s="46"/>
      <c r="AW185" s="47">
        <f t="shared" si="145"/>
        <v>0</v>
      </c>
      <c r="AX185" s="46"/>
      <c r="AY185" s="46"/>
      <c r="AZ185" s="46"/>
      <c r="BA185" s="46"/>
      <c r="BB185" s="46"/>
      <c r="BC185" s="47">
        <f t="shared" si="120"/>
        <v>0</v>
      </c>
      <c r="BD185" s="46"/>
      <c r="BE185" s="47">
        <f t="shared" si="124"/>
        <v>0</v>
      </c>
      <c r="BF185" s="46"/>
      <c r="BG185" s="46"/>
      <c r="BH185" s="46"/>
      <c r="BI185" s="46"/>
      <c r="BJ185" s="46"/>
      <c r="BK185" s="47">
        <f t="shared" si="146"/>
        <v>0</v>
      </c>
      <c r="BL185" s="46"/>
      <c r="BM185" s="47">
        <f t="shared" si="147"/>
        <v>0</v>
      </c>
      <c r="BN185" s="46"/>
      <c r="BO185" s="46"/>
      <c r="BP185" s="46"/>
      <c r="BQ185" s="46"/>
      <c r="BR185" s="46"/>
      <c r="BS185" s="46"/>
      <c r="BT185" s="46"/>
      <c r="BU185" s="47">
        <f t="shared" si="148"/>
        <v>0</v>
      </c>
      <c r="BV185" s="46"/>
      <c r="BW185" s="46"/>
      <c r="BX185" s="46"/>
      <c r="BY185" s="46"/>
      <c r="BZ185" s="46"/>
      <c r="CA185" s="46"/>
      <c r="CB185" s="46"/>
      <c r="CC185" s="47">
        <f t="shared" si="149"/>
        <v>0</v>
      </c>
      <c r="CD185" s="46"/>
      <c r="CE185" s="46"/>
      <c r="CF185" s="46"/>
      <c r="CG185" s="46"/>
      <c r="CH185" s="46"/>
      <c r="CI185" s="46"/>
      <c r="CJ185" s="46"/>
      <c r="CK185" s="47">
        <f t="shared" si="150"/>
        <v>0</v>
      </c>
      <c r="CL185" s="46"/>
      <c r="CM185" s="46"/>
      <c r="CN185" s="46"/>
      <c r="CO185" s="46"/>
      <c r="CP185" s="46">
        <f t="shared" si="136"/>
        <v>0</v>
      </c>
      <c r="CQ185" s="46"/>
      <c r="CR185" s="47">
        <f t="shared" si="139"/>
        <v>0</v>
      </c>
      <c r="CS185" s="46"/>
      <c r="CT185" s="46"/>
      <c r="CU185" s="46"/>
      <c r="CV185" s="46"/>
      <c r="CW185" s="47">
        <f t="shared" si="121"/>
        <v>0</v>
      </c>
      <c r="CX185" s="46"/>
      <c r="CY185" s="47">
        <f t="shared" si="122"/>
        <v>0</v>
      </c>
      <c r="CZ185" s="46"/>
      <c r="DA185" s="46"/>
      <c r="DB185" s="46"/>
      <c r="DC185" s="46"/>
      <c r="DD185" s="47">
        <f t="shared" si="127"/>
        <v>0</v>
      </c>
      <c r="DE185" s="46"/>
      <c r="DF185" s="46">
        <f t="shared" si="128"/>
        <v>0</v>
      </c>
      <c r="DG185" s="46"/>
      <c r="DH185" s="46">
        <f>AQ185/2</f>
        <v>0</v>
      </c>
      <c r="DI185" s="46"/>
      <c r="DJ185" s="46"/>
      <c r="DK185" s="47">
        <f t="shared" si="125"/>
        <v>0</v>
      </c>
      <c r="DL185" s="47">
        <f t="shared" si="104"/>
        <v>0</v>
      </c>
      <c r="DM185" s="46"/>
      <c r="DN185" s="46">
        <f>7.5%*AQ185</f>
        <v>0</v>
      </c>
      <c r="DO185" s="46"/>
      <c r="DP185" s="46">
        <f>10%*AQ185</f>
        <v>0</v>
      </c>
      <c r="DQ185" s="46"/>
      <c r="DR185" s="46">
        <f t="shared" si="140"/>
        <v>0</v>
      </c>
      <c r="DS185" s="46"/>
      <c r="DT185" s="46">
        <f t="shared" si="151"/>
        <v>0</v>
      </c>
      <c r="DU185" s="46"/>
      <c r="DV185" s="46">
        <f t="shared" si="126"/>
        <v>0</v>
      </c>
      <c r="DW185" s="46"/>
      <c r="DX185" s="47">
        <f t="shared" si="114"/>
        <v>0</v>
      </c>
      <c r="DY185" s="46"/>
      <c r="DZ185" s="46"/>
      <c r="EA185" s="46"/>
      <c r="EB185" s="46"/>
      <c r="EC185" s="46"/>
      <c r="ED185" s="46"/>
      <c r="EE185" s="47">
        <f t="shared" si="118"/>
        <v>0</v>
      </c>
      <c r="EF185" s="46"/>
      <c r="EG185" s="46"/>
      <c r="EH185" s="46"/>
      <c r="EI185" s="46"/>
      <c r="EJ185" s="46"/>
      <c r="EK185" s="47">
        <f t="shared" si="105"/>
        <v>0</v>
      </c>
      <c r="EL185" s="46">
        <f t="shared" si="106"/>
        <v>0</v>
      </c>
      <c r="EM185" s="46"/>
      <c r="EN185" s="46">
        <f t="shared" si="107"/>
        <v>0</v>
      </c>
    </row>
    <row r="186" spans="2:144" s="48" customFormat="1" x14ac:dyDescent="0.25">
      <c r="B186" s="41">
        <v>34</v>
      </c>
      <c r="C186" s="42"/>
      <c r="D186" s="43"/>
      <c r="E186" s="42"/>
      <c r="F186" s="42"/>
      <c r="G186" s="42"/>
      <c r="H186" s="42"/>
      <c r="I186" s="42"/>
      <c r="J186" s="42"/>
      <c r="K186" s="42"/>
      <c r="L186" s="42"/>
      <c r="M186" s="42"/>
      <c r="N186" s="41"/>
      <c r="O186" s="41"/>
      <c r="P186" s="42"/>
      <c r="Q186" s="45"/>
      <c r="R186" s="45"/>
      <c r="S186" s="42"/>
      <c r="T186" s="46"/>
      <c r="U186" s="46"/>
      <c r="V186" s="42"/>
      <c r="W186" s="42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>
        <f t="shared" si="100"/>
        <v>0</v>
      </c>
      <c r="AO186" s="47">
        <f t="shared" si="101"/>
        <v>0</v>
      </c>
      <c r="AP186" s="46" t="s">
        <v>114</v>
      </c>
      <c r="AQ186" s="46">
        <f t="shared" si="129"/>
        <v>0</v>
      </c>
      <c r="AR186" s="46"/>
      <c r="AS186" s="46"/>
      <c r="AT186" s="46"/>
      <c r="AU186" s="47">
        <f t="shared" si="123"/>
        <v>0</v>
      </c>
      <c r="AV186" s="46"/>
      <c r="AW186" s="47">
        <f t="shared" si="145"/>
        <v>0</v>
      </c>
      <c r="AX186" s="46"/>
      <c r="AY186" s="46"/>
      <c r="AZ186" s="46"/>
      <c r="BA186" s="46"/>
      <c r="BB186" s="46"/>
      <c r="BC186" s="47">
        <f t="shared" si="120"/>
        <v>0</v>
      </c>
      <c r="BD186" s="46"/>
      <c r="BE186" s="47">
        <f t="shared" si="124"/>
        <v>0</v>
      </c>
      <c r="BF186" s="46"/>
      <c r="BG186" s="46"/>
      <c r="BH186" s="46"/>
      <c r="BI186" s="46"/>
      <c r="BJ186" s="46"/>
      <c r="BK186" s="47">
        <f t="shared" si="146"/>
        <v>0</v>
      </c>
      <c r="BL186" s="46"/>
      <c r="BM186" s="47">
        <f t="shared" si="147"/>
        <v>0</v>
      </c>
      <c r="BN186" s="46"/>
      <c r="BO186" s="46"/>
      <c r="BP186" s="46"/>
      <c r="BQ186" s="46"/>
      <c r="BR186" s="46"/>
      <c r="BS186" s="46"/>
      <c r="BT186" s="46"/>
      <c r="BU186" s="47">
        <f t="shared" si="148"/>
        <v>0</v>
      </c>
      <c r="BV186" s="46"/>
      <c r="BW186" s="46"/>
      <c r="BX186" s="46"/>
      <c r="BY186" s="46"/>
      <c r="BZ186" s="46"/>
      <c r="CA186" s="46"/>
      <c r="CB186" s="46"/>
      <c r="CC186" s="47">
        <f t="shared" si="149"/>
        <v>0</v>
      </c>
      <c r="CD186" s="46"/>
      <c r="CE186" s="46"/>
      <c r="CF186" s="46"/>
      <c r="CG186" s="46"/>
      <c r="CH186" s="46"/>
      <c r="CI186" s="46"/>
      <c r="CJ186" s="46"/>
      <c r="CK186" s="47">
        <f t="shared" si="150"/>
        <v>0</v>
      </c>
      <c r="CL186" s="46"/>
      <c r="CM186" s="46"/>
      <c r="CN186" s="46"/>
      <c r="CO186" s="46"/>
      <c r="CP186" s="46">
        <f t="shared" si="136"/>
        <v>0</v>
      </c>
      <c r="CQ186" s="46"/>
      <c r="CR186" s="47">
        <f t="shared" si="139"/>
        <v>0</v>
      </c>
      <c r="CS186" s="46"/>
      <c r="CT186" s="46"/>
      <c r="CU186" s="46"/>
      <c r="CV186" s="46"/>
      <c r="CW186" s="47">
        <f t="shared" si="121"/>
        <v>0</v>
      </c>
      <c r="CX186" s="46"/>
      <c r="CY186" s="47">
        <f t="shared" si="122"/>
        <v>0</v>
      </c>
      <c r="CZ186" s="46"/>
      <c r="DA186" s="46"/>
      <c r="DB186" s="46"/>
      <c r="DC186" s="46"/>
      <c r="DD186" s="47">
        <f t="shared" si="127"/>
        <v>0</v>
      </c>
      <c r="DE186" s="46"/>
      <c r="DF186" s="46">
        <f t="shared" si="128"/>
        <v>0</v>
      </c>
      <c r="DG186" s="46"/>
      <c r="DH186" s="46"/>
      <c r="DI186" s="46"/>
      <c r="DJ186" s="46"/>
      <c r="DK186" s="47">
        <f t="shared" si="125"/>
        <v>0</v>
      </c>
      <c r="DL186" s="47">
        <f t="shared" si="104"/>
        <v>0</v>
      </c>
      <c r="DM186" s="46"/>
      <c r="DN186" s="46"/>
      <c r="DO186" s="46"/>
      <c r="DP186" s="46"/>
      <c r="DQ186" s="46"/>
      <c r="DR186" s="46">
        <f t="shared" si="140"/>
        <v>0</v>
      </c>
      <c r="DS186" s="46"/>
      <c r="DT186" s="46">
        <f t="shared" si="151"/>
        <v>0</v>
      </c>
      <c r="DU186" s="46"/>
      <c r="DV186" s="46">
        <f t="shared" si="126"/>
        <v>0</v>
      </c>
      <c r="DW186" s="46"/>
      <c r="DX186" s="47">
        <f t="shared" si="114"/>
        <v>0</v>
      </c>
      <c r="DY186" s="46"/>
      <c r="DZ186" s="46"/>
      <c r="EA186" s="46"/>
      <c r="EB186" s="46"/>
      <c r="EC186" s="46"/>
      <c r="ED186" s="46"/>
      <c r="EE186" s="47">
        <f t="shared" si="118"/>
        <v>0</v>
      </c>
      <c r="EF186" s="46"/>
      <c r="EG186" s="46"/>
      <c r="EH186" s="46"/>
      <c r="EI186" s="46"/>
      <c r="EJ186" s="46"/>
      <c r="EK186" s="47">
        <f t="shared" si="105"/>
        <v>0</v>
      </c>
      <c r="EL186" s="46">
        <f t="shared" si="106"/>
        <v>0</v>
      </c>
      <c r="EM186" s="46"/>
      <c r="EN186" s="46">
        <f t="shared" si="107"/>
        <v>0</v>
      </c>
    </row>
    <row r="187" spans="2:144" s="80" customFormat="1" ht="15" customHeight="1" x14ac:dyDescent="0.25">
      <c r="B187" s="76">
        <v>35</v>
      </c>
      <c r="C187" s="42"/>
      <c r="D187" s="43"/>
      <c r="E187" s="42"/>
      <c r="F187" s="74"/>
      <c r="G187" s="74"/>
      <c r="H187" s="74"/>
      <c r="I187" s="74"/>
      <c r="J187" s="74"/>
      <c r="K187" s="74"/>
      <c r="L187" s="74"/>
      <c r="M187" s="74"/>
      <c r="N187" s="76"/>
      <c r="O187" s="76"/>
      <c r="P187" s="74"/>
      <c r="Q187" s="77"/>
      <c r="R187" s="77"/>
      <c r="S187" s="74"/>
      <c r="T187" s="78"/>
      <c r="U187" s="78"/>
      <c r="V187" s="74"/>
      <c r="W187" s="74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>
        <f t="shared" si="100"/>
        <v>0</v>
      </c>
      <c r="AO187" s="79">
        <f t="shared" si="101"/>
        <v>0</v>
      </c>
      <c r="AP187" s="78" t="s">
        <v>111</v>
      </c>
      <c r="AQ187" s="78">
        <f t="shared" si="129"/>
        <v>0</v>
      </c>
      <c r="AR187" s="78"/>
      <c r="AS187" s="78"/>
      <c r="AT187" s="78"/>
      <c r="AU187" s="79">
        <f t="shared" si="123"/>
        <v>0</v>
      </c>
      <c r="AV187" s="78"/>
      <c r="AW187" s="79">
        <f t="shared" si="145"/>
        <v>0</v>
      </c>
      <c r="AX187" s="78"/>
      <c r="AY187" s="78"/>
      <c r="AZ187" s="78"/>
      <c r="BA187" s="78"/>
      <c r="BB187" s="78"/>
      <c r="BC187" s="79">
        <f t="shared" si="120"/>
        <v>0</v>
      </c>
      <c r="BD187" s="78"/>
      <c r="BE187" s="79">
        <f t="shared" si="124"/>
        <v>0</v>
      </c>
      <c r="BF187" s="78"/>
      <c r="BG187" s="78"/>
      <c r="BH187" s="78"/>
      <c r="BI187" s="78"/>
      <c r="BJ187" s="78"/>
      <c r="BK187" s="79">
        <f t="shared" si="146"/>
        <v>0</v>
      </c>
      <c r="BL187" s="78"/>
      <c r="BM187" s="79">
        <f t="shared" si="147"/>
        <v>0</v>
      </c>
      <c r="BN187" s="78"/>
      <c r="BO187" s="78"/>
      <c r="BP187" s="78"/>
      <c r="BQ187" s="78"/>
      <c r="BR187" s="78"/>
      <c r="BS187" s="78"/>
      <c r="BT187" s="78"/>
      <c r="BU187" s="79">
        <f t="shared" si="148"/>
        <v>0</v>
      </c>
      <c r="BV187" s="78"/>
      <c r="BW187" s="78"/>
      <c r="BX187" s="78"/>
      <c r="BY187" s="78"/>
      <c r="BZ187" s="78"/>
      <c r="CA187" s="78"/>
      <c r="CB187" s="78"/>
      <c r="CC187" s="79">
        <f t="shared" si="149"/>
        <v>0</v>
      </c>
      <c r="CD187" s="78"/>
      <c r="CE187" s="78"/>
      <c r="CF187" s="78"/>
      <c r="CG187" s="78"/>
      <c r="CH187" s="78"/>
      <c r="CI187" s="78"/>
      <c r="CJ187" s="78"/>
      <c r="CK187" s="79">
        <f t="shared" si="150"/>
        <v>0</v>
      </c>
      <c r="CL187" s="78"/>
      <c r="CM187" s="78"/>
      <c r="CN187" s="78"/>
      <c r="CO187" s="78"/>
      <c r="CP187" s="78">
        <f t="shared" si="136"/>
        <v>0</v>
      </c>
      <c r="CQ187" s="78"/>
      <c r="CR187" s="79">
        <f t="shared" si="139"/>
        <v>0</v>
      </c>
      <c r="CS187" s="78"/>
      <c r="CT187" s="78"/>
      <c r="CU187" s="78"/>
      <c r="CV187" s="78"/>
      <c r="CW187" s="79">
        <f t="shared" si="121"/>
        <v>0</v>
      </c>
      <c r="CX187" s="78"/>
      <c r="CY187" s="79">
        <f t="shared" si="122"/>
        <v>0</v>
      </c>
      <c r="CZ187" s="78"/>
      <c r="DA187" s="78"/>
      <c r="DB187" s="78"/>
      <c r="DC187" s="78"/>
      <c r="DD187" s="79">
        <f t="shared" si="127"/>
        <v>0</v>
      </c>
      <c r="DE187" s="78"/>
      <c r="DF187" s="78">
        <f t="shared" si="128"/>
        <v>0</v>
      </c>
      <c r="DG187" s="78"/>
      <c r="DH187" s="78">
        <f>AQ187/2</f>
        <v>0</v>
      </c>
      <c r="DI187" s="78"/>
      <c r="DJ187" s="78"/>
      <c r="DK187" s="79">
        <f t="shared" si="125"/>
        <v>0</v>
      </c>
      <c r="DL187" s="79">
        <f t="shared" si="104"/>
        <v>0</v>
      </c>
      <c r="DM187" s="78"/>
      <c r="DN187" s="78">
        <f>7.5%*AQ187</f>
        <v>0</v>
      </c>
      <c r="DO187" s="78"/>
      <c r="DP187" s="78">
        <f>10%*AQ187</f>
        <v>0</v>
      </c>
      <c r="DR187" s="78">
        <f t="shared" si="140"/>
        <v>0</v>
      </c>
      <c r="DT187" s="78">
        <f t="shared" si="151"/>
        <v>0</v>
      </c>
      <c r="DV187" s="78">
        <f t="shared" si="126"/>
        <v>0</v>
      </c>
      <c r="DW187" s="78"/>
      <c r="DX187" s="79">
        <f t="shared" si="114"/>
        <v>0</v>
      </c>
      <c r="DY187" s="78"/>
      <c r="DZ187" s="78"/>
      <c r="EA187" s="78"/>
      <c r="EB187" s="78"/>
      <c r="EC187" s="78"/>
      <c r="ED187" s="78"/>
      <c r="EE187" s="79">
        <f t="shared" si="118"/>
        <v>0</v>
      </c>
      <c r="EF187" s="78"/>
      <c r="EG187" s="78"/>
      <c r="EH187" s="78"/>
      <c r="EI187" s="78"/>
      <c r="EJ187" s="78"/>
      <c r="EK187" s="79">
        <f t="shared" si="105"/>
        <v>0</v>
      </c>
      <c r="EL187" s="78">
        <f t="shared" si="106"/>
        <v>0</v>
      </c>
      <c r="EM187" s="78"/>
      <c r="EN187" s="78">
        <f t="shared" si="107"/>
        <v>0</v>
      </c>
    </row>
    <row r="188" spans="2:144" s="48" customFormat="1" ht="15" customHeight="1" x14ac:dyDescent="0.25">
      <c r="B188" s="41">
        <v>36</v>
      </c>
      <c r="C188" s="42"/>
      <c r="D188" s="43"/>
      <c r="E188" s="42"/>
      <c r="F188" s="42"/>
      <c r="G188" s="42"/>
      <c r="H188" s="42"/>
      <c r="I188" s="42"/>
      <c r="J188" s="42"/>
      <c r="K188" s="42"/>
      <c r="L188" s="42"/>
      <c r="M188" s="42"/>
      <c r="N188" s="41"/>
      <c r="O188" s="41"/>
      <c r="P188" s="42"/>
      <c r="Q188" s="45"/>
      <c r="R188" s="45"/>
      <c r="S188" s="42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>
        <f t="shared" si="100"/>
        <v>0</v>
      </c>
      <c r="AO188" s="47">
        <f t="shared" si="101"/>
        <v>0</v>
      </c>
      <c r="AP188" s="46" t="s">
        <v>111</v>
      </c>
      <c r="AQ188" s="46">
        <f t="shared" si="129"/>
        <v>0</v>
      </c>
      <c r="AR188" s="46"/>
      <c r="AS188" s="46"/>
      <c r="AT188" s="46"/>
      <c r="AU188" s="47">
        <f t="shared" si="123"/>
        <v>0</v>
      </c>
      <c r="AV188" s="46"/>
      <c r="AW188" s="47">
        <f t="shared" si="145"/>
        <v>0</v>
      </c>
      <c r="AX188" s="46"/>
      <c r="AY188" s="46"/>
      <c r="AZ188" s="46"/>
      <c r="BA188" s="46"/>
      <c r="BB188" s="46"/>
      <c r="BC188" s="47">
        <f t="shared" si="120"/>
        <v>0</v>
      </c>
      <c r="BD188" s="46"/>
      <c r="BE188" s="47">
        <f t="shared" si="124"/>
        <v>0</v>
      </c>
      <c r="BF188" s="46"/>
      <c r="BG188" s="46"/>
      <c r="BH188" s="46"/>
      <c r="BI188" s="46"/>
      <c r="BJ188" s="46"/>
      <c r="BK188" s="47">
        <f t="shared" si="146"/>
        <v>0</v>
      </c>
      <c r="BL188" s="46"/>
      <c r="BM188" s="47">
        <f t="shared" si="147"/>
        <v>0</v>
      </c>
      <c r="BN188" s="46"/>
      <c r="BO188" s="46"/>
      <c r="BP188" s="46"/>
      <c r="BQ188" s="46"/>
      <c r="BR188" s="46"/>
      <c r="BS188" s="46"/>
      <c r="BT188" s="46"/>
      <c r="BU188" s="47">
        <f t="shared" si="148"/>
        <v>0</v>
      </c>
      <c r="BV188" s="46"/>
      <c r="BW188" s="46"/>
      <c r="BX188" s="46"/>
      <c r="BY188" s="46"/>
      <c r="BZ188" s="46"/>
      <c r="CA188" s="46"/>
      <c r="CB188" s="46"/>
      <c r="CC188" s="47">
        <f t="shared" si="149"/>
        <v>0</v>
      </c>
      <c r="CD188" s="46"/>
      <c r="CE188" s="46"/>
      <c r="CF188" s="46"/>
      <c r="CG188" s="46"/>
      <c r="CH188" s="46"/>
      <c r="CI188" s="46"/>
      <c r="CJ188" s="46"/>
      <c r="CK188" s="47">
        <f t="shared" si="150"/>
        <v>0</v>
      </c>
      <c r="CL188" s="46"/>
      <c r="CM188" s="46"/>
      <c r="CN188" s="46"/>
      <c r="CO188" s="46"/>
      <c r="CP188" s="46">
        <f t="shared" si="136"/>
        <v>0</v>
      </c>
      <c r="CQ188" s="46"/>
      <c r="CR188" s="47">
        <f t="shared" si="139"/>
        <v>0</v>
      </c>
      <c r="CS188" s="46"/>
      <c r="CT188" s="46"/>
      <c r="CU188" s="46"/>
      <c r="CV188" s="46"/>
      <c r="CW188" s="47">
        <f t="shared" si="121"/>
        <v>0</v>
      </c>
      <c r="CX188" s="46"/>
      <c r="CY188" s="47">
        <f t="shared" si="122"/>
        <v>0</v>
      </c>
      <c r="CZ188" s="46"/>
      <c r="DA188" s="46"/>
      <c r="DB188" s="46"/>
      <c r="DC188" s="46"/>
      <c r="DD188" s="47">
        <f t="shared" si="127"/>
        <v>0</v>
      </c>
      <c r="DE188" s="46"/>
      <c r="DF188" s="46">
        <f t="shared" si="128"/>
        <v>0</v>
      </c>
      <c r="DG188" s="46"/>
      <c r="DH188" s="78">
        <f>AQ188/2</f>
        <v>0</v>
      </c>
      <c r="DI188" s="46"/>
      <c r="DJ188" s="46"/>
      <c r="DK188" s="47">
        <f t="shared" si="125"/>
        <v>0</v>
      </c>
      <c r="DL188" s="47">
        <f t="shared" si="104"/>
        <v>0</v>
      </c>
      <c r="DM188" s="46"/>
      <c r="DN188" s="78">
        <f>7.5%*AQ188</f>
        <v>0</v>
      </c>
      <c r="DO188" s="46"/>
      <c r="DP188" s="78">
        <f>10%*AQ188</f>
        <v>0</v>
      </c>
      <c r="DQ188" s="46"/>
      <c r="DR188" s="46">
        <f t="shared" si="140"/>
        <v>0</v>
      </c>
      <c r="DS188" s="46"/>
      <c r="DT188" s="46">
        <f t="shared" si="151"/>
        <v>0</v>
      </c>
      <c r="DU188" s="46"/>
      <c r="DV188" s="46">
        <f t="shared" si="126"/>
        <v>0</v>
      </c>
      <c r="DW188" s="46"/>
      <c r="DX188" s="47">
        <f t="shared" si="114"/>
        <v>0</v>
      </c>
      <c r="DY188" s="46"/>
      <c r="DZ188" s="46"/>
      <c r="EA188" s="46"/>
      <c r="EB188" s="46"/>
      <c r="EC188" s="46"/>
      <c r="ED188" s="46"/>
      <c r="EE188" s="47">
        <f t="shared" si="118"/>
        <v>0</v>
      </c>
      <c r="EF188" s="46"/>
      <c r="EG188" s="46"/>
      <c r="EH188" s="46"/>
      <c r="EI188" s="46"/>
      <c r="EJ188" s="46"/>
      <c r="EK188" s="47">
        <f t="shared" si="105"/>
        <v>0</v>
      </c>
      <c r="EL188" s="46">
        <f t="shared" si="106"/>
        <v>0</v>
      </c>
      <c r="EM188" s="46"/>
      <c r="EN188" s="46">
        <f t="shared" si="107"/>
        <v>0</v>
      </c>
    </row>
    <row r="189" spans="2:144" s="48" customFormat="1" ht="15" customHeight="1" x14ac:dyDescent="0.25">
      <c r="B189" s="41">
        <v>37</v>
      </c>
      <c r="C189" s="42"/>
      <c r="D189" s="43"/>
      <c r="E189" s="42"/>
      <c r="F189" s="42"/>
      <c r="G189" s="42"/>
      <c r="H189" s="42"/>
      <c r="I189" s="42"/>
      <c r="J189" s="42"/>
      <c r="K189" s="42"/>
      <c r="L189" s="42"/>
      <c r="M189" s="42"/>
      <c r="N189" s="41"/>
      <c r="O189" s="41"/>
      <c r="P189" s="42"/>
      <c r="Q189" s="45"/>
      <c r="R189" s="45"/>
      <c r="S189" s="42"/>
      <c r="T189" s="46"/>
      <c r="U189" s="46"/>
      <c r="V189" s="42"/>
      <c r="W189" s="42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>
        <f t="shared" si="100"/>
        <v>0</v>
      </c>
      <c r="AO189" s="46">
        <f t="shared" si="101"/>
        <v>0</v>
      </c>
      <c r="AP189" s="46" t="s">
        <v>118</v>
      </c>
      <c r="AQ189" s="46">
        <f t="shared" si="129"/>
        <v>0</v>
      </c>
      <c r="AR189" s="46"/>
      <c r="AS189" s="46"/>
      <c r="AT189" s="46"/>
      <c r="AU189" s="47">
        <f t="shared" si="123"/>
        <v>0</v>
      </c>
      <c r="AV189" s="46"/>
      <c r="AW189" s="47">
        <f t="shared" si="145"/>
        <v>0</v>
      </c>
      <c r="AX189" s="46"/>
      <c r="AY189" s="46"/>
      <c r="AZ189" s="46"/>
      <c r="BA189" s="46"/>
      <c r="BB189" s="46"/>
      <c r="BC189" s="64">
        <f t="shared" si="120"/>
        <v>0</v>
      </c>
      <c r="BD189" s="46"/>
      <c r="BE189" s="64">
        <f t="shared" si="124"/>
        <v>0</v>
      </c>
      <c r="BF189" s="46"/>
      <c r="BG189" s="46"/>
      <c r="BH189" s="46"/>
      <c r="BI189" s="46"/>
      <c r="BJ189" s="46"/>
      <c r="BK189" s="47">
        <f t="shared" si="146"/>
        <v>0</v>
      </c>
      <c r="BL189" s="46"/>
      <c r="BM189" s="47">
        <f t="shared" si="147"/>
        <v>0</v>
      </c>
      <c r="BN189" s="46"/>
      <c r="BO189" s="46"/>
      <c r="BP189" s="46"/>
      <c r="BQ189" s="46"/>
      <c r="BR189" s="46"/>
      <c r="BS189" s="46"/>
      <c r="BT189" s="46"/>
      <c r="BU189" s="47">
        <f t="shared" si="148"/>
        <v>0</v>
      </c>
      <c r="BV189" s="46"/>
      <c r="BW189" s="46"/>
      <c r="BX189" s="46"/>
      <c r="BY189" s="46"/>
      <c r="BZ189" s="46"/>
      <c r="CA189" s="46"/>
      <c r="CB189" s="46"/>
      <c r="CC189" s="47">
        <f t="shared" si="149"/>
        <v>0</v>
      </c>
      <c r="CD189" s="46"/>
      <c r="CE189" s="46"/>
      <c r="CF189" s="46"/>
      <c r="CG189" s="46"/>
      <c r="CH189" s="46"/>
      <c r="CI189" s="46"/>
      <c r="CJ189" s="46"/>
      <c r="CK189" s="47">
        <f t="shared" si="150"/>
        <v>0</v>
      </c>
      <c r="CL189" s="46"/>
      <c r="CM189" s="46"/>
      <c r="CN189" s="46"/>
      <c r="CO189" s="46"/>
      <c r="CP189" s="46">
        <f t="shared" si="136"/>
        <v>0</v>
      </c>
      <c r="CQ189" s="46"/>
      <c r="CR189" s="47">
        <f t="shared" si="139"/>
        <v>0</v>
      </c>
      <c r="CS189" s="46"/>
      <c r="CT189" s="46"/>
      <c r="CU189" s="46"/>
      <c r="CV189" s="46"/>
      <c r="CW189" s="47">
        <f t="shared" si="121"/>
        <v>0</v>
      </c>
      <c r="CX189" s="46"/>
      <c r="CY189" s="47">
        <f t="shared" si="122"/>
        <v>0</v>
      </c>
      <c r="CZ189" s="46"/>
      <c r="DA189" s="46"/>
      <c r="DB189" s="46"/>
      <c r="DC189" s="46"/>
      <c r="DD189" s="47">
        <f t="shared" si="127"/>
        <v>0</v>
      </c>
      <c r="DE189" s="46"/>
      <c r="DF189" s="46">
        <f t="shared" si="128"/>
        <v>0</v>
      </c>
      <c r="DG189" s="46"/>
      <c r="DH189" s="46"/>
      <c r="DI189" s="46"/>
      <c r="DJ189" s="46"/>
      <c r="DK189" s="47">
        <f t="shared" si="125"/>
        <v>0</v>
      </c>
      <c r="DL189" s="47">
        <f t="shared" si="104"/>
        <v>0</v>
      </c>
      <c r="DM189" s="46"/>
      <c r="DN189" s="46"/>
      <c r="DO189" s="46"/>
      <c r="DP189" s="46">
        <f>DN189</f>
        <v>0</v>
      </c>
      <c r="DQ189" s="46"/>
      <c r="DR189" s="46">
        <f t="shared" si="140"/>
        <v>0</v>
      </c>
      <c r="DS189" s="46"/>
      <c r="DT189" s="46">
        <f t="shared" si="151"/>
        <v>0</v>
      </c>
      <c r="DU189" s="46"/>
      <c r="DV189" s="46">
        <f t="shared" si="126"/>
        <v>0</v>
      </c>
      <c r="DW189" s="46"/>
      <c r="DX189" s="47">
        <f t="shared" si="114"/>
        <v>0</v>
      </c>
      <c r="DY189" s="46"/>
      <c r="DZ189" s="46"/>
      <c r="EA189" s="46"/>
      <c r="EB189" s="46"/>
      <c r="EC189" s="46"/>
      <c r="ED189" s="46"/>
      <c r="EE189" s="47">
        <f t="shared" si="118"/>
        <v>0</v>
      </c>
      <c r="EF189" s="46"/>
      <c r="EG189" s="46"/>
      <c r="EH189" s="46"/>
      <c r="EI189" s="46"/>
      <c r="EJ189" s="46"/>
      <c r="EK189" s="47">
        <f t="shared" si="105"/>
        <v>0</v>
      </c>
      <c r="EL189" s="46">
        <f t="shared" si="106"/>
        <v>0</v>
      </c>
      <c r="EM189" s="46"/>
      <c r="EN189" s="46">
        <f t="shared" si="107"/>
        <v>0</v>
      </c>
    </row>
    <row r="190" spans="2:144" s="48" customFormat="1" x14ac:dyDescent="0.25">
      <c r="B190" s="41">
        <v>38</v>
      </c>
      <c r="C190" s="42"/>
      <c r="D190" s="43"/>
      <c r="E190" s="42"/>
      <c r="F190" s="42"/>
      <c r="G190" s="42"/>
      <c r="H190" s="42"/>
      <c r="I190" s="42"/>
      <c r="J190" s="42"/>
      <c r="K190" s="42"/>
      <c r="L190" s="42"/>
      <c r="M190" s="42"/>
      <c r="N190" s="41"/>
      <c r="O190" s="41"/>
      <c r="P190" s="42"/>
      <c r="Q190" s="45"/>
      <c r="R190" s="45"/>
      <c r="S190" s="42"/>
      <c r="T190" s="46"/>
      <c r="U190" s="46"/>
      <c r="V190" s="42"/>
      <c r="W190" s="42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>
        <f t="shared" si="100"/>
        <v>0</v>
      </c>
      <c r="AO190" s="46">
        <f t="shared" si="101"/>
        <v>0</v>
      </c>
      <c r="AP190" s="46" t="s">
        <v>114</v>
      </c>
      <c r="AQ190" s="46">
        <f t="shared" si="129"/>
        <v>0</v>
      </c>
      <c r="AR190" s="46"/>
      <c r="AS190" s="46"/>
      <c r="AT190" s="46"/>
      <c r="AU190" s="47">
        <f t="shared" si="123"/>
        <v>0</v>
      </c>
      <c r="AV190" s="46"/>
      <c r="AW190" s="47">
        <f t="shared" si="145"/>
        <v>0</v>
      </c>
      <c r="AX190" s="46"/>
      <c r="AY190" s="46"/>
      <c r="AZ190" s="46"/>
      <c r="BA190" s="46"/>
      <c r="BB190" s="46"/>
      <c r="BC190" s="47">
        <f t="shared" si="120"/>
        <v>0</v>
      </c>
      <c r="BD190" s="46"/>
      <c r="BE190" s="47">
        <f t="shared" si="124"/>
        <v>0</v>
      </c>
      <c r="BF190" s="46"/>
      <c r="BG190" s="46"/>
      <c r="BH190" s="46"/>
      <c r="BI190" s="46"/>
      <c r="BJ190" s="46"/>
      <c r="BK190" s="47">
        <f t="shared" si="146"/>
        <v>0</v>
      </c>
      <c r="BL190" s="46"/>
      <c r="BM190" s="47">
        <f t="shared" si="147"/>
        <v>0</v>
      </c>
      <c r="BN190" s="46"/>
      <c r="BO190" s="46"/>
      <c r="BP190" s="46"/>
      <c r="BQ190" s="46"/>
      <c r="BR190" s="46"/>
      <c r="BS190" s="47">
        <f>+BQ190*BR190</f>
        <v>0</v>
      </c>
      <c r="BT190" s="46"/>
      <c r="BU190" s="47">
        <f t="shared" si="148"/>
        <v>0</v>
      </c>
      <c r="BV190" s="46"/>
      <c r="BW190" s="46"/>
      <c r="BX190" s="46"/>
      <c r="BY190" s="46"/>
      <c r="BZ190" s="46"/>
      <c r="CA190" s="46"/>
      <c r="CB190" s="46"/>
      <c r="CC190" s="47">
        <f t="shared" si="149"/>
        <v>0</v>
      </c>
      <c r="CD190" s="46"/>
      <c r="CE190" s="46"/>
      <c r="CF190" s="46"/>
      <c r="CG190" s="46"/>
      <c r="CH190" s="46"/>
      <c r="CI190" s="46"/>
      <c r="CJ190" s="46"/>
      <c r="CK190" s="47">
        <f t="shared" si="150"/>
        <v>0</v>
      </c>
      <c r="CL190" s="46"/>
      <c r="CM190" s="46"/>
      <c r="CN190" s="46"/>
      <c r="CO190" s="46"/>
      <c r="CP190" s="46">
        <f t="shared" si="136"/>
        <v>0</v>
      </c>
      <c r="CQ190" s="46"/>
      <c r="CR190" s="47">
        <f t="shared" si="139"/>
        <v>0</v>
      </c>
      <c r="CS190" s="46"/>
      <c r="CT190" s="46"/>
      <c r="CU190" s="46"/>
      <c r="CV190" s="46"/>
      <c r="CW190" s="47">
        <f t="shared" si="121"/>
        <v>0</v>
      </c>
      <c r="CX190" s="46"/>
      <c r="CY190" s="47">
        <f t="shared" si="122"/>
        <v>0</v>
      </c>
      <c r="CZ190" s="46"/>
      <c r="DA190" s="46"/>
      <c r="DB190" s="46"/>
      <c r="DC190" s="46"/>
      <c r="DD190" s="47">
        <f t="shared" si="127"/>
        <v>0</v>
      </c>
      <c r="DE190" s="46"/>
      <c r="DF190" s="46">
        <f t="shared" si="128"/>
        <v>0</v>
      </c>
      <c r="DG190" s="46"/>
      <c r="DH190" s="46"/>
      <c r="DI190" s="46"/>
      <c r="DJ190" s="46"/>
      <c r="DK190" s="47">
        <f t="shared" si="125"/>
        <v>0</v>
      </c>
      <c r="DL190" s="47">
        <f t="shared" si="104"/>
        <v>0</v>
      </c>
      <c r="DM190" s="46"/>
      <c r="DN190" s="46"/>
      <c r="DO190" s="46"/>
      <c r="DP190" s="90"/>
      <c r="DQ190" s="46"/>
      <c r="DR190" s="46">
        <f t="shared" si="140"/>
        <v>0</v>
      </c>
      <c r="DS190" s="46"/>
      <c r="DT190" s="46">
        <f t="shared" si="151"/>
        <v>0</v>
      </c>
      <c r="DU190" s="46"/>
      <c r="DV190" s="46">
        <f t="shared" si="126"/>
        <v>0</v>
      </c>
      <c r="DW190" s="46"/>
      <c r="DX190" s="47">
        <f t="shared" si="114"/>
        <v>0</v>
      </c>
      <c r="DY190" s="46"/>
      <c r="DZ190" s="46"/>
      <c r="EA190" s="46"/>
      <c r="EB190" s="46"/>
      <c r="EC190" s="46"/>
      <c r="ED190" s="46"/>
      <c r="EE190" s="47">
        <f t="shared" si="118"/>
        <v>0</v>
      </c>
      <c r="EF190" s="46"/>
      <c r="EG190" s="46"/>
      <c r="EH190" s="46"/>
      <c r="EI190" s="46"/>
      <c r="EJ190" s="46"/>
      <c r="EK190" s="47">
        <f t="shared" si="105"/>
        <v>0</v>
      </c>
      <c r="EL190" s="46">
        <f t="shared" si="106"/>
        <v>0</v>
      </c>
      <c r="EM190" s="46"/>
      <c r="EN190" s="46">
        <f t="shared" si="107"/>
        <v>0</v>
      </c>
    </row>
    <row r="191" spans="2:144" s="48" customFormat="1" ht="15" customHeight="1" x14ac:dyDescent="0.25">
      <c r="B191" s="41">
        <v>39</v>
      </c>
      <c r="C191" s="42"/>
      <c r="D191" s="43"/>
      <c r="E191" s="42"/>
      <c r="F191" s="42"/>
      <c r="G191" s="42"/>
      <c r="H191" s="42"/>
      <c r="I191" s="42"/>
      <c r="J191" s="42"/>
      <c r="K191" s="42"/>
      <c r="L191" s="42"/>
      <c r="M191" s="42"/>
      <c r="N191" s="41"/>
      <c r="O191" s="41"/>
      <c r="P191" s="42"/>
      <c r="Q191" s="45"/>
      <c r="R191" s="45"/>
      <c r="S191" s="42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>
        <f t="shared" si="100"/>
        <v>0</v>
      </c>
      <c r="AO191" s="47">
        <f t="shared" si="101"/>
        <v>0</v>
      </c>
      <c r="AP191" s="46" t="s">
        <v>114</v>
      </c>
      <c r="AQ191" s="46">
        <f t="shared" si="129"/>
        <v>0</v>
      </c>
      <c r="AR191" s="46"/>
      <c r="AS191" s="46"/>
      <c r="AT191" s="46"/>
      <c r="AU191" s="47">
        <f t="shared" si="123"/>
        <v>0</v>
      </c>
      <c r="AV191" s="46"/>
      <c r="AW191" s="47">
        <f t="shared" si="145"/>
        <v>0</v>
      </c>
      <c r="AX191" s="46"/>
      <c r="AY191" s="46"/>
      <c r="AZ191" s="46"/>
      <c r="BA191" s="46"/>
      <c r="BB191" s="46"/>
      <c r="BC191" s="47">
        <f t="shared" si="120"/>
        <v>0</v>
      </c>
      <c r="BD191" s="46"/>
      <c r="BE191" s="47">
        <f t="shared" si="124"/>
        <v>0</v>
      </c>
      <c r="BF191" s="46"/>
      <c r="BG191" s="46"/>
      <c r="BH191" s="46"/>
      <c r="BI191" s="46"/>
      <c r="BJ191" s="46"/>
      <c r="BK191" s="47">
        <f t="shared" si="146"/>
        <v>0</v>
      </c>
      <c r="BL191" s="46"/>
      <c r="BM191" s="47">
        <f t="shared" si="147"/>
        <v>0</v>
      </c>
      <c r="BN191" s="46"/>
      <c r="BO191" s="46"/>
      <c r="BP191" s="46"/>
      <c r="BQ191" s="46"/>
      <c r="BR191" s="46"/>
      <c r="BS191" s="46"/>
      <c r="BT191" s="46"/>
      <c r="BU191" s="47">
        <f t="shared" si="148"/>
        <v>0</v>
      </c>
      <c r="BV191" s="46"/>
      <c r="BW191" s="46"/>
      <c r="BX191" s="46"/>
      <c r="BY191" s="46"/>
      <c r="BZ191" s="46"/>
      <c r="CA191" s="46"/>
      <c r="CB191" s="46"/>
      <c r="CC191" s="47">
        <f t="shared" si="149"/>
        <v>0</v>
      </c>
      <c r="CD191" s="46"/>
      <c r="CE191" s="46"/>
      <c r="CF191" s="46"/>
      <c r="CG191" s="46"/>
      <c r="CH191" s="46"/>
      <c r="CI191" s="46"/>
      <c r="CJ191" s="46"/>
      <c r="CK191" s="47">
        <f t="shared" si="150"/>
        <v>0</v>
      </c>
      <c r="CL191" s="46"/>
      <c r="CM191" s="46"/>
      <c r="CN191" s="46"/>
      <c r="CO191" s="46"/>
      <c r="CP191" s="46">
        <f t="shared" si="136"/>
        <v>0</v>
      </c>
      <c r="CQ191" s="46"/>
      <c r="CR191" s="47">
        <f t="shared" si="139"/>
        <v>0</v>
      </c>
      <c r="CS191" s="46"/>
      <c r="CT191" s="46"/>
      <c r="CU191" s="46"/>
      <c r="CV191" s="46"/>
      <c r="CW191" s="47">
        <f t="shared" si="121"/>
        <v>0</v>
      </c>
      <c r="CX191" s="46"/>
      <c r="CY191" s="47">
        <f t="shared" si="122"/>
        <v>0</v>
      </c>
      <c r="CZ191" s="46"/>
      <c r="DA191" s="46"/>
      <c r="DB191" s="46"/>
      <c r="DC191" s="46"/>
      <c r="DD191" s="47">
        <f t="shared" si="127"/>
        <v>0</v>
      </c>
      <c r="DE191" s="46"/>
      <c r="DF191" s="46">
        <f t="shared" si="128"/>
        <v>0</v>
      </c>
      <c r="DG191" s="46"/>
      <c r="DH191" s="46"/>
      <c r="DI191" s="46"/>
      <c r="DJ191" s="46"/>
      <c r="DK191" s="47">
        <f t="shared" si="125"/>
        <v>0</v>
      </c>
      <c r="DL191" s="47">
        <f t="shared" si="104"/>
        <v>0</v>
      </c>
      <c r="DM191" s="46"/>
      <c r="DN191" s="46"/>
      <c r="DO191" s="46"/>
      <c r="DP191" s="46"/>
      <c r="DQ191" s="46"/>
      <c r="DR191" s="46">
        <f t="shared" si="140"/>
        <v>0</v>
      </c>
      <c r="DS191" s="46"/>
      <c r="DT191" s="46">
        <f t="shared" si="151"/>
        <v>0</v>
      </c>
      <c r="DU191" s="46"/>
      <c r="DV191" s="46">
        <f t="shared" si="126"/>
        <v>0</v>
      </c>
      <c r="DW191" s="46"/>
      <c r="DX191" s="47">
        <f t="shared" si="114"/>
        <v>0</v>
      </c>
      <c r="DY191" s="46"/>
      <c r="DZ191" s="46"/>
      <c r="EA191" s="46"/>
      <c r="EB191" s="46"/>
      <c r="EC191" s="46"/>
      <c r="ED191" s="46"/>
      <c r="EE191" s="47">
        <f t="shared" si="118"/>
        <v>0</v>
      </c>
      <c r="EF191" s="46"/>
      <c r="EG191" s="46"/>
      <c r="EH191" s="46"/>
      <c r="EI191" s="46"/>
      <c r="EJ191" s="46"/>
      <c r="EK191" s="47">
        <f t="shared" si="105"/>
        <v>0</v>
      </c>
      <c r="EL191" s="46">
        <f t="shared" si="106"/>
        <v>0</v>
      </c>
      <c r="EM191" s="46"/>
      <c r="EN191" s="46">
        <f t="shared" si="107"/>
        <v>0</v>
      </c>
    </row>
    <row r="192" spans="2:144" s="48" customFormat="1" ht="15" customHeight="1" x14ac:dyDescent="0.25">
      <c r="B192" s="41">
        <v>40</v>
      </c>
      <c r="C192" s="99"/>
      <c r="D192" s="100"/>
      <c r="E192" s="99"/>
      <c r="F192" s="99"/>
      <c r="G192" s="99"/>
      <c r="H192" s="99"/>
      <c r="I192" s="99"/>
      <c r="J192" s="99"/>
      <c r="K192" s="99"/>
      <c r="L192" s="99"/>
      <c r="M192" s="99"/>
      <c r="N192" s="101"/>
      <c r="O192" s="101"/>
      <c r="P192" s="99"/>
      <c r="Q192" s="102"/>
      <c r="R192" s="102"/>
      <c r="S192" s="42"/>
      <c r="T192" s="57"/>
      <c r="U192" s="57"/>
      <c r="V192" s="57"/>
      <c r="W192" s="57"/>
      <c r="X192" s="57"/>
      <c r="Y192" s="57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>
        <f t="shared" si="100"/>
        <v>0</v>
      </c>
      <c r="AO192" s="46">
        <f t="shared" si="101"/>
        <v>0</v>
      </c>
      <c r="AP192" s="46" t="s">
        <v>102</v>
      </c>
      <c r="AQ192" s="46"/>
      <c r="AR192" s="46"/>
      <c r="AS192" s="46"/>
      <c r="AT192" s="46"/>
      <c r="AU192" s="47">
        <f t="shared" si="123"/>
        <v>0</v>
      </c>
      <c r="AV192" s="46"/>
      <c r="AW192" s="47">
        <f t="shared" si="145"/>
        <v>0</v>
      </c>
      <c r="AX192" s="46"/>
      <c r="AY192" s="46"/>
      <c r="AZ192" s="46"/>
      <c r="BA192" s="46"/>
      <c r="BB192" s="46"/>
      <c r="BC192" s="47">
        <f t="shared" si="120"/>
        <v>0</v>
      </c>
      <c r="BD192" s="46"/>
      <c r="BE192" s="47">
        <f t="shared" si="124"/>
        <v>0</v>
      </c>
      <c r="BF192" s="46"/>
      <c r="BG192" s="46"/>
      <c r="BH192" s="46"/>
      <c r="BI192" s="46"/>
      <c r="BJ192" s="46"/>
      <c r="BK192" s="47">
        <f t="shared" si="146"/>
        <v>0</v>
      </c>
      <c r="BL192" s="46"/>
      <c r="BM192" s="47">
        <f t="shared" si="147"/>
        <v>0</v>
      </c>
      <c r="BN192" s="46"/>
      <c r="BO192" s="46"/>
      <c r="BP192" s="46"/>
      <c r="BQ192" s="46"/>
      <c r="BR192" s="46"/>
      <c r="BS192" s="46"/>
      <c r="BT192" s="46"/>
      <c r="BU192" s="47">
        <f t="shared" si="148"/>
        <v>0</v>
      </c>
      <c r="BV192" s="46"/>
      <c r="BW192" s="46"/>
      <c r="BX192" s="46"/>
      <c r="BY192" s="46"/>
      <c r="BZ192" s="46"/>
      <c r="CA192" s="46"/>
      <c r="CB192" s="46"/>
      <c r="CC192" s="47">
        <f t="shared" si="149"/>
        <v>0</v>
      </c>
      <c r="CD192" s="46"/>
      <c r="CE192" s="46"/>
      <c r="CF192" s="46"/>
      <c r="CG192" s="46"/>
      <c r="CH192" s="46"/>
      <c r="CI192" s="46"/>
      <c r="CJ192" s="46"/>
      <c r="CK192" s="47">
        <f t="shared" si="150"/>
        <v>0</v>
      </c>
      <c r="CL192" s="46"/>
      <c r="CM192" s="46"/>
      <c r="CN192" s="46"/>
      <c r="CO192" s="46"/>
      <c r="CP192" s="46">
        <f t="shared" si="136"/>
        <v>0</v>
      </c>
      <c r="CQ192" s="46"/>
      <c r="CR192" s="47">
        <f t="shared" si="139"/>
        <v>0</v>
      </c>
      <c r="CS192" s="46"/>
      <c r="CT192" s="46"/>
      <c r="CU192" s="46"/>
      <c r="CV192" s="46"/>
      <c r="CW192" s="47">
        <f t="shared" si="121"/>
        <v>0</v>
      </c>
      <c r="CX192" s="46"/>
      <c r="CY192" s="47">
        <f t="shared" si="122"/>
        <v>0</v>
      </c>
      <c r="CZ192" s="46"/>
      <c r="DA192" s="46"/>
      <c r="DB192" s="46"/>
      <c r="DC192" s="46"/>
      <c r="DD192" s="47">
        <f t="shared" si="127"/>
        <v>0</v>
      </c>
      <c r="DE192" s="46"/>
      <c r="DF192" s="46">
        <f t="shared" si="128"/>
        <v>0</v>
      </c>
      <c r="DG192" s="46"/>
      <c r="DH192" s="46"/>
      <c r="DI192" s="46"/>
      <c r="DJ192" s="46"/>
      <c r="DK192" s="47">
        <f t="shared" si="125"/>
        <v>0</v>
      </c>
      <c r="DL192" s="47">
        <f t="shared" si="104"/>
        <v>0</v>
      </c>
      <c r="DM192" s="46"/>
      <c r="DN192" s="46"/>
      <c r="DO192" s="46"/>
      <c r="DP192" s="46"/>
      <c r="DQ192" s="46"/>
      <c r="DR192" s="46">
        <f t="shared" si="140"/>
        <v>0</v>
      </c>
      <c r="DS192" s="46"/>
      <c r="DT192" s="46">
        <f t="shared" si="151"/>
        <v>0</v>
      </c>
      <c r="DU192" s="46"/>
      <c r="DV192" s="46">
        <f t="shared" si="126"/>
        <v>0</v>
      </c>
      <c r="DW192" s="46"/>
      <c r="DX192" s="47">
        <f t="shared" si="114"/>
        <v>0</v>
      </c>
      <c r="DY192" s="46"/>
      <c r="DZ192" s="46"/>
      <c r="EA192" s="46"/>
      <c r="EB192" s="46"/>
      <c r="EC192" s="46"/>
      <c r="ED192" s="46"/>
      <c r="EE192" s="47">
        <f t="shared" si="118"/>
        <v>0</v>
      </c>
      <c r="EF192" s="46"/>
      <c r="EG192" s="46"/>
      <c r="EH192" s="46"/>
      <c r="EI192" s="46"/>
      <c r="EJ192" s="46"/>
      <c r="EK192" s="47">
        <f t="shared" si="105"/>
        <v>0</v>
      </c>
      <c r="EL192" s="46">
        <f t="shared" si="106"/>
        <v>0</v>
      </c>
      <c r="EM192" s="46"/>
      <c r="EN192" s="46">
        <f t="shared" si="107"/>
        <v>0</v>
      </c>
    </row>
    <row r="193" spans="1:181" s="48" customFormat="1" ht="15" customHeight="1" x14ac:dyDescent="0.25">
      <c r="B193" s="41">
        <v>41</v>
      </c>
      <c r="C193" s="42"/>
      <c r="D193" s="43"/>
      <c r="E193" s="42"/>
      <c r="F193" s="42"/>
      <c r="G193" s="42"/>
      <c r="H193" s="42"/>
      <c r="I193" s="42"/>
      <c r="J193" s="42"/>
      <c r="K193" s="42"/>
      <c r="L193" s="42"/>
      <c r="M193" s="42"/>
      <c r="N193" s="41"/>
      <c r="O193" s="41"/>
      <c r="P193" s="42"/>
      <c r="Q193" s="45"/>
      <c r="R193" s="45"/>
      <c r="S193" s="42"/>
      <c r="T193" s="46"/>
      <c r="U193" s="46"/>
      <c r="V193" s="42"/>
      <c r="W193" s="42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>
        <f t="shared" si="100"/>
        <v>0</v>
      </c>
      <c r="AO193" s="47">
        <f t="shared" si="101"/>
        <v>0</v>
      </c>
      <c r="AP193" s="46" t="s">
        <v>111</v>
      </c>
      <c r="AQ193" s="46">
        <f t="shared" ref="AQ193:AQ208" si="152">20%*AO193</f>
        <v>0</v>
      </c>
      <c r="AR193" s="46"/>
      <c r="AS193" s="46"/>
      <c r="AT193" s="46"/>
      <c r="AU193" s="47">
        <f t="shared" si="123"/>
        <v>0</v>
      </c>
      <c r="AV193" s="46"/>
      <c r="AW193" s="47">
        <f t="shared" si="145"/>
        <v>0</v>
      </c>
      <c r="AX193" s="46"/>
      <c r="AY193" s="46"/>
      <c r="AZ193" s="46"/>
      <c r="BA193" s="46"/>
      <c r="BB193" s="46"/>
      <c r="BC193" s="47">
        <f t="shared" si="120"/>
        <v>0</v>
      </c>
      <c r="BD193" s="46"/>
      <c r="BE193" s="47">
        <f t="shared" si="124"/>
        <v>0</v>
      </c>
      <c r="BF193" s="46"/>
      <c r="BG193" s="46"/>
      <c r="BH193" s="46"/>
      <c r="BI193" s="46"/>
      <c r="BJ193" s="46"/>
      <c r="BK193" s="47">
        <f t="shared" si="146"/>
        <v>0</v>
      </c>
      <c r="BL193" s="46"/>
      <c r="BM193" s="47">
        <f t="shared" si="147"/>
        <v>0</v>
      </c>
      <c r="BN193" s="46"/>
      <c r="BO193" s="46"/>
      <c r="BP193" s="46"/>
      <c r="BQ193" s="46"/>
      <c r="BR193" s="46"/>
      <c r="BS193" s="47">
        <f>+BQ193*BR193</f>
        <v>0</v>
      </c>
      <c r="BT193" s="46"/>
      <c r="BU193" s="47">
        <f t="shared" si="148"/>
        <v>0</v>
      </c>
      <c r="BV193" s="46"/>
      <c r="BW193" s="46"/>
      <c r="BX193" s="46"/>
      <c r="BY193" s="46"/>
      <c r="BZ193" s="46"/>
      <c r="CA193" s="46"/>
      <c r="CB193" s="46"/>
      <c r="CC193" s="47">
        <f t="shared" si="149"/>
        <v>0</v>
      </c>
      <c r="CD193" s="46"/>
      <c r="CE193" s="46"/>
      <c r="CF193" s="46"/>
      <c r="CG193" s="46"/>
      <c r="CH193" s="46"/>
      <c r="CI193" s="46"/>
      <c r="CJ193" s="46"/>
      <c r="CK193" s="47">
        <f t="shared" si="150"/>
        <v>0</v>
      </c>
      <c r="CL193" s="46"/>
      <c r="CM193" s="46"/>
      <c r="CN193" s="46"/>
      <c r="CO193" s="46"/>
      <c r="CP193" s="46">
        <f t="shared" si="136"/>
        <v>0</v>
      </c>
      <c r="CQ193" s="46"/>
      <c r="CR193" s="47">
        <f t="shared" si="139"/>
        <v>0</v>
      </c>
      <c r="CS193" s="46"/>
      <c r="CT193" s="46"/>
      <c r="CU193" s="46"/>
      <c r="CV193" s="46"/>
      <c r="CW193" s="47">
        <f t="shared" si="121"/>
        <v>0</v>
      </c>
      <c r="CX193" s="46"/>
      <c r="CY193" s="47">
        <f t="shared" si="122"/>
        <v>0</v>
      </c>
      <c r="CZ193" s="46"/>
      <c r="DA193" s="46"/>
      <c r="DB193" s="46"/>
      <c r="DC193" s="46"/>
      <c r="DD193" s="47">
        <f t="shared" si="127"/>
        <v>0</v>
      </c>
      <c r="DE193" s="46"/>
      <c r="DF193" s="46">
        <f t="shared" si="128"/>
        <v>0</v>
      </c>
      <c r="DG193" s="46"/>
      <c r="DH193" s="46">
        <f>AQ193/2</f>
        <v>0</v>
      </c>
      <c r="DI193" s="46"/>
      <c r="DJ193" s="46"/>
      <c r="DK193" s="47">
        <f t="shared" si="125"/>
        <v>0</v>
      </c>
      <c r="DL193" s="47">
        <f t="shared" si="104"/>
        <v>0</v>
      </c>
      <c r="DM193" s="46"/>
      <c r="DN193" s="46">
        <f>7.5%*AQ193</f>
        <v>0</v>
      </c>
      <c r="DO193" s="46"/>
      <c r="DP193" s="46">
        <f>10%*AQ193</f>
        <v>0</v>
      </c>
      <c r="DQ193" s="46"/>
      <c r="DR193" s="46">
        <f t="shared" si="140"/>
        <v>0</v>
      </c>
      <c r="DS193" s="50"/>
      <c r="DT193" s="46">
        <f t="shared" si="151"/>
        <v>0</v>
      </c>
      <c r="DU193" s="46"/>
      <c r="DV193" s="46">
        <f t="shared" si="126"/>
        <v>0</v>
      </c>
      <c r="DW193" s="46"/>
      <c r="DX193" s="47">
        <f t="shared" si="114"/>
        <v>0</v>
      </c>
      <c r="DY193" s="46"/>
      <c r="DZ193" s="46"/>
      <c r="EA193" s="46"/>
      <c r="EB193" s="46"/>
      <c r="EC193" s="46"/>
      <c r="ED193" s="46"/>
      <c r="EE193" s="47">
        <f t="shared" si="118"/>
        <v>0</v>
      </c>
      <c r="EF193" s="46"/>
      <c r="EG193" s="46"/>
      <c r="EH193" s="46"/>
      <c r="EI193" s="46"/>
      <c r="EJ193" s="46"/>
      <c r="EK193" s="47">
        <f t="shared" si="105"/>
        <v>0</v>
      </c>
      <c r="EL193" s="46">
        <f t="shared" si="106"/>
        <v>0</v>
      </c>
      <c r="EM193" s="46"/>
      <c r="EN193" s="46">
        <f t="shared" si="107"/>
        <v>0</v>
      </c>
    </row>
    <row r="194" spans="1:181" s="48" customFormat="1" ht="15" customHeight="1" x14ac:dyDescent="0.25">
      <c r="B194" s="41">
        <v>42</v>
      </c>
      <c r="C194" s="99"/>
      <c r="D194" s="100"/>
      <c r="E194" s="99"/>
      <c r="F194" s="99"/>
      <c r="G194" s="99"/>
      <c r="H194" s="99"/>
      <c r="I194" s="99"/>
      <c r="J194" s="99"/>
      <c r="K194" s="99"/>
      <c r="L194" s="99"/>
      <c r="M194" s="99"/>
      <c r="N194" s="101"/>
      <c r="O194" s="101"/>
      <c r="P194" s="99"/>
      <c r="Q194" s="102"/>
      <c r="R194" s="102"/>
      <c r="S194" s="42"/>
      <c r="T194" s="57"/>
      <c r="U194" s="57"/>
      <c r="V194" s="57"/>
      <c r="W194" s="57"/>
      <c r="X194" s="57"/>
      <c r="Y194" s="57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>
        <f t="shared" si="100"/>
        <v>0</v>
      </c>
      <c r="AO194" s="46">
        <f t="shared" si="101"/>
        <v>0</v>
      </c>
      <c r="AP194" s="46" t="s">
        <v>111</v>
      </c>
      <c r="AQ194" s="46">
        <f t="shared" si="152"/>
        <v>0</v>
      </c>
      <c r="AR194" s="46"/>
      <c r="AS194" s="46"/>
      <c r="AT194" s="46"/>
      <c r="AU194" s="47">
        <f t="shared" si="123"/>
        <v>0</v>
      </c>
      <c r="AV194" s="46"/>
      <c r="AW194" s="47">
        <f t="shared" si="145"/>
        <v>0</v>
      </c>
      <c r="AX194" s="46"/>
      <c r="AY194" s="46"/>
      <c r="AZ194" s="46"/>
      <c r="BA194" s="46"/>
      <c r="BB194" s="46"/>
      <c r="BC194" s="47">
        <f t="shared" si="120"/>
        <v>0</v>
      </c>
      <c r="BD194" s="46"/>
      <c r="BE194" s="47">
        <f t="shared" si="124"/>
        <v>0</v>
      </c>
      <c r="BF194" s="46"/>
      <c r="BG194" s="46"/>
      <c r="BH194" s="46"/>
      <c r="BI194" s="46"/>
      <c r="BJ194" s="46"/>
      <c r="BK194" s="47">
        <f t="shared" si="146"/>
        <v>0</v>
      </c>
      <c r="BL194" s="46"/>
      <c r="BM194" s="47">
        <f t="shared" si="147"/>
        <v>0</v>
      </c>
      <c r="BN194" s="46"/>
      <c r="BO194" s="46"/>
      <c r="BP194" s="46"/>
      <c r="BQ194" s="46"/>
      <c r="BR194" s="46"/>
      <c r="BS194" s="47">
        <f>+BQ194*BR194</f>
        <v>0</v>
      </c>
      <c r="BT194" s="46"/>
      <c r="BU194" s="47">
        <f t="shared" si="148"/>
        <v>0</v>
      </c>
      <c r="BV194" s="46"/>
      <c r="BW194" s="46"/>
      <c r="BX194" s="46"/>
      <c r="BY194" s="46"/>
      <c r="BZ194" s="46"/>
      <c r="CA194" s="46"/>
      <c r="CB194" s="46"/>
      <c r="CC194" s="47">
        <f t="shared" si="149"/>
        <v>0</v>
      </c>
      <c r="CD194" s="46"/>
      <c r="CE194" s="46"/>
      <c r="CF194" s="46"/>
      <c r="CG194" s="46"/>
      <c r="CH194" s="46"/>
      <c r="CI194" s="46"/>
      <c r="CJ194" s="46"/>
      <c r="CK194" s="47">
        <f t="shared" si="150"/>
        <v>0</v>
      </c>
      <c r="CL194" s="46"/>
      <c r="CM194" s="46"/>
      <c r="CN194" s="46"/>
      <c r="CO194" s="46"/>
      <c r="CP194" s="46">
        <f t="shared" si="136"/>
        <v>0</v>
      </c>
      <c r="CQ194" s="46"/>
      <c r="CR194" s="47">
        <f t="shared" si="139"/>
        <v>0</v>
      </c>
      <c r="CS194" s="46"/>
      <c r="CT194" s="46"/>
      <c r="CU194" s="46"/>
      <c r="CV194" s="46"/>
      <c r="CW194" s="47">
        <f t="shared" si="121"/>
        <v>0</v>
      </c>
      <c r="CX194" s="46"/>
      <c r="CY194" s="47">
        <f t="shared" si="122"/>
        <v>0</v>
      </c>
      <c r="CZ194" s="46"/>
      <c r="DA194" s="46"/>
      <c r="DB194" s="46"/>
      <c r="DC194" s="46"/>
      <c r="DD194" s="47">
        <f t="shared" si="127"/>
        <v>0</v>
      </c>
      <c r="DE194" s="46"/>
      <c r="DF194" s="46">
        <f t="shared" si="128"/>
        <v>0</v>
      </c>
      <c r="DG194" s="46"/>
      <c r="DH194" s="46">
        <f>AQ194/2</f>
        <v>0</v>
      </c>
      <c r="DI194" s="46"/>
      <c r="DJ194" s="46"/>
      <c r="DK194" s="47">
        <f t="shared" si="125"/>
        <v>0</v>
      </c>
      <c r="DL194" s="47">
        <f t="shared" si="104"/>
        <v>0</v>
      </c>
      <c r="DM194" s="46"/>
      <c r="DN194" s="46">
        <f>7.5%*AQ194</f>
        <v>0</v>
      </c>
      <c r="DO194" s="46"/>
      <c r="DP194" s="46">
        <f>10%*AQ194</f>
        <v>0</v>
      </c>
      <c r="DQ194" s="46"/>
      <c r="DR194" s="46">
        <f t="shared" si="140"/>
        <v>0</v>
      </c>
      <c r="DS194" s="46"/>
      <c r="DT194" s="46">
        <f t="shared" si="151"/>
        <v>0</v>
      </c>
      <c r="DU194" s="46"/>
      <c r="DV194" s="46">
        <f t="shared" si="126"/>
        <v>0</v>
      </c>
      <c r="DW194" s="46"/>
      <c r="DX194" s="47">
        <f t="shared" si="114"/>
        <v>0</v>
      </c>
      <c r="DY194" s="46"/>
      <c r="DZ194" s="46"/>
      <c r="EA194" s="46"/>
      <c r="EB194" s="46"/>
      <c r="EC194" s="46"/>
      <c r="ED194" s="46"/>
      <c r="EE194" s="47">
        <f t="shared" si="118"/>
        <v>0</v>
      </c>
      <c r="EF194" s="46"/>
      <c r="EG194" s="46"/>
      <c r="EH194" s="46"/>
      <c r="EI194" s="46"/>
      <c r="EJ194" s="46"/>
      <c r="EK194" s="47">
        <f t="shared" si="105"/>
        <v>0</v>
      </c>
      <c r="EL194" s="46">
        <f t="shared" si="106"/>
        <v>0</v>
      </c>
      <c r="EM194" s="46"/>
      <c r="EN194" s="46">
        <f t="shared" si="107"/>
        <v>0</v>
      </c>
    </row>
    <row r="195" spans="1:181" s="48" customFormat="1" ht="15" customHeight="1" x14ac:dyDescent="0.25">
      <c r="B195" s="41">
        <v>43</v>
      </c>
      <c r="C195" s="42"/>
      <c r="D195" s="43"/>
      <c r="E195" s="42"/>
      <c r="F195" s="42"/>
      <c r="G195" s="42"/>
      <c r="H195" s="42"/>
      <c r="I195" s="42"/>
      <c r="J195" s="42"/>
      <c r="K195" s="42"/>
      <c r="L195" s="42"/>
      <c r="M195" s="42"/>
      <c r="N195" s="41"/>
      <c r="O195" s="41"/>
      <c r="P195" s="42"/>
      <c r="Q195" s="45"/>
      <c r="R195" s="45"/>
      <c r="S195" s="42"/>
      <c r="T195" s="46"/>
      <c r="U195" s="46"/>
      <c r="V195" s="42"/>
      <c r="W195" s="42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>
        <f t="shared" si="100"/>
        <v>0</v>
      </c>
      <c r="AO195" s="46">
        <f t="shared" si="101"/>
        <v>0</v>
      </c>
      <c r="AP195" s="46" t="s">
        <v>118</v>
      </c>
      <c r="AQ195" s="46">
        <f t="shared" si="152"/>
        <v>0</v>
      </c>
      <c r="AR195" s="46"/>
      <c r="AS195" s="46"/>
      <c r="AT195" s="46"/>
      <c r="AU195" s="47">
        <f t="shared" si="123"/>
        <v>0</v>
      </c>
      <c r="AV195" s="46"/>
      <c r="AW195" s="47">
        <f t="shared" si="145"/>
        <v>0</v>
      </c>
      <c r="AX195" s="46"/>
      <c r="AY195" s="46"/>
      <c r="AZ195" s="46"/>
      <c r="BA195" s="46"/>
      <c r="BB195" s="46"/>
      <c r="BC195" s="47">
        <f t="shared" si="120"/>
        <v>0</v>
      </c>
      <c r="BD195" s="46"/>
      <c r="BE195" s="47">
        <f t="shared" si="124"/>
        <v>0</v>
      </c>
      <c r="BF195" s="46"/>
      <c r="BG195" s="46"/>
      <c r="BH195" s="46"/>
      <c r="BI195" s="46"/>
      <c r="BJ195" s="46"/>
      <c r="BK195" s="47">
        <f t="shared" si="146"/>
        <v>0</v>
      </c>
      <c r="BL195" s="46"/>
      <c r="BM195" s="47">
        <f t="shared" si="147"/>
        <v>0</v>
      </c>
      <c r="BN195" s="46"/>
      <c r="BO195" s="46"/>
      <c r="BP195" s="46"/>
      <c r="BQ195" s="46"/>
      <c r="BR195" s="46"/>
      <c r="BS195" s="47">
        <f>+BQ195*BR195</f>
        <v>0</v>
      </c>
      <c r="BT195" s="46"/>
      <c r="BU195" s="47">
        <f t="shared" si="148"/>
        <v>0</v>
      </c>
      <c r="BV195" s="46"/>
      <c r="BW195" s="46"/>
      <c r="BX195" s="46"/>
      <c r="BY195" s="46"/>
      <c r="BZ195" s="46"/>
      <c r="CA195" s="46"/>
      <c r="CB195" s="46"/>
      <c r="CC195" s="47">
        <f t="shared" si="149"/>
        <v>0</v>
      </c>
      <c r="CD195" s="46"/>
      <c r="CE195" s="46"/>
      <c r="CF195" s="46"/>
      <c r="CG195" s="46"/>
      <c r="CH195" s="46"/>
      <c r="CI195" s="46"/>
      <c r="CJ195" s="46"/>
      <c r="CK195" s="47">
        <f t="shared" si="150"/>
        <v>0</v>
      </c>
      <c r="CL195" s="46"/>
      <c r="CM195" s="46"/>
      <c r="CN195" s="46"/>
      <c r="CO195" s="46"/>
      <c r="CP195" s="46">
        <f t="shared" si="136"/>
        <v>0</v>
      </c>
      <c r="CQ195" s="46"/>
      <c r="CR195" s="47">
        <f t="shared" si="139"/>
        <v>0</v>
      </c>
      <c r="CS195" s="46"/>
      <c r="CT195" s="46"/>
      <c r="CU195" s="46"/>
      <c r="CV195" s="46"/>
      <c r="CW195" s="47">
        <f t="shared" si="121"/>
        <v>0</v>
      </c>
      <c r="CX195" s="46"/>
      <c r="CY195" s="47">
        <f t="shared" si="122"/>
        <v>0</v>
      </c>
      <c r="CZ195" s="46"/>
      <c r="DA195" s="46"/>
      <c r="DB195" s="46"/>
      <c r="DC195" s="46"/>
      <c r="DD195" s="47">
        <f t="shared" si="127"/>
        <v>0</v>
      </c>
      <c r="DE195" s="46"/>
      <c r="DF195" s="46">
        <f t="shared" si="128"/>
        <v>0</v>
      </c>
      <c r="DG195" s="46"/>
      <c r="DH195" s="46"/>
      <c r="DI195" s="46"/>
      <c r="DJ195" s="46"/>
      <c r="DK195" s="47">
        <f t="shared" si="125"/>
        <v>0</v>
      </c>
      <c r="DL195" s="47">
        <f t="shared" si="104"/>
        <v>0</v>
      </c>
      <c r="DM195" s="46"/>
      <c r="DN195" s="46"/>
      <c r="DO195" s="46"/>
      <c r="DP195" s="46"/>
      <c r="DQ195" s="46"/>
      <c r="DR195" s="46">
        <f t="shared" si="140"/>
        <v>0</v>
      </c>
      <c r="DS195" s="46"/>
      <c r="DT195" s="46">
        <f t="shared" si="151"/>
        <v>0</v>
      </c>
      <c r="DU195" s="46"/>
      <c r="DV195" s="46">
        <f t="shared" si="126"/>
        <v>0</v>
      </c>
      <c r="DW195" s="46"/>
      <c r="DX195" s="47">
        <f t="shared" si="114"/>
        <v>0</v>
      </c>
      <c r="DY195" s="46"/>
      <c r="DZ195" s="46"/>
      <c r="EA195" s="46"/>
      <c r="EB195" s="46"/>
      <c r="EC195" s="46"/>
      <c r="ED195" s="46"/>
      <c r="EE195" s="47">
        <f t="shared" si="118"/>
        <v>0</v>
      </c>
      <c r="EF195" s="46"/>
      <c r="EG195" s="46"/>
      <c r="EH195" s="46"/>
      <c r="EI195" s="46"/>
      <c r="EJ195" s="46"/>
      <c r="EK195" s="47">
        <f t="shared" si="105"/>
        <v>0</v>
      </c>
      <c r="EL195" s="46">
        <f t="shared" si="106"/>
        <v>0</v>
      </c>
      <c r="EM195" s="46"/>
      <c r="EN195" s="46">
        <f t="shared" si="107"/>
        <v>0</v>
      </c>
    </row>
    <row r="196" spans="1:181" s="48" customFormat="1" ht="15" customHeight="1" x14ac:dyDescent="0.25">
      <c r="B196" s="41">
        <v>44</v>
      </c>
      <c r="C196" s="42"/>
      <c r="D196" s="43"/>
      <c r="E196" s="42"/>
      <c r="F196" s="42"/>
      <c r="G196" s="42"/>
      <c r="H196" s="42"/>
      <c r="I196" s="42"/>
      <c r="J196" s="42"/>
      <c r="K196" s="42"/>
      <c r="L196" s="42"/>
      <c r="M196" s="42"/>
      <c r="N196" s="41"/>
      <c r="O196" s="41"/>
      <c r="P196" s="42"/>
      <c r="Q196" s="45"/>
      <c r="R196" s="45"/>
      <c r="S196" s="42"/>
      <c r="T196" s="46"/>
      <c r="U196" s="46"/>
      <c r="V196" s="42"/>
      <c r="W196" s="42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>
        <f t="shared" si="100"/>
        <v>0</v>
      </c>
      <c r="AO196" s="46">
        <f t="shared" si="101"/>
        <v>0</v>
      </c>
      <c r="AP196" s="46" t="s">
        <v>111</v>
      </c>
      <c r="AQ196" s="46">
        <f t="shared" si="152"/>
        <v>0</v>
      </c>
      <c r="AR196" s="46"/>
      <c r="AS196" s="46"/>
      <c r="AT196" s="46"/>
      <c r="AU196" s="47">
        <f t="shared" si="123"/>
        <v>0</v>
      </c>
      <c r="AV196" s="46"/>
      <c r="AW196" s="47">
        <f t="shared" si="145"/>
        <v>0</v>
      </c>
      <c r="AX196" s="46"/>
      <c r="AY196" s="46"/>
      <c r="AZ196" s="46"/>
      <c r="BA196" s="46"/>
      <c r="BB196" s="46"/>
      <c r="BC196" s="47">
        <f t="shared" si="120"/>
        <v>0</v>
      </c>
      <c r="BD196" s="46"/>
      <c r="BE196" s="47">
        <f t="shared" si="124"/>
        <v>0</v>
      </c>
      <c r="BF196" s="46"/>
      <c r="BG196" s="46"/>
      <c r="BH196" s="46"/>
      <c r="BI196" s="46"/>
      <c r="BJ196" s="46"/>
      <c r="BK196" s="47">
        <f t="shared" si="146"/>
        <v>0</v>
      </c>
      <c r="BL196" s="46"/>
      <c r="BM196" s="47">
        <f t="shared" si="147"/>
        <v>0</v>
      </c>
      <c r="BN196" s="46"/>
      <c r="BO196" s="46"/>
      <c r="BP196" s="46"/>
      <c r="BQ196" s="46"/>
      <c r="BR196" s="46"/>
      <c r="BS196" s="46"/>
      <c r="BT196" s="46"/>
      <c r="BU196" s="47">
        <f t="shared" si="148"/>
        <v>0</v>
      </c>
      <c r="BV196" s="46"/>
      <c r="BW196" s="46"/>
      <c r="BX196" s="46"/>
      <c r="BY196" s="46"/>
      <c r="BZ196" s="46"/>
      <c r="CA196" s="46"/>
      <c r="CB196" s="46"/>
      <c r="CC196" s="47">
        <f t="shared" si="149"/>
        <v>0</v>
      </c>
      <c r="CD196" s="46"/>
      <c r="CE196" s="46"/>
      <c r="CF196" s="46"/>
      <c r="CG196" s="46"/>
      <c r="CH196" s="46"/>
      <c r="CI196" s="46"/>
      <c r="CJ196" s="46"/>
      <c r="CK196" s="47">
        <f t="shared" si="150"/>
        <v>0</v>
      </c>
      <c r="CL196" s="46"/>
      <c r="CM196" s="46"/>
      <c r="CN196" s="46"/>
      <c r="CO196" s="46"/>
      <c r="CP196" s="46">
        <f t="shared" si="136"/>
        <v>0</v>
      </c>
      <c r="CQ196" s="46"/>
      <c r="CR196" s="47">
        <f t="shared" si="139"/>
        <v>0</v>
      </c>
      <c r="CS196" s="46"/>
      <c r="CT196" s="46"/>
      <c r="CU196" s="46"/>
      <c r="CV196" s="46"/>
      <c r="CW196" s="47">
        <f t="shared" si="121"/>
        <v>0</v>
      </c>
      <c r="CX196" s="46"/>
      <c r="CY196" s="47">
        <f t="shared" si="122"/>
        <v>0</v>
      </c>
      <c r="CZ196" s="46"/>
      <c r="DA196" s="46"/>
      <c r="DB196" s="46"/>
      <c r="DC196" s="46"/>
      <c r="DD196" s="47">
        <f t="shared" si="127"/>
        <v>0</v>
      </c>
      <c r="DE196" s="46"/>
      <c r="DF196" s="46">
        <f t="shared" si="128"/>
        <v>0</v>
      </c>
      <c r="DG196" s="46"/>
      <c r="DH196" s="46">
        <f>AQ196/2</f>
        <v>0</v>
      </c>
      <c r="DI196" s="46"/>
      <c r="DJ196" s="46"/>
      <c r="DK196" s="47">
        <f t="shared" si="125"/>
        <v>0</v>
      </c>
      <c r="DL196" s="47">
        <f t="shared" si="104"/>
        <v>0</v>
      </c>
      <c r="DM196" s="46"/>
      <c r="DN196" s="46">
        <f>7.5%*AQ196</f>
        <v>0</v>
      </c>
      <c r="DO196" s="46"/>
      <c r="DP196" s="46">
        <f>10%*AQ196</f>
        <v>0</v>
      </c>
      <c r="DQ196" s="46"/>
      <c r="DR196" s="46">
        <f t="shared" si="140"/>
        <v>0</v>
      </c>
      <c r="DS196" s="46"/>
      <c r="DT196" s="46">
        <f t="shared" si="151"/>
        <v>0</v>
      </c>
      <c r="DU196" s="46"/>
      <c r="DV196" s="46">
        <f t="shared" si="126"/>
        <v>0</v>
      </c>
      <c r="DW196" s="46"/>
      <c r="DX196" s="47">
        <f t="shared" si="114"/>
        <v>0</v>
      </c>
      <c r="DY196" s="46"/>
      <c r="DZ196" s="46"/>
      <c r="EA196" s="46"/>
      <c r="EB196" s="46"/>
      <c r="EC196" s="46"/>
      <c r="ED196" s="46"/>
      <c r="EE196" s="47">
        <f t="shared" si="118"/>
        <v>0</v>
      </c>
      <c r="EF196" s="46"/>
      <c r="EG196" s="46"/>
      <c r="EH196" s="46"/>
      <c r="EI196" s="46"/>
      <c r="EJ196" s="46"/>
      <c r="EK196" s="47">
        <f t="shared" si="105"/>
        <v>0</v>
      </c>
      <c r="EL196" s="46">
        <f t="shared" si="106"/>
        <v>0</v>
      </c>
      <c r="EM196" s="46"/>
      <c r="EN196" s="46">
        <f t="shared" si="107"/>
        <v>0</v>
      </c>
      <c r="ER196" s="48" t="s">
        <v>117</v>
      </c>
    </row>
    <row r="197" spans="1:181" s="48" customFormat="1" ht="15" customHeight="1" x14ac:dyDescent="0.25">
      <c r="A197" s="58"/>
      <c r="B197" s="41">
        <v>45</v>
      </c>
      <c r="C197" s="42"/>
      <c r="D197" s="43"/>
      <c r="E197" s="42"/>
      <c r="F197" s="42"/>
      <c r="G197" s="49"/>
      <c r="H197" s="49"/>
      <c r="I197" s="49"/>
      <c r="J197" s="49"/>
      <c r="K197" s="49"/>
      <c r="L197" s="49"/>
      <c r="M197" s="42"/>
      <c r="N197" s="41"/>
      <c r="O197" s="41"/>
      <c r="P197" s="42"/>
      <c r="Q197" s="45"/>
      <c r="R197" s="45"/>
      <c r="S197" s="42"/>
      <c r="T197" s="46"/>
      <c r="U197" s="46"/>
      <c r="V197" s="46"/>
      <c r="W197" s="46"/>
      <c r="X197" s="46"/>
      <c r="Y197" s="46"/>
      <c r="Z197" s="42"/>
      <c r="AA197" s="42"/>
      <c r="AB197" s="42"/>
      <c r="AC197" s="42"/>
      <c r="AD197" s="42"/>
      <c r="AE197" s="42"/>
      <c r="AF197" s="42"/>
      <c r="AG197" s="42"/>
      <c r="AH197" s="42"/>
      <c r="AI197" s="46"/>
      <c r="AJ197" s="42"/>
      <c r="AK197" s="42"/>
      <c r="AL197" s="42"/>
      <c r="AM197" s="42"/>
      <c r="AN197" s="90">
        <f t="shared" ref="AN197:AN260" si="153">+X197+Y197+Z197+AA197+AB197+AC197+AD197+AE197+AF197+AG197+AH197+AI197+AJ197+AL197+AM197</f>
        <v>0</v>
      </c>
      <c r="AO197" s="90">
        <f t="shared" ref="AO197:AO260" si="154">+T197-AN197</f>
        <v>0</v>
      </c>
      <c r="AP197" s="42" t="s">
        <v>111</v>
      </c>
      <c r="AQ197" s="46">
        <f t="shared" si="152"/>
        <v>0</v>
      </c>
      <c r="AR197" s="46"/>
      <c r="AS197" s="42"/>
      <c r="AT197" s="46"/>
      <c r="AU197" s="64">
        <f t="shared" si="123"/>
        <v>0</v>
      </c>
      <c r="AV197" s="47"/>
      <c r="AW197" s="64">
        <f t="shared" si="145"/>
        <v>0</v>
      </c>
      <c r="AX197" s="47"/>
      <c r="AY197" s="46"/>
      <c r="AZ197" s="47"/>
      <c r="BA197" s="47"/>
      <c r="BB197" s="47"/>
      <c r="BC197" s="47">
        <f t="shared" si="120"/>
        <v>0</v>
      </c>
      <c r="BD197" s="47"/>
      <c r="BE197" s="47">
        <f t="shared" si="124"/>
        <v>0</v>
      </c>
      <c r="BF197" s="47"/>
      <c r="BG197" s="46"/>
      <c r="BH197" s="47"/>
      <c r="BI197" s="47"/>
      <c r="BJ197" s="47"/>
      <c r="BK197" s="46">
        <f>BI197*BJ197</f>
        <v>0</v>
      </c>
      <c r="BL197" s="47"/>
      <c r="BM197" s="64">
        <f t="shared" si="147"/>
        <v>0</v>
      </c>
      <c r="BN197" s="47"/>
      <c r="BO197" s="47"/>
      <c r="BP197" s="47"/>
      <c r="BQ197" s="47"/>
      <c r="BR197" s="47"/>
      <c r="BS197" s="47">
        <f>+BQ197*BR197</f>
        <v>0</v>
      </c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6"/>
      <c r="CQ197" s="47"/>
      <c r="CR197" s="64">
        <f t="shared" si="139"/>
        <v>0</v>
      </c>
      <c r="CS197" s="47"/>
      <c r="CT197" s="47"/>
      <c r="CU197" s="47"/>
      <c r="CV197" s="47"/>
      <c r="CW197" s="47">
        <f t="shared" si="121"/>
        <v>0</v>
      </c>
      <c r="CX197" s="46"/>
      <c r="CY197" s="47">
        <f t="shared" si="122"/>
        <v>0</v>
      </c>
      <c r="CZ197" s="47"/>
      <c r="DA197" s="47"/>
      <c r="DB197" s="47"/>
      <c r="DC197" s="47"/>
      <c r="DD197" s="47"/>
      <c r="DE197" s="47"/>
      <c r="DF197" s="46"/>
      <c r="DG197" s="47"/>
      <c r="DH197" s="46">
        <f>AQ197/2</f>
        <v>0</v>
      </c>
      <c r="DI197" s="47"/>
      <c r="DJ197" s="47"/>
      <c r="DK197" s="64">
        <f t="shared" si="125"/>
        <v>0</v>
      </c>
      <c r="DL197" s="60">
        <f t="shared" ref="DL197:DL260" si="155">+DH197+DK197</f>
        <v>0</v>
      </c>
      <c r="DM197" s="94"/>
      <c r="DN197" s="46">
        <f>7.5%*AQ197</f>
        <v>0</v>
      </c>
      <c r="DO197" s="47"/>
      <c r="DP197" s="46">
        <f>10%*AQ197</f>
        <v>0</v>
      </c>
      <c r="DQ197" s="47"/>
      <c r="DR197" s="90">
        <f t="shared" si="140"/>
        <v>0</v>
      </c>
      <c r="DS197" s="47"/>
      <c r="DT197" s="46">
        <f t="shared" si="151"/>
        <v>0</v>
      </c>
      <c r="DU197" s="47"/>
      <c r="DV197" s="46">
        <f t="shared" si="126"/>
        <v>0</v>
      </c>
      <c r="DW197" s="47"/>
      <c r="DX197" s="64">
        <f t="shared" si="114"/>
        <v>0</v>
      </c>
      <c r="DY197" s="91"/>
      <c r="DZ197" s="47"/>
      <c r="EA197" s="47"/>
      <c r="EB197" s="47"/>
      <c r="EC197" s="47"/>
      <c r="ED197" s="47"/>
      <c r="EE197" s="47">
        <f t="shared" si="118"/>
        <v>0</v>
      </c>
      <c r="EF197" s="47"/>
      <c r="EG197" s="47"/>
      <c r="EH197" s="47"/>
      <c r="EI197" s="91"/>
      <c r="EJ197" s="47"/>
      <c r="EK197" s="47">
        <f t="shared" ref="EK197:EK260" si="156">+EG197+EH197+EI197+EJ197</f>
        <v>0</v>
      </c>
      <c r="EL197" s="46">
        <f t="shared" ref="EL197:EL260" si="157">+AO197-EE197-EK197</f>
        <v>0</v>
      </c>
      <c r="EM197" s="46"/>
      <c r="EN197" s="46">
        <f t="shared" ref="EN197:EN260" si="158">EL197+EM197</f>
        <v>0</v>
      </c>
    </row>
    <row r="198" spans="1:181" s="48" customFormat="1" ht="15" customHeight="1" x14ac:dyDescent="0.25">
      <c r="B198" s="41">
        <v>46</v>
      </c>
      <c r="C198" s="42"/>
      <c r="D198" s="43"/>
      <c r="E198" s="42"/>
      <c r="F198" s="42"/>
      <c r="G198" s="42"/>
      <c r="H198" s="42"/>
      <c r="I198" s="42"/>
      <c r="J198" s="42"/>
      <c r="K198" s="42"/>
      <c r="L198" s="42"/>
      <c r="M198" s="42"/>
      <c r="N198" s="41"/>
      <c r="O198" s="41"/>
      <c r="P198" s="42"/>
      <c r="Q198" s="45"/>
      <c r="R198" s="45"/>
      <c r="S198" s="42"/>
      <c r="T198" s="46"/>
      <c r="U198" s="46"/>
      <c r="V198" s="42"/>
      <c r="W198" s="42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>
        <f t="shared" si="153"/>
        <v>0</v>
      </c>
      <c r="AO198" s="47">
        <f t="shared" si="154"/>
        <v>0</v>
      </c>
      <c r="AP198" s="46" t="s">
        <v>114</v>
      </c>
      <c r="AQ198" s="46">
        <f t="shared" si="152"/>
        <v>0</v>
      </c>
      <c r="AR198" s="46"/>
      <c r="AS198" s="46"/>
      <c r="AT198" s="46"/>
      <c r="AU198" s="47">
        <f t="shared" si="123"/>
        <v>0</v>
      </c>
      <c r="AV198" s="46"/>
      <c r="AW198" s="47">
        <f t="shared" si="145"/>
        <v>0</v>
      </c>
      <c r="AX198" s="46"/>
      <c r="AY198" s="90"/>
      <c r="AZ198" s="46"/>
      <c r="BA198" s="46"/>
      <c r="BB198" s="46"/>
      <c r="BC198" s="47">
        <f t="shared" si="120"/>
        <v>0</v>
      </c>
      <c r="BD198" s="46"/>
      <c r="BE198" s="47">
        <f t="shared" si="124"/>
        <v>0</v>
      </c>
      <c r="BF198" s="46"/>
      <c r="BG198" s="46"/>
      <c r="BH198" s="46"/>
      <c r="BI198" s="46"/>
      <c r="BJ198" s="46"/>
      <c r="BK198" s="47">
        <f>+BI198*BJ198</f>
        <v>0</v>
      </c>
      <c r="BL198" s="46"/>
      <c r="BM198" s="47">
        <f t="shared" si="147"/>
        <v>0</v>
      </c>
      <c r="BN198" s="46"/>
      <c r="BO198" s="46"/>
      <c r="BP198" s="46"/>
      <c r="BQ198" s="46"/>
      <c r="BR198" s="46"/>
      <c r="BS198" s="47">
        <f>+BQ198*BR198</f>
        <v>0</v>
      </c>
      <c r="BT198" s="46"/>
      <c r="BU198" s="47">
        <f>+BO198+BP198+BS198+BT198</f>
        <v>0</v>
      </c>
      <c r="BV198" s="46"/>
      <c r="BW198" s="46"/>
      <c r="BX198" s="46"/>
      <c r="BY198" s="46"/>
      <c r="BZ198" s="46"/>
      <c r="CA198" s="46"/>
      <c r="CB198" s="46"/>
      <c r="CC198" s="47">
        <f>+BW198+BX198+CA198+CB198</f>
        <v>0</v>
      </c>
      <c r="CD198" s="46"/>
      <c r="CE198" s="46"/>
      <c r="CF198" s="46"/>
      <c r="CG198" s="46"/>
      <c r="CH198" s="46"/>
      <c r="CI198" s="46"/>
      <c r="CJ198" s="46"/>
      <c r="CK198" s="47">
        <f>+CE198+CF198+CI198+CJ198</f>
        <v>0</v>
      </c>
      <c r="CL198" s="46"/>
      <c r="CM198" s="46"/>
      <c r="CN198" s="46"/>
      <c r="CO198" s="46"/>
      <c r="CP198" s="46">
        <f>CN198*CO198</f>
        <v>0</v>
      </c>
      <c r="CQ198" s="46"/>
      <c r="CR198" s="47">
        <f t="shared" si="139"/>
        <v>0</v>
      </c>
      <c r="CS198" s="46"/>
      <c r="CT198" s="46"/>
      <c r="CU198" s="46"/>
      <c r="CV198" s="46"/>
      <c r="CW198" s="47">
        <f t="shared" si="121"/>
        <v>0</v>
      </c>
      <c r="CX198" s="46"/>
      <c r="CY198" s="47">
        <f t="shared" si="122"/>
        <v>0</v>
      </c>
      <c r="CZ198" s="46"/>
      <c r="DA198" s="46"/>
      <c r="DB198" s="46"/>
      <c r="DC198" s="46"/>
      <c r="DD198" s="47">
        <f>+DB198*DC198</f>
        <v>0</v>
      </c>
      <c r="DE198" s="46"/>
      <c r="DF198" s="46">
        <f>DC198</f>
        <v>0</v>
      </c>
      <c r="DG198" s="46"/>
      <c r="DH198" s="46"/>
      <c r="DI198" s="46"/>
      <c r="DJ198" s="46"/>
      <c r="DK198" s="47">
        <f t="shared" si="125"/>
        <v>0</v>
      </c>
      <c r="DL198" s="47">
        <f t="shared" si="155"/>
        <v>0</v>
      </c>
      <c r="DM198" s="46"/>
      <c r="DN198" s="46"/>
      <c r="DO198" s="46"/>
      <c r="DP198" s="46"/>
      <c r="DQ198" s="46"/>
      <c r="DR198" s="46">
        <f t="shared" si="140"/>
        <v>0</v>
      </c>
      <c r="DS198" s="46"/>
      <c r="DT198" s="46">
        <f t="shared" si="151"/>
        <v>0</v>
      </c>
      <c r="DU198" s="46"/>
      <c r="DV198" s="46">
        <f t="shared" si="126"/>
        <v>0</v>
      </c>
      <c r="DW198" s="46"/>
      <c r="DX198" s="47">
        <f t="shared" si="114"/>
        <v>0</v>
      </c>
      <c r="DY198" s="46"/>
      <c r="DZ198" s="46"/>
      <c r="EA198" s="46"/>
      <c r="EB198" s="46"/>
      <c r="EC198" s="46"/>
      <c r="ED198" s="46"/>
      <c r="EE198" s="47">
        <f t="shared" si="118"/>
        <v>0</v>
      </c>
      <c r="EF198" s="46"/>
      <c r="EG198" s="46"/>
      <c r="EH198" s="46"/>
      <c r="EI198" s="46"/>
      <c r="EJ198" s="46"/>
      <c r="EK198" s="47">
        <f t="shared" si="156"/>
        <v>0</v>
      </c>
      <c r="EL198" s="46">
        <f t="shared" si="157"/>
        <v>0</v>
      </c>
      <c r="EM198" s="46"/>
      <c r="EN198" s="46">
        <f t="shared" si="158"/>
        <v>0</v>
      </c>
    </row>
    <row r="199" spans="1:181" s="48" customFormat="1" ht="15" customHeight="1" x14ac:dyDescent="0.25">
      <c r="B199" s="41">
        <v>47</v>
      </c>
      <c r="C199" s="42"/>
      <c r="D199" s="43"/>
      <c r="E199" s="42"/>
      <c r="F199" s="42"/>
      <c r="G199" s="42"/>
      <c r="H199" s="42"/>
      <c r="I199" s="42"/>
      <c r="J199" s="42"/>
      <c r="K199" s="42"/>
      <c r="L199" s="42"/>
      <c r="M199" s="42"/>
      <c r="N199" s="41"/>
      <c r="O199" s="41"/>
      <c r="P199" s="42"/>
      <c r="Q199" s="45"/>
      <c r="R199" s="45"/>
      <c r="S199" s="42"/>
      <c r="T199" s="46"/>
      <c r="U199" s="46"/>
      <c r="V199" s="42"/>
      <c r="W199" s="42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>
        <f t="shared" si="153"/>
        <v>0</v>
      </c>
      <c r="AO199" s="47">
        <f t="shared" si="154"/>
        <v>0</v>
      </c>
      <c r="AP199" s="46" t="s">
        <v>111</v>
      </c>
      <c r="AQ199" s="46">
        <f t="shared" si="152"/>
        <v>0</v>
      </c>
      <c r="AR199" s="46"/>
      <c r="AS199" s="46"/>
      <c r="AT199" s="46"/>
      <c r="AU199" s="47">
        <f t="shared" si="123"/>
        <v>0</v>
      </c>
      <c r="AV199" s="46"/>
      <c r="AW199" s="47">
        <f t="shared" si="145"/>
        <v>0</v>
      </c>
      <c r="AX199" s="46"/>
      <c r="AY199" s="46"/>
      <c r="AZ199" s="46"/>
      <c r="BA199" s="46"/>
      <c r="BB199" s="46"/>
      <c r="BC199" s="47">
        <f t="shared" si="120"/>
        <v>0</v>
      </c>
      <c r="BD199" s="46"/>
      <c r="BE199" s="47">
        <f t="shared" si="124"/>
        <v>0</v>
      </c>
      <c r="BF199" s="46"/>
      <c r="BG199" s="46"/>
      <c r="BH199" s="46"/>
      <c r="BI199" s="46"/>
      <c r="BJ199" s="46"/>
      <c r="BK199" s="47">
        <f>+BI199*BJ199</f>
        <v>0</v>
      </c>
      <c r="BL199" s="46"/>
      <c r="BM199" s="47">
        <f t="shared" si="147"/>
        <v>0</v>
      </c>
      <c r="BN199" s="46"/>
      <c r="BO199" s="46"/>
      <c r="BP199" s="46"/>
      <c r="BQ199" s="46"/>
      <c r="BR199" s="46"/>
      <c r="BS199" s="47">
        <f>+BQ199*BR199</f>
        <v>0</v>
      </c>
      <c r="BT199" s="46"/>
      <c r="BU199" s="47">
        <f>+BO199+BP199+BS199+BT199</f>
        <v>0</v>
      </c>
      <c r="BV199" s="46"/>
      <c r="BW199" s="46"/>
      <c r="BX199" s="46"/>
      <c r="BY199" s="46"/>
      <c r="BZ199" s="46"/>
      <c r="CA199" s="46"/>
      <c r="CB199" s="46"/>
      <c r="CC199" s="47">
        <f>+BW199+BX199+CA199+CB199</f>
        <v>0</v>
      </c>
      <c r="CD199" s="46"/>
      <c r="CE199" s="46"/>
      <c r="CF199" s="46"/>
      <c r="CG199" s="46"/>
      <c r="CH199" s="46"/>
      <c r="CI199" s="46"/>
      <c r="CJ199" s="46"/>
      <c r="CK199" s="47">
        <f>+CE199+CF199+CI199+CJ199</f>
        <v>0</v>
      </c>
      <c r="CL199" s="46"/>
      <c r="CM199" s="46"/>
      <c r="CN199" s="46"/>
      <c r="CO199" s="46"/>
      <c r="CP199" s="46">
        <f>CN199*CO199</f>
        <v>0</v>
      </c>
      <c r="CQ199" s="46"/>
      <c r="CR199" s="47">
        <f t="shared" si="139"/>
        <v>0</v>
      </c>
      <c r="CS199" s="46"/>
      <c r="CT199" s="46"/>
      <c r="CU199" s="46"/>
      <c r="CV199" s="46"/>
      <c r="CW199" s="47">
        <f t="shared" si="121"/>
        <v>0</v>
      </c>
      <c r="CX199" s="46"/>
      <c r="CY199" s="47">
        <f t="shared" si="122"/>
        <v>0</v>
      </c>
      <c r="CZ199" s="46"/>
      <c r="DA199" s="46"/>
      <c r="DB199" s="46"/>
      <c r="DC199" s="46"/>
      <c r="DD199" s="47">
        <f>+DB199*DC199</f>
        <v>0</v>
      </c>
      <c r="DE199" s="46"/>
      <c r="DF199" s="46">
        <f>DC199</f>
        <v>0</v>
      </c>
      <c r="DG199" s="46"/>
      <c r="DH199" s="46">
        <f>AQ199/2</f>
        <v>0</v>
      </c>
      <c r="DI199" s="46"/>
      <c r="DJ199" s="46"/>
      <c r="DK199" s="47">
        <f t="shared" si="125"/>
        <v>0</v>
      </c>
      <c r="DL199" s="47">
        <f t="shared" si="155"/>
        <v>0</v>
      </c>
      <c r="DM199" s="46"/>
      <c r="DN199" s="46">
        <f>7.5%*AQ199</f>
        <v>0</v>
      </c>
      <c r="DO199" s="46"/>
      <c r="DP199" s="90">
        <f>10%*AQ199</f>
        <v>0</v>
      </c>
      <c r="DQ199" s="46"/>
      <c r="DR199" s="46">
        <f t="shared" si="140"/>
        <v>0</v>
      </c>
      <c r="DS199" s="46"/>
      <c r="DT199" s="46">
        <f t="shared" si="151"/>
        <v>0</v>
      </c>
      <c r="DU199" s="46"/>
      <c r="DV199" s="46">
        <f t="shared" si="126"/>
        <v>0</v>
      </c>
      <c r="DW199" s="46"/>
      <c r="DX199" s="47">
        <f t="shared" si="114"/>
        <v>0</v>
      </c>
      <c r="DY199" s="46"/>
      <c r="DZ199" s="46"/>
      <c r="EA199" s="46"/>
      <c r="EB199" s="46"/>
      <c r="EC199" s="46"/>
      <c r="ED199" s="46"/>
      <c r="EE199" s="47">
        <f t="shared" si="118"/>
        <v>0</v>
      </c>
      <c r="EF199" s="46"/>
      <c r="EG199" s="46"/>
      <c r="EH199" s="46"/>
      <c r="EI199" s="46"/>
      <c r="EJ199" s="46"/>
      <c r="EK199" s="47">
        <f t="shared" si="156"/>
        <v>0</v>
      </c>
      <c r="EL199" s="46">
        <f t="shared" si="157"/>
        <v>0</v>
      </c>
      <c r="EM199" s="46"/>
      <c r="EN199" s="46">
        <f t="shared" si="158"/>
        <v>0</v>
      </c>
    </row>
    <row r="200" spans="1:181" ht="15" customHeight="1" x14ac:dyDescent="0.25">
      <c r="B200" s="41">
        <v>48</v>
      </c>
      <c r="C200" s="86"/>
      <c r="D200" s="87"/>
      <c r="E200" s="86"/>
      <c r="F200" s="86"/>
      <c r="G200" s="86"/>
      <c r="H200" s="86"/>
      <c r="I200" s="86"/>
      <c r="J200" s="86"/>
      <c r="K200" s="86"/>
      <c r="L200" s="86"/>
      <c r="M200" s="86"/>
      <c r="N200" s="88"/>
      <c r="O200" s="88"/>
      <c r="P200" s="86"/>
      <c r="Q200" s="89"/>
      <c r="R200" s="89"/>
      <c r="S200" s="86"/>
      <c r="T200" s="90"/>
      <c r="U200" s="90"/>
      <c r="V200" s="86"/>
      <c r="W200" s="86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>
        <f t="shared" si="153"/>
        <v>0</v>
      </c>
      <c r="AO200" s="90">
        <f t="shared" si="154"/>
        <v>0</v>
      </c>
      <c r="AP200" s="90" t="s">
        <v>111</v>
      </c>
      <c r="AQ200" s="46">
        <f t="shared" si="152"/>
        <v>0</v>
      </c>
      <c r="AR200" s="90"/>
      <c r="AS200" s="90"/>
      <c r="AT200" s="90"/>
      <c r="AU200" s="64">
        <f t="shared" si="123"/>
        <v>0</v>
      </c>
      <c r="AV200" s="90"/>
      <c r="AW200" s="64">
        <f t="shared" si="145"/>
        <v>0</v>
      </c>
      <c r="AX200" s="90"/>
      <c r="AY200" s="46"/>
      <c r="AZ200" s="90"/>
      <c r="BA200" s="90"/>
      <c r="BB200" s="90"/>
      <c r="BC200" s="64">
        <f t="shared" si="120"/>
        <v>0</v>
      </c>
      <c r="BD200" s="90"/>
      <c r="BE200" s="64">
        <f t="shared" si="124"/>
        <v>0</v>
      </c>
      <c r="BF200" s="90"/>
      <c r="BG200" s="90"/>
      <c r="BH200" s="90"/>
      <c r="BI200" s="90"/>
      <c r="BJ200" s="90"/>
      <c r="BK200" s="64">
        <f>+BI200*BJ200</f>
        <v>0</v>
      </c>
      <c r="BL200" s="90"/>
      <c r="BM200" s="64">
        <f t="shared" si="147"/>
        <v>0</v>
      </c>
      <c r="BN200" s="90"/>
      <c r="BO200" s="90"/>
      <c r="BP200" s="90"/>
      <c r="BQ200" s="90"/>
      <c r="BR200" s="90"/>
      <c r="BS200" s="47">
        <f>+BQ200*BR200</f>
        <v>0</v>
      </c>
      <c r="BT200" s="90"/>
      <c r="BU200" s="64">
        <f>+BO200+BP200+BS200+BT200</f>
        <v>0</v>
      </c>
      <c r="BV200" s="90"/>
      <c r="BW200" s="90"/>
      <c r="BX200" s="90"/>
      <c r="BY200" s="90"/>
      <c r="BZ200" s="90"/>
      <c r="CA200" s="90"/>
      <c r="CB200" s="90"/>
      <c r="CC200" s="64">
        <f>+BW200+BX200+CA200+CB200</f>
        <v>0</v>
      </c>
      <c r="CD200" s="90"/>
      <c r="CE200" s="90"/>
      <c r="CF200" s="90"/>
      <c r="CG200" s="90"/>
      <c r="CH200" s="90"/>
      <c r="CI200" s="90"/>
      <c r="CJ200" s="90"/>
      <c r="CK200" s="64">
        <f>+CE200+CF200+CI200+CJ200</f>
        <v>0</v>
      </c>
      <c r="CL200" s="90"/>
      <c r="CM200" s="90"/>
      <c r="CN200" s="90"/>
      <c r="CO200" s="90"/>
      <c r="CP200" s="90">
        <f>CN200*CO200</f>
        <v>0</v>
      </c>
      <c r="CQ200" s="90"/>
      <c r="CR200" s="47">
        <f t="shared" si="139"/>
        <v>0</v>
      </c>
      <c r="CS200" s="90"/>
      <c r="CT200" s="90"/>
      <c r="CU200" s="90"/>
      <c r="CV200" s="90"/>
      <c r="CW200" s="64">
        <f t="shared" si="121"/>
        <v>0</v>
      </c>
      <c r="CX200" s="90"/>
      <c r="CY200" s="64">
        <f t="shared" si="122"/>
        <v>0</v>
      </c>
      <c r="CZ200" s="90"/>
      <c r="DA200" s="90"/>
      <c r="DB200" s="90"/>
      <c r="DC200" s="90"/>
      <c r="DD200" s="64">
        <f>+DB200*DC200</f>
        <v>0</v>
      </c>
      <c r="DE200" s="90"/>
      <c r="DF200" s="46">
        <f>DC200</f>
        <v>0</v>
      </c>
      <c r="DG200" s="90"/>
      <c r="DH200" s="46">
        <f>AQ200/2</f>
        <v>0</v>
      </c>
      <c r="DI200" s="90"/>
      <c r="DJ200" s="90"/>
      <c r="DK200" s="64">
        <f t="shared" si="125"/>
        <v>0</v>
      </c>
      <c r="DL200" s="64">
        <f t="shared" si="155"/>
        <v>0</v>
      </c>
      <c r="DM200" s="90"/>
      <c r="DN200" s="46">
        <f>7%*AQ200</f>
        <v>0</v>
      </c>
      <c r="DO200" s="90"/>
      <c r="DP200" s="90">
        <f>10%*AQ200</f>
        <v>0</v>
      </c>
      <c r="DQ200" s="90"/>
      <c r="DR200" s="90">
        <f t="shared" si="140"/>
        <v>0</v>
      </c>
      <c r="DS200" s="90"/>
      <c r="DT200" s="90">
        <f t="shared" si="151"/>
        <v>0</v>
      </c>
      <c r="DU200" s="90"/>
      <c r="DV200" s="90">
        <f t="shared" si="126"/>
        <v>0</v>
      </c>
      <c r="DW200" s="90"/>
      <c r="DX200" s="64">
        <f t="shared" si="114"/>
        <v>0</v>
      </c>
      <c r="DY200" s="90"/>
      <c r="DZ200" s="90"/>
      <c r="EA200" s="46"/>
      <c r="EB200" s="90"/>
      <c r="EC200" s="90"/>
      <c r="ED200" s="90"/>
      <c r="EE200" s="64">
        <f t="shared" si="118"/>
        <v>0</v>
      </c>
      <c r="EF200" s="90"/>
      <c r="EG200" s="90"/>
      <c r="EH200" s="90"/>
      <c r="EI200" s="90"/>
      <c r="EJ200" s="90"/>
      <c r="EK200" s="64">
        <f t="shared" si="156"/>
        <v>0</v>
      </c>
      <c r="EL200" s="90">
        <f t="shared" si="157"/>
        <v>0</v>
      </c>
      <c r="EM200" s="90"/>
      <c r="EN200" s="90">
        <f t="shared" si="158"/>
        <v>0</v>
      </c>
    </row>
    <row r="201" spans="1:181" s="51" customFormat="1" ht="15" customHeight="1" x14ac:dyDescent="0.25">
      <c r="B201" s="41">
        <v>49</v>
      </c>
      <c r="C201" s="97"/>
      <c r="D201" s="98"/>
      <c r="E201" s="86"/>
      <c r="F201" s="52"/>
      <c r="G201" s="52"/>
      <c r="H201" s="52"/>
      <c r="I201" s="52"/>
      <c r="J201" s="52"/>
      <c r="K201" s="52"/>
      <c r="L201" s="52"/>
      <c r="M201" s="52"/>
      <c r="N201" s="54"/>
      <c r="O201" s="54"/>
      <c r="P201" s="52"/>
      <c r="Q201" s="55"/>
      <c r="R201" s="55"/>
      <c r="S201" s="55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47">
        <f t="shared" si="153"/>
        <v>0</v>
      </c>
      <c r="AO201" s="46">
        <f t="shared" si="154"/>
        <v>0</v>
      </c>
      <c r="AP201" s="56" t="s">
        <v>111</v>
      </c>
      <c r="AQ201" s="46">
        <f t="shared" si="152"/>
        <v>0</v>
      </c>
      <c r="AR201" s="56"/>
      <c r="AS201" s="56"/>
      <c r="AT201" s="56"/>
      <c r="AU201" s="60">
        <f t="shared" si="123"/>
        <v>0</v>
      </c>
      <c r="AV201" s="56"/>
      <c r="AW201" s="47">
        <f>AQ201+AU201+AV201+AR201</f>
        <v>0</v>
      </c>
      <c r="AX201" s="56"/>
      <c r="AY201" s="56"/>
      <c r="AZ201" s="56"/>
      <c r="BA201" s="56"/>
      <c r="BB201" s="56"/>
      <c r="BC201" s="64">
        <f t="shared" si="120"/>
        <v>0</v>
      </c>
      <c r="BD201" s="56"/>
      <c r="BE201" s="64">
        <f t="shared" si="124"/>
        <v>0</v>
      </c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7"/>
      <c r="CQ201" s="56"/>
      <c r="CR201" s="47">
        <f t="shared" si="139"/>
        <v>0</v>
      </c>
      <c r="CS201" s="56"/>
      <c r="CT201" s="56"/>
      <c r="CU201" s="56"/>
      <c r="CV201" s="56"/>
      <c r="CW201" s="47"/>
      <c r="CX201" s="46"/>
      <c r="CY201" s="47"/>
      <c r="CZ201" s="56"/>
      <c r="DA201" s="56"/>
      <c r="DB201" s="56"/>
      <c r="DC201" s="56"/>
      <c r="DD201" s="47"/>
      <c r="DE201" s="56"/>
      <c r="DF201" s="46"/>
      <c r="DG201" s="56"/>
      <c r="DH201" s="46">
        <f>AQ201/2</f>
        <v>0</v>
      </c>
      <c r="DI201" s="56"/>
      <c r="DJ201" s="56"/>
      <c r="DK201" s="47">
        <f t="shared" si="125"/>
        <v>0</v>
      </c>
      <c r="DL201" s="47">
        <f t="shared" si="155"/>
        <v>0</v>
      </c>
      <c r="DM201" s="56"/>
      <c r="DN201" s="46">
        <f>7%*AQ201</f>
        <v>0</v>
      </c>
      <c r="DO201" s="56"/>
      <c r="DP201" s="46">
        <f>DN201</f>
        <v>0</v>
      </c>
      <c r="DQ201" s="56"/>
      <c r="DR201" s="46">
        <f t="shared" si="140"/>
        <v>0</v>
      </c>
      <c r="DS201" s="56"/>
      <c r="DT201" s="46">
        <f>75%*DR201</f>
        <v>0</v>
      </c>
      <c r="DU201" s="56"/>
      <c r="DV201" s="46">
        <f t="shared" si="126"/>
        <v>0</v>
      </c>
      <c r="DW201" s="56"/>
      <c r="DX201" s="47">
        <f t="shared" ref="DX201:DX264" si="159">+DN201+DP201+DR201+DT201+DV201</f>
        <v>0</v>
      </c>
      <c r="DY201" s="56"/>
      <c r="DZ201" s="56"/>
      <c r="EA201" s="56"/>
      <c r="EB201" s="56"/>
      <c r="EC201" s="56"/>
      <c r="ED201" s="56"/>
      <c r="EE201" s="47">
        <f t="shared" si="118"/>
        <v>0</v>
      </c>
      <c r="EF201" s="56"/>
      <c r="EG201" s="56"/>
      <c r="EH201" s="56"/>
      <c r="EI201" s="56"/>
      <c r="EJ201" s="56"/>
      <c r="EK201" s="47">
        <f t="shared" si="156"/>
        <v>0</v>
      </c>
      <c r="EL201" s="46">
        <f t="shared" si="157"/>
        <v>0</v>
      </c>
      <c r="EM201" s="56"/>
      <c r="EN201" s="61">
        <f t="shared" si="158"/>
        <v>0</v>
      </c>
    </row>
    <row r="202" spans="1:181" s="80" customFormat="1" ht="15" customHeight="1" x14ac:dyDescent="0.25">
      <c r="B202" s="76">
        <v>50</v>
      </c>
      <c r="C202" s="74"/>
      <c r="D202" s="75"/>
      <c r="E202" s="74"/>
      <c r="F202" s="74"/>
      <c r="G202" s="74"/>
      <c r="H202" s="74"/>
      <c r="I202" s="74"/>
      <c r="J202" s="74"/>
      <c r="K202" s="74"/>
      <c r="L202" s="74"/>
      <c r="M202" s="74"/>
      <c r="N202" s="76"/>
      <c r="O202" s="76"/>
      <c r="P202" s="74"/>
      <c r="Q202" s="77"/>
      <c r="R202" s="77"/>
      <c r="S202" s="74"/>
      <c r="T202" s="78"/>
      <c r="U202" s="78"/>
      <c r="V202" s="74"/>
      <c r="W202" s="74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>
        <f t="shared" si="153"/>
        <v>0</v>
      </c>
      <c r="AO202" s="78">
        <f t="shared" si="154"/>
        <v>0</v>
      </c>
      <c r="AP202" s="78" t="s">
        <v>111</v>
      </c>
      <c r="AQ202" s="78">
        <f t="shared" si="152"/>
        <v>0</v>
      </c>
      <c r="AR202" s="78"/>
      <c r="AS202" s="78"/>
      <c r="AT202" s="78"/>
      <c r="AU202" s="79">
        <f t="shared" si="123"/>
        <v>0</v>
      </c>
      <c r="AV202" s="78"/>
      <c r="AW202" s="79">
        <f t="shared" ref="AW202:AW208" si="160">AQ202+AU202+AV202</f>
        <v>0</v>
      </c>
      <c r="AX202" s="78"/>
      <c r="AY202" s="78"/>
      <c r="AZ202" s="78"/>
      <c r="BA202" s="78"/>
      <c r="BB202" s="78"/>
      <c r="BC202" s="79">
        <f t="shared" si="120"/>
        <v>0</v>
      </c>
      <c r="BD202" s="78"/>
      <c r="BE202" s="79">
        <f t="shared" si="124"/>
        <v>0</v>
      </c>
      <c r="BF202" s="78"/>
      <c r="BG202" s="78"/>
      <c r="BH202" s="78"/>
      <c r="BI202" s="78"/>
      <c r="BJ202" s="78"/>
      <c r="BK202" s="79">
        <f>+BI202*BJ202</f>
        <v>0</v>
      </c>
      <c r="BL202" s="78"/>
      <c r="BM202" s="79">
        <f>+BG202+BH202+BK202+BL202</f>
        <v>0</v>
      </c>
      <c r="BN202" s="78"/>
      <c r="BO202" s="78"/>
      <c r="BP202" s="78"/>
      <c r="BQ202" s="78"/>
      <c r="BR202" s="78"/>
      <c r="BS202" s="78"/>
      <c r="BT202" s="78"/>
      <c r="BU202" s="79">
        <f>+BO202+BP202+BS202+BT202</f>
        <v>0</v>
      </c>
      <c r="BV202" s="78"/>
      <c r="BW202" s="78"/>
      <c r="BX202" s="78"/>
      <c r="BY202" s="78"/>
      <c r="BZ202" s="78"/>
      <c r="CA202" s="78"/>
      <c r="CB202" s="78"/>
      <c r="CC202" s="79">
        <f>+BW202+BX202+CA202+CB202</f>
        <v>0</v>
      </c>
      <c r="CD202" s="78"/>
      <c r="CE202" s="78"/>
      <c r="CF202" s="78"/>
      <c r="CG202" s="78"/>
      <c r="CH202" s="78"/>
      <c r="CI202" s="78"/>
      <c r="CJ202" s="78"/>
      <c r="CK202" s="79">
        <f>+CE202+CF202+CI202+CJ202</f>
        <v>0</v>
      </c>
      <c r="CL202" s="78"/>
      <c r="CM202" s="78"/>
      <c r="CN202" s="78"/>
      <c r="CO202" s="78"/>
      <c r="CP202" s="78">
        <f>CN202*CO202</f>
        <v>0</v>
      </c>
      <c r="CQ202" s="78"/>
      <c r="CR202" s="79">
        <f t="shared" si="139"/>
        <v>0</v>
      </c>
      <c r="CS202" s="78"/>
      <c r="CT202" s="78"/>
      <c r="CU202" s="78"/>
      <c r="CV202" s="78"/>
      <c r="CW202" s="79">
        <f t="shared" ref="CW202:CW265" si="161">CU202*CV202</f>
        <v>0</v>
      </c>
      <c r="CX202" s="78"/>
      <c r="CY202" s="79">
        <f t="shared" ref="CY202:CY265" si="162">+CT202+CW202+CX202</f>
        <v>0</v>
      </c>
      <c r="CZ202" s="78"/>
      <c r="DA202" s="78"/>
      <c r="DB202" s="78"/>
      <c r="DC202" s="78"/>
      <c r="DD202" s="79">
        <f t="shared" ref="DD202:DD207" si="163">+DB202*DC202</f>
        <v>0</v>
      </c>
      <c r="DE202" s="78"/>
      <c r="DF202" s="78">
        <f t="shared" ref="DF202:DF208" si="164">DC202</f>
        <v>0</v>
      </c>
      <c r="DG202" s="78"/>
      <c r="DH202" s="78">
        <f>AQ202/2</f>
        <v>0</v>
      </c>
      <c r="DI202" s="78"/>
      <c r="DJ202" s="78"/>
      <c r="DK202" s="79">
        <f t="shared" si="125"/>
        <v>0</v>
      </c>
      <c r="DL202" s="79">
        <f t="shared" si="155"/>
        <v>0</v>
      </c>
      <c r="DM202" s="78"/>
      <c r="DN202" s="78">
        <f>7%*AQ202</f>
        <v>0</v>
      </c>
      <c r="DO202" s="78"/>
      <c r="DP202" s="78">
        <f>DN202</f>
        <v>0</v>
      </c>
      <c r="DQ202" s="78"/>
      <c r="DR202" s="78">
        <f t="shared" si="140"/>
        <v>0</v>
      </c>
      <c r="DS202" s="78"/>
      <c r="DT202" s="78">
        <f>75%*DP202</f>
        <v>0</v>
      </c>
      <c r="DU202" s="78"/>
      <c r="DV202" s="78">
        <f t="shared" si="126"/>
        <v>0</v>
      </c>
      <c r="DW202" s="78"/>
      <c r="DX202" s="79">
        <f t="shared" si="159"/>
        <v>0</v>
      </c>
      <c r="DY202" s="78"/>
      <c r="DZ202" s="78"/>
      <c r="EA202" s="78"/>
      <c r="EB202" s="78"/>
      <c r="EC202" s="78"/>
      <c r="ED202" s="78"/>
      <c r="EE202" s="79">
        <f t="shared" si="118"/>
        <v>0</v>
      </c>
      <c r="EF202" s="78"/>
      <c r="EG202" s="78"/>
      <c r="EH202" s="78"/>
      <c r="EI202" s="78"/>
      <c r="EJ202" s="78"/>
      <c r="EK202" s="79">
        <f t="shared" si="156"/>
        <v>0</v>
      </c>
      <c r="EL202" s="78">
        <f t="shared" si="157"/>
        <v>0</v>
      </c>
      <c r="EM202" s="78"/>
      <c r="EN202" s="78">
        <f t="shared" si="158"/>
        <v>0</v>
      </c>
    </row>
    <row r="203" spans="1:181" s="48" customFormat="1" ht="15" customHeight="1" x14ac:dyDescent="0.25">
      <c r="B203" s="41">
        <v>51</v>
      </c>
      <c r="C203" s="42"/>
      <c r="D203" s="43"/>
      <c r="E203" s="43"/>
      <c r="F203" s="42"/>
      <c r="G203" s="42"/>
      <c r="H203" s="42"/>
      <c r="I203" s="42"/>
      <c r="J203" s="42"/>
      <c r="K203" s="42"/>
      <c r="L203" s="42"/>
      <c r="M203" s="42"/>
      <c r="N203" s="41"/>
      <c r="O203" s="41"/>
      <c r="P203" s="42"/>
      <c r="Q203" s="45"/>
      <c r="R203" s="45"/>
      <c r="S203" s="42"/>
      <c r="T203" s="46"/>
      <c r="U203" s="46"/>
      <c r="V203" s="42"/>
      <c r="W203" s="42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>
        <f t="shared" si="153"/>
        <v>0</v>
      </c>
      <c r="AO203" s="46">
        <f t="shared" si="154"/>
        <v>0</v>
      </c>
      <c r="AP203" s="46" t="s">
        <v>116</v>
      </c>
      <c r="AQ203" s="46">
        <f t="shared" si="152"/>
        <v>0</v>
      </c>
      <c r="AR203" s="46"/>
      <c r="AS203" s="46"/>
      <c r="AT203" s="46"/>
      <c r="AU203" s="47">
        <f t="shared" si="123"/>
        <v>0</v>
      </c>
      <c r="AV203" s="46"/>
      <c r="AW203" s="47">
        <f t="shared" si="160"/>
        <v>0</v>
      </c>
      <c r="AX203" s="46"/>
      <c r="AY203" s="46"/>
      <c r="AZ203" s="46"/>
      <c r="BA203" s="46"/>
      <c r="BB203" s="46"/>
      <c r="BC203" s="47">
        <f t="shared" si="120"/>
        <v>0</v>
      </c>
      <c r="BD203" s="46"/>
      <c r="BE203" s="47">
        <f t="shared" si="124"/>
        <v>0</v>
      </c>
      <c r="BF203" s="46"/>
      <c r="BG203" s="46"/>
      <c r="BH203" s="46"/>
      <c r="BI203" s="46"/>
      <c r="BJ203" s="46"/>
      <c r="BK203" s="47">
        <f>+BI203*BJ203</f>
        <v>0</v>
      </c>
      <c r="BL203" s="46"/>
      <c r="BM203" s="47">
        <f>+BG203+BH203+BK203+BL203</f>
        <v>0</v>
      </c>
      <c r="BN203" s="46"/>
      <c r="BO203" s="46"/>
      <c r="BP203" s="46"/>
      <c r="BQ203" s="46"/>
      <c r="BR203" s="46"/>
      <c r="BS203" s="46">
        <f>BQ203*BR203</f>
        <v>0</v>
      </c>
      <c r="BT203" s="46"/>
      <c r="BU203" s="47">
        <f>+BO203+BP203+BS203+BT203</f>
        <v>0</v>
      </c>
      <c r="BV203" s="46"/>
      <c r="BW203" s="46"/>
      <c r="BX203" s="46"/>
      <c r="BY203" s="46"/>
      <c r="BZ203" s="46"/>
      <c r="CA203" s="46">
        <f>BY203*BZ203</f>
        <v>0</v>
      </c>
      <c r="CB203" s="46"/>
      <c r="CC203" s="47">
        <f>+BW203+BX203+CA203+CB203</f>
        <v>0</v>
      </c>
      <c r="CD203" s="46"/>
      <c r="CE203" s="46"/>
      <c r="CF203" s="46"/>
      <c r="CG203" s="46"/>
      <c r="CH203" s="46"/>
      <c r="CI203" s="46">
        <f>CG203*CH203</f>
        <v>0</v>
      </c>
      <c r="CJ203" s="46"/>
      <c r="CK203" s="47">
        <f>+CE203+CF203+CI203+CJ203</f>
        <v>0</v>
      </c>
      <c r="CL203" s="46"/>
      <c r="CM203" s="46"/>
      <c r="CN203" s="46"/>
      <c r="CO203" s="46"/>
      <c r="CP203" s="46">
        <f>CN203*CO203</f>
        <v>0</v>
      </c>
      <c r="CQ203" s="46"/>
      <c r="CR203" s="47">
        <f t="shared" si="139"/>
        <v>0</v>
      </c>
      <c r="CS203" s="46"/>
      <c r="CT203" s="46"/>
      <c r="CU203" s="46"/>
      <c r="CV203" s="46"/>
      <c r="CW203" s="47">
        <f t="shared" si="161"/>
        <v>0</v>
      </c>
      <c r="CX203" s="46"/>
      <c r="CY203" s="47">
        <f t="shared" si="162"/>
        <v>0</v>
      </c>
      <c r="CZ203" s="46"/>
      <c r="DA203" s="46"/>
      <c r="DB203" s="46"/>
      <c r="DC203" s="46"/>
      <c r="DD203" s="47">
        <f t="shared" si="163"/>
        <v>0</v>
      </c>
      <c r="DE203" s="46"/>
      <c r="DF203" s="46">
        <f t="shared" si="164"/>
        <v>0</v>
      </c>
      <c r="DG203" s="46"/>
      <c r="DH203" s="46">
        <f>AQ203/2</f>
        <v>0</v>
      </c>
      <c r="DI203" s="46"/>
      <c r="DJ203" s="46"/>
      <c r="DK203" s="47">
        <f t="shared" si="125"/>
        <v>0</v>
      </c>
      <c r="DL203" s="47">
        <f t="shared" si="155"/>
        <v>0</v>
      </c>
      <c r="DM203" s="46"/>
      <c r="DN203" s="46">
        <f>7.5%*AQ203</f>
        <v>0</v>
      </c>
      <c r="DO203" s="46"/>
      <c r="DP203" s="46">
        <f>10%*AQ203</f>
        <v>0</v>
      </c>
      <c r="DQ203" s="46"/>
      <c r="DR203" s="46">
        <f t="shared" si="140"/>
        <v>0</v>
      </c>
      <c r="DS203" s="46"/>
      <c r="DT203" s="46">
        <f>75%*DP203</f>
        <v>0</v>
      </c>
      <c r="DU203" s="46"/>
      <c r="DV203" s="46">
        <f t="shared" si="126"/>
        <v>0</v>
      </c>
      <c r="DW203" s="46"/>
      <c r="DX203" s="47">
        <f t="shared" si="159"/>
        <v>0</v>
      </c>
      <c r="DY203" s="46"/>
      <c r="DZ203" s="46"/>
      <c r="EA203" s="47"/>
      <c r="EB203" s="46"/>
      <c r="EC203" s="46"/>
      <c r="ED203" s="46"/>
      <c r="EE203" s="47">
        <f t="shared" si="118"/>
        <v>0</v>
      </c>
      <c r="EF203" s="46"/>
      <c r="EG203" s="46"/>
      <c r="EH203" s="46"/>
      <c r="EI203" s="46"/>
      <c r="EJ203" s="46"/>
      <c r="EK203" s="47">
        <f t="shared" si="156"/>
        <v>0</v>
      </c>
      <c r="EL203" s="46">
        <f t="shared" si="157"/>
        <v>0</v>
      </c>
      <c r="EM203" s="46"/>
      <c r="EN203" s="46">
        <f t="shared" si="158"/>
        <v>0</v>
      </c>
    </row>
    <row r="204" spans="1:181" s="48" customFormat="1" x14ac:dyDescent="0.25">
      <c r="B204" s="41">
        <v>52</v>
      </c>
      <c r="C204" s="42"/>
      <c r="D204" s="43"/>
      <c r="E204" s="42"/>
      <c r="F204" s="42"/>
      <c r="G204" s="42"/>
      <c r="H204" s="42"/>
      <c r="I204" s="42"/>
      <c r="J204" s="42"/>
      <c r="K204" s="42"/>
      <c r="L204" s="42"/>
      <c r="M204" s="42"/>
      <c r="N204" s="41"/>
      <c r="O204" s="41"/>
      <c r="P204" s="42"/>
      <c r="Q204" s="45"/>
      <c r="R204" s="45"/>
      <c r="S204" s="42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>
        <f t="shared" si="153"/>
        <v>0</v>
      </c>
      <c r="AO204" s="46">
        <f t="shared" si="154"/>
        <v>0</v>
      </c>
      <c r="AP204" s="42" t="s">
        <v>121</v>
      </c>
      <c r="AQ204" s="46">
        <f t="shared" si="152"/>
        <v>0</v>
      </c>
      <c r="AR204" s="46"/>
      <c r="AS204" s="46"/>
      <c r="AT204" s="46"/>
      <c r="AU204" s="47">
        <f t="shared" si="123"/>
        <v>0</v>
      </c>
      <c r="AV204" s="46"/>
      <c r="AW204" s="47">
        <f t="shared" si="160"/>
        <v>0</v>
      </c>
      <c r="AX204" s="46"/>
      <c r="AY204" s="46"/>
      <c r="AZ204" s="46"/>
      <c r="BA204" s="46"/>
      <c r="BB204" s="46"/>
      <c r="BC204" s="47">
        <f t="shared" si="120"/>
        <v>0</v>
      </c>
      <c r="BD204" s="46"/>
      <c r="BE204" s="47">
        <f t="shared" si="124"/>
        <v>0</v>
      </c>
      <c r="BF204" s="42"/>
      <c r="BG204" s="46"/>
      <c r="BH204" s="46"/>
      <c r="BI204" s="46"/>
      <c r="BJ204" s="46"/>
      <c r="BK204" s="47">
        <f>+BI204*BJ204</f>
        <v>0</v>
      </c>
      <c r="BL204" s="46"/>
      <c r="BM204" s="47">
        <f>+BG204+BH204+BK204+BL204</f>
        <v>0</v>
      </c>
      <c r="BN204" s="42"/>
      <c r="BO204" s="46"/>
      <c r="BP204" s="46"/>
      <c r="BQ204" s="46"/>
      <c r="BR204" s="46"/>
      <c r="BS204" s="46">
        <f>BQ204*BR204</f>
        <v>0</v>
      </c>
      <c r="BT204" s="46"/>
      <c r="BU204" s="47">
        <f>+BO204+BP204+BS204+BT204</f>
        <v>0</v>
      </c>
      <c r="BV204" s="42"/>
      <c r="BW204" s="46"/>
      <c r="BX204" s="46"/>
      <c r="BY204" s="46"/>
      <c r="BZ204" s="46"/>
      <c r="CA204" s="46">
        <f>BY204*BZ204</f>
        <v>0</v>
      </c>
      <c r="CB204" s="46"/>
      <c r="CC204" s="47">
        <f>+BW204+BX204+CA204+CB204</f>
        <v>0</v>
      </c>
      <c r="CD204" s="42"/>
      <c r="CE204" s="46"/>
      <c r="CF204" s="46"/>
      <c r="CG204" s="46"/>
      <c r="CH204" s="46"/>
      <c r="CI204" s="46">
        <f>CG204*CH204</f>
        <v>0</v>
      </c>
      <c r="CJ204" s="46"/>
      <c r="CK204" s="47">
        <f>+CE204+CF204+CI204+CJ204</f>
        <v>0</v>
      </c>
      <c r="CL204" s="46"/>
      <c r="CM204" s="46"/>
      <c r="CN204" s="46"/>
      <c r="CO204" s="46"/>
      <c r="CP204" s="46">
        <f>CN204*CO204</f>
        <v>0</v>
      </c>
      <c r="CQ204" s="46"/>
      <c r="CR204" s="47">
        <f t="shared" si="139"/>
        <v>0</v>
      </c>
      <c r="CS204" s="46"/>
      <c r="CT204" s="46"/>
      <c r="CU204" s="46"/>
      <c r="CV204" s="46"/>
      <c r="CW204" s="47">
        <f t="shared" si="161"/>
        <v>0</v>
      </c>
      <c r="CX204" s="46"/>
      <c r="CY204" s="47">
        <f t="shared" si="162"/>
        <v>0</v>
      </c>
      <c r="CZ204" s="46"/>
      <c r="DA204" s="46"/>
      <c r="DB204" s="46"/>
      <c r="DC204" s="46"/>
      <c r="DD204" s="47">
        <f t="shared" si="163"/>
        <v>0</v>
      </c>
      <c r="DE204" s="46"/>
      <c r="DF204" s="46">
        <f t="shared" si="164"/>
        <v>0</v>
      </c>
      <c r="DG204" s="46"/>
      <c r="DH204" s="46"/>
      <c r="DI204" s="46"/>
      <c r="DJ204" s="46"/>
      <c r="DK204" s="47">
        <f t="shared" si="125"/>
        <v>0</v>
      </c>
      <c r="DL204" s="47">
        <f t="shared" si="155"/>
        <v>0</v>
      </c>
      <c r="DM204" s="46"/>
      <c r="DN204" s="46"/>
      <c r="DO204" s="46"/>
      <c r="DP204" s="46"/>
      <c r="DQ204" s="46"/>
      <c r="DR204" s="46">
        <f t="shared" si="140"/>
        <v>0</v>
      </c>
      <c r="DS204" s="46"/>
      <c r="DT204" s="46">
        <f>75%*DP204</f>
        <v>0</v>
      </c>
      <c r="DU204" s="103"/>
      <c r="DV204" s="46">
        <f t="shared" si="126"/>
        <v>0</v>
      </c>
      <c r="DW204" s="45"/>
      <c r="DX204" s="47">
        <f t="shared" si="159"/>
        <v>0</v>
      </c>
      <c r="DY204" s="46"/>
      <c r="DZ204" s="46"/>
      <c r="EA204" s="46"/>
      <c r="EB204" s="46"/>
      <c r="EC204" s="46"/>
      <c r="ED204" s="46"/>
      <c r="EE204" s="47">
        <f t="shared" si="118"/>
        <v>0</v>
      </c>
      <c r="EF204" s="46"/>
      <c r="EG204" s="46"/>
      <c r="EH204" s="46"/>
      <c r="EI204" s="46"/>
      <c r="EJ204" s="46"/>
      <c r="EK204" s="47">
        <f t="shared" si="156"/>
        <v>0</v>
      </c>
      <c r="EL204" s="46">
        <f t="shared" si="157"/>
        <v>0</v>
      </c>
      <c r="EM204" s="46"/>
      <c r="EN204" s="46">
        <f t="shared" si="158"/>
        <v>0</v>
      </c>
      <c r="EO204" s="57">
        <f t="shared" ref="EO204:FJ204" si="165">SUM(DC155:DC159)</f>
        <v>0</v>
      </c>
      <c r="EP204" s="57">
        <f t="shared" si="165"/>
        <v>0</v>
      </c>
      <c r="EQ204" s="57">
        <f t="shared" si="165"/>
        <v>0</v>
      </c>
      <c r="ER204" s="57">
        <f t="shared" si="165"/>
        <v>0</v>
      </c>
      <c r="ES204" s="57">
        <f t="shared" si="165"/>
        <v>0</v>
      </c>
      <c r="ET204" s="57">
        <f t="shared" si="165"/>
        <v>0</v>
      </c>
      <c r="EU204" s="57">
        <f t="shared" si="165"/>
        <v>0</v>
      </c>
      <c r="EV204" s="57">
        <f t="shared" si="165"/>
        <v>0</v>
      </c>
      <c r="EW204" s="57">
        <f t="shared" si="165"/>
        <v>0</v>
      </c>
      <c r="EX204" s="57">
        <f t="shared" si="165"/>
        <v>0</v>
      </c>
      <c r="EY204" s="57">
        <f t="shared" si="165"/>
        <v>0</v>
      </c>
      <c r="EZ204" s="57">
        <f t="shared" si="165"/>
        <v>0</v>
      </c>
      <c r="FA204" s="57">
        <f t="shared" si="165"/>
        <v>0</v>
      </c>
      <c r="FB204" s="57">
        <f t="shared" si="165"/>
        <v>0</v>
      </c>
      <c r="FC204" s="57">
        <f t="shared" si="165"/>
        <v>0</v>
      </c>
      <c r="FD204" s="57">
        <f t="shared" si="165"/>
        <v>0</v>
      </c>
      <c r="FE204" s="57">
        <f t="shared" si="165"/>
        <v>0</v>
      </c>
      <c r="FF204" s="57">
        <f t="shared" si="165"/>
        <v>0</v>
      </c>
      <c r="FG204" s="57">
        <f t="shared" si="165"/>
        <v>0</v>
      </c>
      <c r="FH204" s="57">
        <f t="shared" si="165"/>
        <v>0</v>
      </c>
      <c r="FI204" s="57">
        <f t="shared" si="165"/>
        <v>0</v>
      </c>
      <c r="FJ204" s="57">
        <f t="shared" si="165"/>
        <v>0</v>
      </c>
      <c r="FK204" s="57"/>
      <c r="FL204" s="57"/>
      <c r="FM204" s="57"/>
      <c r="FN204" s="57"/>
      <c r="FO204" s="57"/>
      <c r="FP204" s="57">
        <f>SUM(EE155:EE159)</f>
        <v>0</v>
      </c>
      <c r="FQ204" s="57"/>
      <c r="FR204" s="57"/>
      <c r="FS204" s="57"/>
      <c r="FT204" s="57"/>
      <c r="FU204" s="57"/>
      <c r="FV204" s="57">
        <f>SUM(EK155:EK159)</f>
        <v>0</v>
      </c>
      <c r="FW204" s="57">
        <f>SUM(EL155:EL159)</f>
        <v>0</v>
      </c>
      <c r="FX204" s="57"/>
      <c r="FY204" s="57">
        <f>SUM(EN155:EN159)</f>
        <v>0</v>
      </c>
    </row>
    <row r="205" spans="1:181" s="80" customFormat="1" ht="15" customHeight="1" x14ac:dyDescent="0.25">
      <c r="B205" s="76">
        <v>53</v>
      </c>
      <c r="C205" s="74"/>
      <c r="D205" s="43"/>
      <c r="E205" s="74"/>
      <c r="F205" s="74"/>
      <c r="G205" s="42"/>
      <c r="H205" s="42"/>
      <c r="I205" s="42"/>
      <c r="J205" s="42"/>
      <c r="K205" s="42"/>
      <c r="L205" s="42"/>
      <c r="M205" s="42"/>
      <c r="N205" s="76"/>
      <c r="O205" s="41"/>
      <c r="P205" s="74"/>
      <c r="Q205" s="77"/>
      <c r="R205" s="77"/>
      <c r="S205" s="104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>
        <f t="shared" si="153"/>
        <v>0</v>
      </c>
      <c r="AO205" s="46">
        <f t="shared" si="154"/>
        <v>0</v>
      </c>
      <c r="AP205" s="42" t="s">
        <v>116</v>
      </c>
      <c r="AQ205" s="46">
        <f t="shared" si="152"/>
        <v>0</v>
      </c>
      <c r="AR205" s="46"/>
      <c r="AS205" s="46"/>
      <c r="AT205" s="46"/>
      <c r="AU205" s="47">
        <f t="shared" si="123"/>
        <v>0</v>
      </c>
      <c r="AV205" s="46"/>
      <c r="AW205" s="47">
        <f t="shared" si="160"/>
        <v>0</v>
      </c>
      <c r="AX205" s="74"/>
      <c r="AY205" s="78"/>
      <c r="AZ205" s="78"/>
      <c r="BA205" s="78"/>
      <c r="BB205" s="78"/>
      <c r="BC205" s="79">
        <f t="shared" si="120"/>
        <v>0</v>
      </c>
      <c r="BD205" s="78"/>
      <c r="BE205" s="79">
        <f t="shared" si="124"/>
        <v>0</v>
      </c>
      <c r="BF205" s="42"/>
      <c r="BG205" s="46"/>
      <c r="BH205" s="46"/>
      <c r="BI205" s="46"/>
      <c r="BJ205" s="46"/>
      <c r="BK205" s="47">
        <f>+BI205*BJ205</f>
        <v>0</v>
      </c>
      <c r="BL205" s="46"/>
      <c r="BM205" s="47">
        <f>+BG205+BH205+BK205+BL205</f>
        <v>0</v>
      </c>
      <c r="BN205" s="42"/>
      <c r="BO205" s="46"/>
      <c r="BP205" s="46"/>
      <c r="BQ205" s="46"/>
      <c r="BR205" s="46"/>
      <c r="BS205" s="46">
        <f>BQ205*BR205</f>
        <v>0</v>
      </c>
      <c r="BT205" s="46"/>
      <c r="BU205" s="47">
        <f>+BO205+BP205+BS205+BT205</f>
        <v>0</v>
      </c>
      <c r="BV205" s="42"/>
      <c r="BW205" s="46"/>
      <c r="BX205" s="46"/>
      <c r="BY205" s="46"/>
      <c r="BZ205" s="46"/>
      <c r="CA205" s="46">
        <f>BY205*BZ205</f>
        <v>0</v>
      </c>
      <c r="CB205" s="46"/>
      <c r="CC205" s="47">
        <f>+BW205+BX205+CA205+CB205</f>
        <v>0</v>
      </c>
      <c r="CD205" s="42"/>
      <c r="CE205" s="46"/>
      <c r="CF205" s="46"/>
      <c r="CG205" s="46"/>
      <c r="CH205" s="46"/>
      <c r="CI205" s="46">
        <f>CG205*CH205</f>
        <v>0</v>
      </c>
      <c r="CJ205" s="46"/>
      <c r="CK205" s="47">
        <f>+CE205+CF205+CI205+CJ205</f>
        <v>0</v>
      </c>
      <c r="CL205" s="78"/>
      <c r="CM205" s="78"/>
      <c r="CN205" s="78"/>
      <c r="CO205" s="78"/>
      <c r="CP205" s="78">
        <f>CN205*CO205</f>
        <v>0</v>
      </c>
      <c r="CQ205" s="78"/>
      <c r="CR205" s="79">
        <f t="shared" si="139"/>
        <v>0</v>
      </c>
      <c r="CS205" s="78"/>
      <c r="CT205" s="78"/>
      <c r="CU205" s="78"/>
      <c r="CV205" s="78"/>
      <c r="CW205" s="79">
        <f t="shared" si="161"/>
        <v>0</v>
      </c>
      <c r="CX205" s="78"/>
      <c r="CY205" s="79">
        <f t="shared" si="162"/>
        <v>0</v>
      </c>
      <c r="CZ205" s="78"/>
      <c r="DA205" s="78"/>
      <c r="DB205" s="78"/>
      <c r="DC205" s="78"/>
      <c r="DD205" s="79">
        <f t="shared" si="163"/>
        <v>0</v>
      </c>
      <c r="DE205" s="78"/>
      <c r="DF205" s="78">
        <f t="shared" si="164"/>
        <v>0</v>
      </c>
      <c r="DG205" s="78"/>
      <c r="DH205" s="78">
        <f>AQ205/2</f>
        <v>0</v>
      </c>
      <c r="DI205" s="78"/>
      <c r="DJ205" s="78"/>
      <c r="DK205" s="79">
        <f t="shared" si="125"/>
        <v>0</v>
      </c>
      <c r="DL205" s="79">
        <f t="shared" si="155"/>
        <v>0</v>
      </c>
      <c r="DM205" s="78"/>
      <c r="DN205" s="78">
        <f>7.5%*AQ205</f>
        <v>0</v>
      </c>
      <c r="DO205" s="78"/>
      <c r="DP205" s="78">
        <f>10%*AQ205</f>
        <v>0</v>
      </c>
      <c r="DQ205" s="78"/>
      <c r="DR205" s="78">
        <f t="shared" si="140"/>
        <v>0</v>
      </c>
      <c r="DS205" s="78"/>
      <c r="DT205" s="78">
        <f>75%*DP205</f>
        <v>0</v>
      </c>
      <c r="DU205" s="105"/>
      <c r="DV205" s="78">
        <f t="shared" si="126"/>
        <v>0</v>
      </c>
      <c r="DW205" s="77"/>
      <c r="DX205" s="79">
        <f t="shared" si="159"/>
        <v>0</v>
      </c>
      <c r="DY205" s="78"/>
      <c r="DZ205" s="78"/>
      <c r="EA205" s="78"/>
      <c r="EB205" s="78"/>
      <c r="EC205" s="78"/>
      <c r="ED205" s="78"/>
      <c r="EE205" s="79">
        <f t="shared" si="118"/>
        <v>0</v>
      </c>
      <c r="EF205" s="78"/>
      <c r="EG205" s="78"/>
      <c r="EH205" s="78"/>
      <c r="EI205" s="78"/>
      <c r="EJ205" s="78"/>
      <c r="EK205" s="79">
        <f t="shared" si="156"/>
        <v>0</v>
      </c>
      <c r="EL205" s="78">
        <f t="shared" si="157"/>
        <v>0</v>
      </c>
      <c r="EM205" s="78"/>
      <c r="EN205" s="78">
        <f t="shared" si="158"/>
        <v>0</v>
      </c>
      <c r="EO205" s="106"/>
      <c r="EP205" s="106"/>
      <c r="EQ205" s="106"/>
      <c r="ER205" s="106"/>
      <c r="ES205" s="106"/>
      <c r="ET205" s="106"/>
      <c r="EU205" s="106"/>
      <c r="EV205" s="106"/>
      <c r="EW205" s="106"/>
      <c r="EX205" s="106"/>
      <c r="EY205" s="106"/>
      <c r="EZ205" s="106"/>
      <c r="FA205" s="106"/>
      <c r="FB205" s="106"/>
      <c r="FC205" s="106"/>
      <c r="FD205" s="106"/>
      <c r="FE205" s="106"/>
      <c r="FF205" s="106"/>
      <c r="FG205" s="106"/>
      <c r="FH205" s="106"/>
      <c r="FI205" s="106"/>
      <c r="FJ205" s="106"/>
      <c r="FK205" s="106"/>
      <c r="FL205" s="106"/>
      <c r="FM205" s="106"/>
      <c r="FN205" s="106"/>
      <c r="FO205" s="106"/>
      <c r="FP205" s="106"/>
      <c r="FQ205" s="106"/>
      <c r="FR205" s="106"/>
      <c r="FS205" s="106"/>
      <c r="FT205" s="106"/>
      <c r="FU205" s="106"/>
      <c r="FV205" s="106"/>
      <c r="FW205" s="106"/>
      <c r="FX205" s="106"/>
      <c r="FY205" s="106"/>
    </row>
    <row r="206" spans="1:181" s="51" customFormat="1" ht="15" customHeight="1" x14ac:dyDescent="0.25">
      <c r="B206" s="41">
        <v>54</v>
      </c>
      <c r="C206" s="97"/>
      <c r="D206" s="98"/>
      <c r="E206" s="42"/>
      <c r="F206" s="52"/>
      <c r="G206" s="52"/>
      <c r="H206" s="52"/>
      <c r="I206" s="52"/>
      <c r="J206" s="52"/>
      <c r="K206" s="52"/>
      <c r="L206" s="52"/>
      <c r="M206" s="52"/>
      <c r="N206" s="54"/>
      <c r="O206" s="54"/>
      <c r="P206" s="52"/>
      <c r="Q206" s="55"/>
      <c r="R206" s="55"/>
      <c r="S206" s="55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46">
        <f t="shared" si="153"/>
        <v>0</v>
      </c>
      <c r="AO206" s="46">
        <f t="shared" si="154"/>
        <v>0</v>
      </c>
      <c r="AP206" s="56" t="s">
        <v>114</v>
      </c>
      <c r="AQ206" s="46">
        <f t="shared" si="152"/>
        <v>0</v>
      </c>
      <c r="AR206" s="56"/>
      <c r="AS206" s="56"/>
      <c r="AT206" s="56"/>
      <c r="AU206" s="60">
        <f t="shared" si="123"/>
        <v>0</v>
      </c>
      <c r="AV206" s="56"/>
      <c r="AW206" s="47">
        <f t="shared" si="160"/>
        <v>0</v>
      </c>
      <c r="AX206" s="56"/>
      <c r="AY206" s="46"/>
      <c r="AZ206" s="56"/>
      <c r="BA206" s="56"/>
      <c r="BB206" s="56"/>
      <c r="BC206" s="47">
        <f t="shared" si="120"/>
        <v>0</v>
      </c>
      <c r="BD206" s="56"/>
      <c r="BE206" s="47">
        <f t="shared" si="124"/>
        <v>0</v>
      </c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7"/>
      <c r="CQ206" s="56"/>
      <c r="CR206" s="47">
        <f t="shared" si="139"/>
        <v>0</v>
      </c>
      <c r="CS206" s="56"/>
      <c r="CT206" s="56"/>
      <c r="CU206" s="56"/>
      <c r="CV206" s="56"/>
      <c r="CW206" s="47">
        <f t="shared" si="161"/>
        <v>0</v>
      </c>
      <c r="CX206" s="46"/>
      <c r="CY206" s="47">
        <f t="shared" si="162"/>
        <v>0</v>
      </c>
      <c r="CZ206" s="56"/>
      <c r="DA206" s="56"/>
      <c r="DB206" s="56"/>
      <c r="DC206" s="56"/>
      <c r="DD206" s="47">
        <f t="shared" si="163"/>
        <v>0</v>
      </c>
      <c r="DE206" s="56"/>
      <c r="DF206" s="46">
        <f t="shared" si="164"/>
        <v>0</v>
      </c>
      <c r="DG206" s="56"/>
      <c r="DH206" s="46"/>
      <c r="DI206" s="56"/>
      <c r="DJ206" s="56"/>
      <c r="DK206" s="47">
        <f t="shared" si="125"/>
        <v>0</v>
      </c>
      <c r="DL206" s="47">
        <f t="shared" si="155"/>
        <v>0</v>
      </c>
      <c r="DM206" s="56"/>
      <c r="DN206" s="46"/>
      <c r="DO206" s="56"/>
      <c r="DP206" s="46"/>
      <c r="DQ206" s="56"/>
      <c r="DR206" s="46">
        <f t="shared" si="140"/>
        <v>0</v>
      </c>
      <c r="DS206" s="56"/>
      <c r="DT206" s="46">
        <f>75%*DR206</f>
        <v>0</v>
      </c>
      <c r="DU206" s="56"/>
      <c r="DV206" s="46">
        <f t="shared" si="126"/>
        <v>0</v>
      </c>
      <c r="DW206" s="56"/>
      <c r="DX206" s="47">
        <f t="shared" si="159"/>
        <v>0</v>
      </c>
      <c r="DY206" s="56"/>
      <c r="DZ206" s="56"/>
      <c r="EA206" s="56"/>
      <c r="EB206" s="56"/>
      <c r="EC206" s="56"/>
      <c r="ED206" s="56"/>
      <c r="EE206" s="47">
        <f t="shared" si="118"/>
        <v>0</v>
      </c>
      <c r="EF206" s="56"/>
      <c r="EG206" s="56"/>
      <c r="EH206" s="56"/>
      <c r="EI206" s="56"/>
      <c r="EJ206" s="56"/>
      <c r="EK206" s="47">
        <f t="shared" si="156"/>
        <v>0</v>
      </c>
      <c r="EL206" s="46">
        <f t="shared" si="157"/>
        <v>0</v>
      </c>
      <c r="EM206" s="56"/>
      <c r="EN206" s="61">
        <f t="shared" si="158"/>
        <v>0</v>
      </c>
    </row>
    <row r="207" spans="1:181" s="48" customFormat="1" ht="15" customHeight="1" x14ac:dyDescent="0.25">
      <c r="B207" s="41">
        <v>55</v>
      </c>
      <c r="C207" s="42"/>
      <c r="D207" s="43"/>
      <c r="E207" s="42"/>
      <c r="F207" s="42"/>
      <c r="G207" s="42"/>
      <c r="H207" s="42"/>
      <c r="I207" s="42"/>
      <c r="J207" s="42"/>
      <c r="K207" s="42"/>
      <c r="L207" s="42"/>
      <c r="M207" s="42"/>
      <c r="N207" s="41"/>
      <c r="O207" s="41"/>
      <c r="P207" s="42"/>
      <c r="Q207" s="45"/>
      <c r="R207" s="45"/>
      <c r="S207" s="42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>
        <f t="shared" si="153"/>
        <v>0</v>
      </c>
      <c r="AO207" s="46">
        <f t="shared" si="154"/>
        <v>0</v>
      </c>
      <c r="AP207" s="42" t="s">
        <v>114</v>
      </c>
      <c r="AQ207" s="46">
        <f t="shared" si="152"/>
        <v>0</v>
      </c>
      <c r="AR207" s="46"/>
      <c r="AS207" s="46"/>
      <c r="AT207" s="46"/>
      <c r="AU207" s="47">
        <f t="shared" si="123"/>
        <v>0</v>
      </c>
      <c r="AV207" s="46"/>
      <c r="AW207" s="47">
        <f t="shared" si="160"/>
        <v>0</v>
      </c>
      <c r="AX207" s="42"/>
      <c r="AY207" s="46"/>
      <c r="AZ207" s="46"/>
      <c r="BA207" s="46"/>
      <c r="BB207" s="46"/>
      <c r="BC207" s="47">
        <f t="shared" si="120"/>
        <v>0</v>
      </c>
      <c r="BD207" s="46"/>
      <c r="BE207" s="47">
        <f t="shared" si="124"/>
        <v>0</v>
      </c>
      <c r="BF207" s="42"/>
      <c r="BG207" s="46"/>
      <c r="BH207" s="46"/>
      <c r="BI207" s="46"/>
      <c r="BJ207" s="46"/>
      <c r="BK207" s="46">
        <f>BI207*BJ207</f>
        <v>0</v>
      </c>
      <c r="BL207" s="46"/>
      <c r="BM207" s="47">
        <f>+BG207+BH207+BK207+BL207</f>
        <v>0</v>
      </c>
      <c r="BN207" s="42"/>
      <c r="BO207" s="46"/>
      <c r="BP207" s="46"/>
      <c r="BQ207" s="46"/>
      <c r="BR207" s="46"/>
      <c r="BS207" s="46">
        <f>BQ207*BR207</f>
        <v>0</v>
      </c>
      <c r="BT207" s="46"/>
      <c r="BU207" s="47">
        <f>+BO207+BP207+BS207+BT207</f>
        <v>0</v>
      </c>
      <c r="BV207" s="42"/>
      <c r="BW207" s="46"/>
      <c r="BX207" s="46"/>
      <c r="BY207" s="46"/>
      <c r="BZ207" s="46"/>
      <c r="CA207" s="46">
        <f>BY207*BZ207</f>
        <v>0</v>
      </c>
      <c r="CB207" s="46"/>
      <c r="CC207" s="47">
        <f>+BW207+BX207+CA207+CB207</f>
        <v>0</v>
      </c>
      <c r="CD207" s="42"/>
      <c r="CE207" s="46"/>
      <c r="CF207" s="46"/>
      <c r="CG207" s="46"/>
      <c r="CH207" s="46"/>
      <c r="CI207" s="46">
        <f>CG207*CH207</f>
        <v>0</v>
      </c>
      <c r="CJ207" s="46"/>
      <c r="CK207" s="47">
        <f>+CE207+CF207+CI207+CJ207</f>
        <v>0</v>
      </c>
      <c r="CL207" s="46"/>
      <c r="CM207" s="46"/>
      <c r="CN207" s="46"/>
      <c r="CO207" s="46"/>
      <c r="CP207" s="46">
        <f>CN207*CO207</f>
        <v>0</v>
      </c>
      <c r="CQ207" s="46"/>
      <c r="CR207" s="47">
        <f t="shared" si="139"/>
        <v>0</v>
      </c>
      <c r="CS207" s="46"/>
      <c r="CT207" s="46"/>
      <c r="CU207" s="46"/>
      <c r="CV207" s="46"/>
      <c r="CW207" s="47">
        <f t="shared" si="161"/>
        <v>0</v>
      </c>
      <c r="CX207" s="46"/>
      <c r="CY207" s="47">
        <f t="shared" si="162"/>
        <v>0</v>
      </c>
      <c r="CZ207" s="46"/>
      <c r="DA207" s="46"/>
      <c r="DB207" s="46"/>
      <c r="DC207" s="46"/>
      <c r="DD207" s="47">
        <f t="shared" si="163"/>
        <v>0</v>
      </c>
      <c r="DE207" s="46"/>
      <c r="DF207" s="46">
        <f t="shared" si="164"/>
        <v>0</v>
      </c>
      <c r="DG207" s="46"/>
      <c r="DH207" s="46"/>
      <c r="DI207" s="46"/>
      <c r="DJ207" s="46"/>
      <c r="DK207" s="47">
        <f t="shared" si="125"/>
        <v>0</v>
      </c>
      <c r="DL207" s="47">
        <f t="shared" si="155"/>
        <v>0</v>
      </c>
      <c r="DM207" s="46"/>
      <c r="DN207" s="46"/>
      <c r="DO207" s="46"/>
      <c r="DP207" s="46"/>
      <c r="DQ207" s="46"/>
      <c r="DR207" s="46">
        <f t="shared" si="140"/>
        <v>0</v>
      </c>
      <c r="DS207" s="46"/>
      <c r="DT207" s="46">
        <f t="shared" ref="DT207:DT270" si="166">75%*DP207</f>
        <v>0</v>
      </c>
      <c r="DU207" s="103"/>
      <c r="DV207" s="46">
        <f t="shared" si="126"/>
        <v>0</v>
      </c>
      <c r="DW207" s="45"/>
      <c r="DX207" s="47">
        <f t="shared" si="159"/>
        <v>0</v>
      </c>
      <c r="DY207" s="46"/>
      <c r="DZ207" s="46"/>
      <c r="EA207" s="46"/>
      <c r="EB207" s="46"/>
      <c r="EC207" s="46"/>
      <c r="ED207" s="46"/>
      <c r="EE207" s="47">
        <f t="shared" si="118"/>
        <v>0</v>
      </c>
      <c r="EF207" s="46"/>
      <c r="EG207" s="46"/>
      <c r="EH207" s="46"/>
      <c r="EI207" s="46"/>
      <c r="EJ207" s="46"/>
      <c r="EK207" s="47">
        <f t="shared" si="156"/>
        <v>0</v>
      </c>
      <c r="EL207" s="46">
        <f t="shared" si="157"/>
        <v>0</v>
      </c>
      <c r="EM207" s="46"/>
      <c r="EN207" s="46">
        <f t="shared" si="158"/>
        <v>0</v>
      </c>
      <c r="EO207" s="107"/>
      <c r="EP207" s="107"/>
      <c r="EQ207" s="107"/>
      <c r="ER207" s="107"/>
      <c r="ES207" s="107"/>
      <c r="ET207" s="107"/>
      <c r="EU207" s="107"/>
      <c r="EV207" s="107"/>
      <c r="EW207" s="107"/>
      <c r="EX207" s="107"/>
      <c r="EY207" s="107"/>
      <c r="EZ207" s="107"/>
      <c r="FA207" s="107"/>
      <c r="FB207" s="107"/>
      <c r="FC207" s="107"/>
      <c r="FD207" s="107"/>
      <c r="FE207" s="107"/>
      <c r="FF207" s="107"/>
      <c r="FG207" s="107"/>
      <c r="FH207" s="107"/>
      <c r="FI207" s="107"/>
      <c r="FJ207" s="107"/>
      <c r="FK207" s="107"/>
      <c r="FL207" s="107"/>
      <c r="FM207" s="107"/>
      <c r="FN207" s="107"/>
      <c r="FO207" s="107"/>
      <c r="FP207" s="107"/>
      <c r="FQ207" s="107"/>
      <c r="FR207" s="107"/>
      <c r="FS207" s="107"/>
      <c r="FT207" s="107"/>
      <c r="FU207" s="107"/>
      <c r="FV207" s="107"/>
      <c r="FW207" s="107"/>
      <c r="FX207" s="107"/>
      <c r="FY207" s="107"/>
    </row>
    <row r="208" spans="1:181" s="48" customFormat="1" ht="15" customHeight="1" x14ac:dyDescent="0.25">
      <c r="A208" s="58"/>
      <c r="B208" s="88">
        <v>21</v>
      </c>
      <c r="C208" s="42"/>
      <c r="D208" s="43"/>
      <c r="E208" s="42"/>
      <c r="F208" s="42"/>
      <c r="G208" s="49"/>
      <c r="H208" s="49"/>
      <c r="I208" s="49"/>
      <c r="J208" s="49"/>
      <c r="K208" s="49"/>
      <c r="L208" s="49"/>
      <c r="M208" s="42"/>
      <c r="N208" s="41"/>
      <c r="O208" s="41"/>
      <c r="P208" s="42"/>
      <c r="Q208" s="45"/>
      <c r="R208" s="45"/>
      <c r="S208" s="42"/>
      <c r="T208" s="46"/>
      <c r="U208" s="46"/>
      <c r="V208" s="46"/>
      <c r="W208" s="46"/>
      <c r="X208" s="46"/>
      <c r="Y208" s="46"/>
      <c r="Z208" s="42"/>
      <c r="AA208" s="42"/>
      <c r="AB208" s="42"/>
      <c r="AC208" s="42"/>
      <c r="AD208" s="42"/>
      <c r="AE208" s="42"/>
      <c r="AF208" s="42"/>
      <c r="AG208" s="42"/>
      <c r="AH208" s="42"/>
      <c r="AI208" s="46"/>
      <c r="AJ208" s="42"/>
      <c r="AK208" s="42"/>
      <c r="AL208" s="42"/>
      <c r="AM208" s="42"/>
      <c r="AN208" s="90">
        <f t="shared" si="153"/>
        <v>0</v>
      </c>
      <c r="AO208" s="90">
        <f t="shared" si="154"/>
        <v>0</v>
      </c>
      <c r="AP208" s="42" t="s">
        <v>111</v>
      </c>
      <c r="AQ208" s="46">
        <f t="shared" si="152"/>
        <v>0</v>
      </c>
      <c r="AR208" s="46"/>
      <c r="AS208" s="42"/>
      <c r="AT208" s="46"/>
      <c r="AU208" s="64">
        <f t="shared" si="123"/>
        <v>0</v>
      </c>
      <c r="AV208" s="47"/>
      <c r="AW208" s="64">
        <f t="shared" si="160"/>
        <v>0</v>
      </c>
      <c r="AX208" s="47"/>
      <c r="AY208" s="46"/>
      <c r="AZ208" s="47"/>
      <c r="BA208" s="47"/>
      <c r="BB208" s="47"/>
      <c r="BC208" s="47">
        <f t="shared" si="120"/>
        <v>0</v>
      </c>
      <c r="BD208" s="47"/>
      <c r="BE208" s="47">
        <f t="shared" si="124"/>
        <v>0</v>
      </c>
      <c r="BF208" s="47"/>
      <c r="BG208" s="47"/>
      <c r="BH208" s="47"/>
      <c r="BI208" s="47"/>
      <c r="BJ208" s="47"/>
      <c r="BK208" s="46">
        <f>BI208*BJ208</f>
        <v>0</v>
      </c>
      <c r="BL208" s="47"/>
      <c r="BM208" s="64">
        <f>+BG208+BH208+BK208+BL208</f>
        <v>0</v>
      </c>
      <c r="BN208" s="47"/>
      <c r="BO208" s="47"/>
      <c r="BP208" s="47"/>
      <c r="BQ208" s="47"/>
      <c r="BR208" s="47"/>
      <c r="BS208" s="46">
        <f>BQ208*BR208</f>
        <v>0</v>
      </c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6"/>
      <c r="CQ208" s="47"/>
      <c r="CR208" s="64">
        <f t="shared" si="139"/>
        <v>0</v>
      </c>
      <c r="CS208" s="47"/>
      <c r="CT208" s="47"/>
      <c r="CU208" s="47"/>
      <c r="CV208" s="47"/>
      <c r="CW208" s="47">
        <f t="shared" si="161"/>
        <v>0</v>
      </c>
      <c r="CX208" s="46"/>
      <c r="CY208" s="47">
        <f t="shared" si="162"/>
        <v>0</v>
      </c>
      <c r="CZ208" s="47"/>
      <c r="DA208" s="47"/>
      <c r="DB208" s="47"/>
      <c r="DC208" s="47"/>
      <c r="DD208" s="47"/>
      <c r="DE208" s="47"/>
      <c r="DF208" s="46">
        <f t="shared" si="164"/>
        <v>0</v>
      </c>
      <c r="DG208" s="47"/>
      <c r="DH208" s="46">
        <f>AQ208/2</f>
        <v>0</v>
      </c>
      <c r="DI208" s="47"/>
      <c r="DJ208" s="47"/>
      <c r="DK208" s="64">
        <f t="shared" si="125"/>
        <v>0</v>
      </c>
      <c r="DL208" s="60">
        <f t="shared" si="155"/>
        <v>0</v>
      </c>
      <c r="DM208" s="94"/>
      <c r="DN208" s="46">
        <f>7.5%*AQ208</f>
        <v>0</v>
      </c>
      <c r="DO208" s="47"/>
      <c r="DP208" s="90">
        <f>10%*AQ208</f>
        <v>0</v>
      </c>
      <c r="DQ208" s="47"/>
      <c r="DR208" s="90">
        <f t="shared" si="140"/>
        <v>0</v>
      </c>
      <c r="DS208" s="47"/>
      <c r="DT208" s="46">
        <f t="shared" si="166"/>
        <v>0</v>
      </c>
      <c r="DU208" s="47"/>
      <c r="DV208" s="46">
        <f t="shared" si="126"/>
        <v>0</v>
      </c>
      <c r="DW208" s="47"/>
      <c r="DX208" s="64">
        <f t="shared" si="159"/>
        <v>0</v>
      </c>
      <c r="DY208" s="91"/>
      <c r="DZ208" s="47"/>
      <c r="EA208" s="47"/>
      <c r="EB208" s="47"/>
      <c r="EC208" s="47"/>
      <c r="ED208" s="47"/>
      <c r="EE208" s="47">
        <f t="shared" si="118"/>
        <v>0</v>
      </c>
      <c r="EF208" s="47"/>
      <c r="EG208" s="47"/>
      <c r="EH208" s="47"/>
      <c r="EI208" s="91"/>
      <c r="EJ208" s="47"/>
      <c r="EK208" s="47">
        <f t="shared" si="156"/>
        <v>0</v>
      </c>
      <c r="EL208" s="46">
        <f t="shared" si="157"/>
        <v>0</v>
      </c>
      <c r="EM208" s="46"/>
      <c r="EN208" s="46">
        <f t="shared" si="158"/>
        <v>0</v>
      </c>
    </row>
    <row r="209" spans="1:181" s="48" customFormat="1" ht="15" customHeight="1" x14ac:dyDescent="0.25">
      <c r="B209" s="41">
        <v>7</v>
      </c>
      <c r="C209" s="42"/>
      <c r="D209" s="43"/>
      <c r="E209" s="42"/>
      <c r="F209" s="42"/>
      <c r="G209" s="42"/>
      <c r="H209" s="42"/>
      <c r="I209" s="42"/>
      <c r="J209" s="42"/>
      <c r="K209" s="42"/>
      <c r="L209" s="42"/>
      <c r="M209" s="42"/>
      <c r="N209" s="41"/>
      <c r="O209" s="41"/>
      <c r="P209" s="42"/>
      <c r="Q209" s="45"/>
      <c r="R209" s="45"/>
      <c r="S209" s="42"/>
      <c r="T209" s="46"/>
      <c r="U209" s="46"/>
      <c r="V209" s="42"/>
      <c r="W209" s="42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7">
        <f t="shared" si="153"/>
        <v>0</v>
      </c>
      <c r="AO209" s="47">
        <f t="shared" si="154"/>
        <v>0</v>
      </c>
      <c r="AP209" s="46" t="s">
        <v>98</v>
      </c>
      <c r="AQ209" s="46">
        <f>18%*AO209</f>
        <v>0</v>
      </c>
      <c r="AR209" s="46"/>
      <c r="AS209" s="46"/>
      <c r="AT209" s="46"/>
      <c r="AU209" s="47">
        <f t="shared" si="123"/>
        <v>0</v>
      </c>
      <c r="AV209" s="46"/>
      <c r="AW209" s="47">
        <f>AQ209+AU209+AV209+AR209</f>
        <v>0</v>
      </c>
      <c r="AX209" s="46"/>
      <c r="AY209" s="46"/>
      <c r="AZ209" s="46"/>
      <c r="BA209" s="46"/>
      <c r="BB209" s="46"/>
      <c r="BC209" s="47">
        <f t="shared" si="120"/>
        <v>0</v>
      </c>
      <c r="BD209" s="46"/>
      <c r="BE209" s="47">
        <f t="shared" si="124"/>
        <v>0</v>
      </c>
      <c r="BF209" s="46"/>
      <c r="BG209" s="46"/>
      <c r="BH209" s="46"/>
      <c r="BI209" s="46"/>
      <c r="BJ209" s="46"/>
      <c r="BK209" s="46">
        <f>BI209*BJ209</f>
        <v>0</v>
      </c>
      <c r="BL209" s="46"/>
      <c r="BM209" s="46">
        <f>BK209</f>
        <v>0</v>
      </c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>
        <f>CN209*CO209</f>
        <v>0</v>
      </c>
      <c r="CQ209" s="46"/>
      <c r="CR209" s="47">
        <f t="shared" si="139"/>
        <v>0</v>
      </c>
      <c r="CS209" s="46"/>
      <c r="CT209" s="46"/>
      <c r="CU209" s="46"/>
      <c r="CV209" s="46"/>
      <c r="CW209" s="47">
        <f t="shared" si="161"/>
        <v>0</v>
      </c>
      <c r="CX209" s="46"/>
      <c r="CY209" s="47">
        <f t="shared" si="162"/>
        <v>0</v>
      </c>
      <c r="CZ209" s="46"/>
      <c r="DA209" s="46"/>
      <c r="DB209" s="46"/>
      <c r="DC209" s="46"/>
      <c r="DD209" s="47">
        <f>DB209*DC209</f>
        <v>0</v>
      </c>
      <c r="DE209" s="46"/>
      <c r="DF209" s="46">
        <f>DA209+DD209+DE209</f>
        <v>0</v>
      </c>
      <c r="DG209" s="46"/>
      <c r="DH209" s="46">
        <f>AQ209/2</f>
        <v>0</v>
      </c>
      <c r="DI209" s="46"/>
      <c r="DJ209" s="46"/>
      <c r="DK209" s="47">
        <f t="shared" si="125"/>
        <v>0</v>
      </c>
      <c r="DL209" s="47">
        <f t="shared" si="155"/>
        <v>0</v>
      </c>
      <c r="DM209" s="46"/>
      <c r="DN209" s="46">
        <f>7.5%*AQ209</f>
        <v>0</v>
      </c>
      <c r="DO209" s="46"/>
      <c r="DP209" s="46">
        <f>10%*AQ209</f>
        <v>0</v>
      </c>
      <c r="DQ209" s="46"/>
      <c r="DR209" s="46">
        <f t="shared" si="140"/>
        <v>0</v>
      </c>
      <c r="DS209" s="46"/>
      <c r="DT209" s="46">
        <f t="shared" si="166"/>
        <v>0</v>
      </c>
      <c r="DU209" s="46"/>
      <c r="DV209" s="46"/>
      <c r="DW209" s="46"/>
      <c r="DX209" s="47">
        <f t="shared" si="159"/>
        <v>0</v>
      </c>
      <c r="DY209" s="46"/>
      <c r="DZ209" s="46"/>
      <c r="EA209" s="46"/>
      <c r="EB209" s="46"/>
      <c r="EC209" s="46"/>
      <c r="ED209" s="46"/>
      <c r="EE209" s="47">
        <f t="shared" si="118"/>
        <v>0</v>
      </c>
      <c r="EF209" s="46"/>
      <c r="EG209" s="46"/>
      <c r="EH209" s="46"/>
      <c r="EI209" s="46"/>
      <c r="EJ209" s="46"/>
      <c r="EK209" s="47">
        <f t="shared" si="156"/>
        <v>0</v>
      </c>
      <c r="EL209" s="46">
        <f t="shared" si="157"/>
        <v>0</v>
      </c>
      <c r="EM209" s="46"/>
      <c r="EN209" s="46">
        <f t="shared" si="158"/>
        <v>0</v>
      </c>
    </row>
    <row r="210" spans="1:181" s="48" customFormat="1" ht="15" customHeight="1" x14ac:dyDescent="0.25">
      <c r="A210" s="58"/>
      <c r="B210" s="88">
        <v>36</v>
      </c>
      <c r="C210" s="42"/>
      <c r="D210" s="43"/>
      <c r="E210" s="42"/>
      <c r="F210" s="42"/>
      <c r="G210" s="49"/>
      <c r="H210" s="49"/>
      <c r="I210" s="49"/>
      <c r="J210" s="49"/>
      <c r="K210" s="49"/>
      <c r="L210" s="49"/>
      <c r="M210" s="42"/>
      <c r="N210" s="41"/>
      <c r="O210" s="41"/>
      <c r="P210" s="42"/>
      <c r="Q210" s="45"/>
      <c r="R210" s="45"/>
      <c r="S210" s="42"/>
      <c r="T210" s="46"/>
      <c r="U210" s="46"/>
      <c r="V210" s="46"/>
      <c r="W210" s="46"/>
      <c r="X210" s="46"/>
      <c r="Y210" s="46"/>
      <c r="Z210" s="42"/>
      <c r="AA210" s="42"/>
      <c r="AB210" s="42"/>
      <c r="AC210" s="42"/>
      <c r="AD210" s="42"/>
      <c r="AE210" s="42"/>
      <c r="AF210" s="42"/>
      <c r="AG210" s="42"/>
      <c r="AH210" s="42"/>
      <c r="AI210" s="46"/>
      <c r="AJ210" s="42"/>
      <c r="AK210" s="42"/>
      <c r="AL210" s="42"/>
      <c r="AM210" s="42"/>
      <c r="AN210" s="90">
        <f t="shared" si="153"/>
        <v>0</v>
      </c>
      <c r="AO210" s="90">
        <f t="shared" si="154"/>
        <v>0</v>
      </c>
      <c r="AP210" s="42" t="s">
        <v>111</v>
      </c>
      <c r="AQ210" s="46">
        <f t="shared" ref="AQ210:AQ235" si="167">20%*AO210</f>
        <v>0</v>
      </c>
      <c r="AR210" s="46"/>
      <c r="AS210" s="42"/>
      <c r="AT210" s="46"/>
      <c r="AU210" s="64">
        <f t="shared" si="123"/>
        <v>0</v>
      </c>
      <c r="AV210" s="47"/>
      <c r="AW210" s="64">
        <f t="shared" ref="AW210:AW273" si="168">AQ210+AU210+AV210</f>
        <v>0</v>
      </c>
      <c r="AX210" s="47"/>
      <c r="AY210" s="90"/>
      <c r="AZ210" s="47"/>
      <c r="BA210" s="47"/>
      <c r="BB210" s="47"/>
      <c r="BC210" s="47">
        <f t="shared" si="120"/>
        <v>0</v>
      </c>
      <c r="BD210" s="47"/>
      <c r="BE210" s="47">
        <f t="shared" si="124"/>
        <v>0</v>
      </c>
      <c r="BF210" s="47"/>
      <c r="BG210" s="47"/>
      <c r="BH210" s="47"/>
      <c r="BI210" s="47"/>
      <c r="BJ210" s="47"/>
      <c r="BK210" s="46">
        <f>BI210*BJ210</f>
        <v>0</v>
      </c>
      <c r="BL210" s="47"/>
      <c r="BM210" s="47">
        <f t="shared" ref="BM210:BM273" si="169">+BG210+BH210+BK210+BL210</f>
        <v>0</v>
      </c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6"/>
      <c r="CQ210" s="47"/>
      <c r="CR210" s="64">
        <f t="shared" si="139"/>
        <v>0</v>
      </c>
      <c r="CS210" s="47"/>
      <c r="CT210" s="47"/>
      <c r="CU210" s="47"/>
      <c r="CV210" s="47"/>
      <c r="CW210" s="47">
        <f t="shared" si="161"/>
        <v>0</v>
      </c>
      <c r="CX210" s="46"/>
      <c r="CY210" s="47">
        <f t="shared" si="162"/>
        <v>0</v>
      </c>
      <c r="CZ210" s="47"/>
      <c r="DA210" s="47"/>
      <c r="DB210" s="47"/>
      <c r="DC210" s="47"/>
      <c r="DD210" s="64">
        <f t="shared" ref="DD210:DD236" si="170">+DB210*DC210</f>
        <v>0</v>
      </c>
      <c r="DE210" s="47"/>
      <c r="DF210" s="46">
        <f t="shared" ref="DF210:DF257" si="171">DC210</f>
        <v>0</v>
      </c>
      <c r="DG210" s="47"/>
      <c r="DH210" s="46">
        <f>AQ210/2</f>
        <v>0</v>
      </c>
      <c r="DI210" s="47"/>
      <c r="DJ210" s="47"/>
      <c r="DK210" s="64">
        <f t="shared" si="125"/>
        <v>0</v>
      </c>
      <c r="DL210" s="60">
        <f t="shared" si="155"/>
        <v>0</v>
      </c>
      <c r="DM210" s="94"/>
      <c r="DN210" s="46">
        <f>7.5%*AQ210</f>
        <v>0</v>
      </c>
      <c r="DO210" s="47"/>
      <c r="DP210" s="90">
        <f>10%*AQ210</f>
        <v>0</v>
      </c>
      <c r="DQ210" s="47"/>
      <c r="DR210" s="90">
        <f t="shared" si="140"/>
        <v>0</v>
      </c>
      <c r="DS210" s="47"/>
      <c r="DT210" s="46">
        <f t="shared" si="166"/>
        <v>0</v>
      </c>
      <c r="DU210" s="47"/>
      <c r="DV210" s="46">
        <f t="shared" ref="DV210:DV273" si="172">DT210/2</f>
        <v>0</v>
      </c>
      <c r="DW210" s="47"/>
      <c r="DX210" s="64">
        <f t="shared" si="159"/>
        <v>0</v>
      </c>
      <c r="DY210" s="91"/>
      <c r="DZ210" s="47"/>
      <c r="EA210" s="47"/>
      <c r="EB210" s="47"/>
      <c r="EC210" s="47"/>
      <c r="ED210" s="47"/>
      <c r="EE210" s="47">
        <f t="shared" si="118"/>
        <v>0</v>
      </c>
      <c r="EF210" s="47"/>
      <c r="EG210" s="47"/>
      <c r="EH210" s="47"/>
      <c r="EI210" s="91"/>
      <c r="EJ210" s="47"/>
      <c r="EK210" s="47">
        <f t="shared" si="156"/>
        <v>0</v>
      </c>
      <c r="EL210" s="46">
        <f t="shared" si="157"/>
        <v>0</v>
      </c>
      <c r="EM210" s="46"/>
      <c r="EN210" s="46">
        <f t="shared" si="158"/>
        <v>0</v>
      </c>
    </row>
    <row r="211" spans="1:181" s="48" customFormat="1" ht="15" customHeight="1" x14ac:dyDescent="0.25">
      <c r="B211" s="41">
        <v>56</v>
      </c>
      <c r="C211" s="42"/>
      <c r="D211" s="43"/>
      <c r="E211" s="42"/>
      <c r="F211" s="42"/>
      <c r="G211" s="42"/>
      <c r="H211" s="42"/>
      <c r="I211" s="42"/>
      <c r="J211" s="42"/>
      <c r="K211" s="42"/>
      <c r="L211" s="42"/>
      <c r="M211" s="42"/>
      <c r="N211" s="41"/>
      <c r="O211" s="41"/>
      <c r="P211" s="42"/>
      <c r="Q211" s="45"/>
      <c r="R211" s="45"/>
      <c r="S211" s="42"/>
      <c r="T211" s="46"/>
      <c r="U211" s="46"/>
      <c r="V211" s="42"/>
      <c r="W211" s="42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>
        <f t="shared" si="153"/>
        <v>0</v>
      </c>
      <c r="AO211" s="46">
        <f t="shared" si="154"/>
        <v>0</v>
      </c>
      <c r="AP211" s="46" t="s">
        <v>111</v>
      </c>
      <c r="AQ211" s="46">
        <f t="shared" si="167"/>
        <v>0</v>
      </c>
      <c r="AR211" s="46"/>
      <c r="AS211" s="46"/>
      <c r="AT211" s="46"/>
      <c r="AU211" s="47">
        <f t="shared" si="123"/>
        <v>0</v>
      </c>
      <c r="AV211" s="46"/>
      <c r="AW211" s="47">
        <f t="shared" si="168"/>
        <v>0</v>
      </c>
      <c r="AX211" s="46"/>
      <c r="AY211" s="46"/>
      <c r="AZ211" s="46"/>
      <c r="BA211" s="46"/>
      <c r="BB211" s="46"/>
      <c r="BC211" s="47">
        <f t="shared" si="120"/>
        <v>0</v>
      </c>
      <c r="BD211" s="46"/>
      <c r="BE211" s="64">
        <f t="shared" si="124"/>
        <v>0</v>
      </c>
      <c r="BF211" s="46"/>
      <c r="BG211" s="46"/>
      <c r="BH211" s="46"/>
      <c r="BI211" s="46"/>
      <c r="BJ211" s="46"/>
      <c r="BK211" s="47">
        <f>+BI211*BJ211</f>
        <v>0</v>
      </c>
      <c r="BL211" s="46"/>
      <c r="BM211" s="47">
        <f t="shared" si="169"/>
        <v>0</v>
      </c>
      <c r="BN211" s="46"/>
      <c r="BO211" s="46"/>
      <c r="BP211" s="46"/>
      <c r="BQ211" s="46"/>
      <c r="BR211" s="46"/>
      <c r="BS211" s="46">
        <f>BQ211*BR211</f>
        <v>0</v>
      </c>
      <c r="BT211" s="46"/>
      <c r="BU211" s="47">
        <f t="shared" ref="BU211:BU256" si="173">+BO211+BP211+BS211+BT211</f>
        <v>0</v>
      </c>
      <c r="BV211" s="46"/>
      <c r="BW211" s="46"/>
      <c r="BX211" s="46"/>
      <c r="BY211" s="46"/>
      <c r="BZ211" s="46"/>
      <c r="CA211" s="46">
        <f>BY211*BZ211</f>
        <v>0</v>
      </c>
      <c r="CB211" s="46"/>
      <c r="CC211" s="47">
        <f t="shared" ref="CC211:CC250" si="174">+BW211+BX211+CA211+CB211</f>
        <v>0</v>
      </c>
      <c r="CD211" s="46"/>
      <c r="CE211" s="46"/>
      <c r="CF211" s="46"/>
      <c r="CG211" s="46"/>
      <c r="CH211" s="46"/>
      <c r="CI211" s="46">
        <f>CG211*CH211</f>
        <v>0</v>
      </c>
      <c r="CJ211" s="46"/>
      <c r="CK211" s="47">
        <f t="shared" ref="CK211:CK250" si="175">+CE211+CF211+CI211+CJ211</f>
        <v>0</v>
      </c>
      <c r="CL211" s="46"/>
      <c r="CM211" s="46"/>
      <c r="CN211" s="46"/>
      <c r="CO211" s="46"/>
      <c r="CP211" s="46">
        <f t="shared" ref="CP211:CP250" si="176">CN211*CO211</f>
        <v>0</v>
      </c>
      <c r="CQ211" s="46"/>
      <c r="CR211" s="47">
        <f t="shared" si="139"/>
        <v>0</v>
      </c>
      <c r="CS211" s="46"/>
      <c r="CT211" s="46"/>
      <c r="CU211" s="46"/>
      <c r="CV211" s="46"/>
      <c r="CW211" s="47">
        <f t="shared" si="161"/>
        <v>0</v>
      </c>
      <c r="CX211" s="46"/>
      <c r="CY211" s="47">
        <f t="shared" si="162"/>
        <v>0</v>
      </c>
      <c r="CZ211" s="46"/>
      <c r="DA211" s="46"/>
      <c r="DB211" s="46"/>
      <c r="DC211" s="46"/>
      <c r="DD211" s="47">
        <f t="shared" si="170"/>
        <v>0</v>
      </c>
      <c r="DE211" s="46"/>
      <c r="DF211" s="46">
        <f t="shared" si="171"/>
        <v>0</v>
      </c>
      <c r="DG211" s="46"/>
      <c r="DH211" s="46">
        <f>AQ211/2</f>
        <v>0</v>
      </c>
      <c r="DI211" s="46"/>
      <c r="DJ211" s="46"/>
      <c r="DK211" s="47">
        <f t="shared" si="125"/>
        <v>0</v>
      </c>
      <c r="DL211" s="47">
        <f t="shared" si="155"/>
        <v>0</v>
      </c>
      <c r="DM211" s="46"/>
      <c r="DN211" s="46">
        <f>7%*AQ211</f>
        <v>0</v>
      </c>
      <c r="DO211" s="46"/>
      <c r="DP211" s="46">
        <f>DN211</f>
        <v>0</v>
      </c>
      <c r="DQ211" s="46"/>
      <c r="DR211" s="46">
        <f t="shared" si="140"/>
        <v>0</v>
      </c>
      <c r="DS211" s="46"/>
      <c r="DT211" s="46">
        <f t="shared" si="166"/>
        <v>0</v>
      </c>
      <c r="DU211" s="46"/>
      <c r="DV211" s="46">
        <f t="shared" si="172"/>
        <v>0</v>
      </c>
      <c r="DW211" s="46"/>
      <c r="DX211" s="47">
        <f t="shared" si="159"/>
        <v>0</v>
      </c>
      <c r="DY211" s="46"/>
      <c r="DZ211" s="46"/>
      <c r="EA211" s="46"/>
      <c r="EB211" s="46"/>
      <c r="EC211" s="46"/>
      <c r="ED211" s="46"/>
      <c r="EE211" s="47">
        <f t="shared" si="118"/>
        <v>0</v>
      </c>
      <c r="EF211" s="46"/>
      <c r="EG211" s="46"/>
      <c r="EH211" s="46"/>
      <c r="EI211" s="46"/>
      <c r="EJ211" s="46"/>
      <c r="EK211" s="47">
        <f t="shared" si="156"/>
        <v>0</v>
      </c>
      <c r="EL211" s="46">
        <f t="shared" si="157"/>
        <v>0</v>
      </c>
      <c r="EM211" s="46"/>
      <c r="EN211" s="46">
        <f t="shared" si="158"/>
        <v>0</v>
      </c>
    </row>
    <row r="212" spans="1:181" s="73" customFormat="1" ht="15" customHeight="1" x14ac:dyDescent="0.25">
      <c r="B212" s="67">
        <v>30</v>
      </c>
      <c r="C212" s="68"/>
      <c r="D212" s="69"/>
      <c r="E212" s="68"/>
      <c r="F212" s="68"/>
      <c r="G212" s="68"/>
      <c r="H212" s="68"/>
      <c r="I212" s="68"/>
      <c r="J212" s="68"/>
      <c r="K212" s="68"/>
      <c r="L212" s="68"/>
      <c r="M212" s="68"/>
      <c r="N212" s="67"/>
      <c r="O212" s="67"/>
      <c r="P212" s="68"/>
      <c r="Q212" s="70"/>
      <c r="R212" s="70"/>
      <c r="S212" s="108"/>
      <c r="T212" s="71"/>
      <c r="U212" s="71"/>
      <c r="V212" s="71"/>
      <c r="W212" s="71"/>
      <c r="X212" s="71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71"/>
      <c r="AJ212" s="71"/>
      <c r="AK212" s="68"/>
      <c r="AL212" s="68"/>
      <c r="AM212" s="68"/>
      <c r="AN212" s="71">
        <f t="shared" si="153"/>
        <v>0</v>
      </c>
      <c r="AO212" s="72">
        <f t="shared" si="154"/>
        <v>0</v>
      </c>
      <c r="AP212" s="68" t="s">
        <v>114</v>
      </c>
      <c r="AQ212" s="71">
        <f t="shared" si="167"/>
        <v>0</v>
      </c>
      <c r="AR212" s="71"/>
      <c r="AS212" s="68"/>
      <c r="AT212" s="71"/>
      <c r="AU212" s="72">
        <f t="shared" si="123"/>
        <v>0</v>
      </c>
      <c r="AV212" s="71"/>
      <c r="AW212" s="72">
        <f t="shared" si="168"/>
        <v>0</v>
      </c>
      <c r="AX212" s="68"/>
      <c r="AY212" s="71"/>
      <c r="AZ212" s="68"/>
      <c r="BA212" s="68"/>
      <c r="BB212" s="68"/>
      <c r="BC212" s="72">
        <f t="shared" si="120"/>
        <v>0</v>
      </c>
      <c r="BD212" s="68"/>
      <c r="BE212" s="72">
        <f t="shared" si="124"/>
        <v>0</v>
      </c>
      <c r="BF212" s="68"/>
      <c r="BG212" s="68"/>
      <c r="BH212" s="68"/>
      <c r="BI212" s="68"/>
      <c r="BJ212" s="68"/>
      <c r="BK212" s="72">
        <f>+BI212*BJ212</f>
        <v>0</v>
      </c>
      <c r="BL212" s="68"/>
      <c r="BM212" s="72">
        <f t="shared" si="169"/>
        <v>0</v>
      </c>
      <c r="BN212" s="68"/>
      <c r="BO212" s="68"/>
      <c r="BP212" s="68"/>
      <c r="BQ212" s="68"/>
      <c r="BR212" s="68"/>
      <c r="BS212" s="68"/>
      <c r="BT212" s="68"/>
      <c r="BU212" s="72">
        <f t="shared" si="173"/>
        <v>0</v>
      </c>
      <c r="BV212" s="68"/>
      <c r="BW212" s="68"/>
      <c r="BX212" s="68"/>
      <c r="BY212" s="68"/>
      <c r="BZ212" s="68"/>
      <c r="CA212" s="68"/>
      <c r="CB212" s="68"/>
      <c r="CC212" s="72">
        <f t="shared" si="174"/>
        <v>0</v>
      </c>
      <c r="CD212" s="68"/>
      <c r="CE212" s="68"/>
      <c r="CF212" s="68"/>
      <c r="CG212" s="68"/>
      <c r="CH212" s="68"/>
      <c r="CI212" s="68"/>
      <c r="CJ212" s="68"/>
      <c r="CK212" s="72">
        <f t="shared" si="175"/>
        <v>0</v>
      </c>
      <c r="CL212" s="68"/>
      <c r="CM212" s="68"/>
      <c r="CN212" s="68"/>
      <c r="CO212" s="68"/>
      <c r="CP212" s="71">
        <f t="shared" si="176"/>
        <v>0</v>
      </c>
      <c r="CQ212" s="71"/>
      <c r="CR212" s="72">
        <f t="shared" si="139"/>
        <v>0</v>
      </c>
      <c r="CS212" s="71"/>
      <c r="CT212" s="71"/>
      <c r="CU212" s="71"/>
      <c r="CV212" s="71"/>
      <c r="CW212" s="72">
        <f t="shared" si="161"/>
        <v>0</v>
      </c>
      <c r="CX212" s="71"/>
      <c r="CY212" s="72">
        <f t="shared" si="162"/>
        <v>0</v>
      </c>
      <c r="CZ212" s="71"/>
      <c r="DA212" s="71"/>
      <c r="DB212" s="71"/>
      <c r="DC212" s="71"/>
      <c r="DD212" s="72">
        <f t="shared" si="170"/>
        <v>0</v>
      </c>
      <c r="DE212" s="68"/>
      <c r="DF212" s="71">
        <f t="shared" si="171"/>
        <v>0</v>
      </c>
      <c r="DG212" s="71"/>
      <c r="DH212" s="71"/>
      <c r="DI212" s="71"/>
      <c r="DJ212" s="71"/>
      <c r="DK212" s="72">
        <f t="shared" si="125"/>
        <v>0</v>
      </c>
      <c r="DL212" s="72">
        <f t="shared" si="155"/>
        <v>0</v>
      </c>
      <c r="DM212" s="71"/>
      <c r="DN212" s="71"/>
      <c r="DO212" s="71"/>
      <c r="DP212" s="71"/>
      <c r="DQ212" s="68"/>
      <c r="DR212" s="71">
        <f t="shared" si="140"/>
        <v>0</v>
      </c>
      <c r="DS212" s="68"/>
      <c r="DT212" s="71">
        <f t="shared" si="166"/>
        <v>0</v>
      </c>
      <c r="DU212" s="68"/>
      <c r="DV212" s="71">
        <f t="shared" si="172"/>
        <v>0</v>
      </c>
      <c r="DW212" s="68"/>
      <c r="DX212" s="72">
        <f t="shared" si="159"/>
        <v>0</v>
      </c>
      <c r="DY212" s="71"/>
      <c r="DZ212" s="71"/>
      <c r="EA212" s="71"/>
      <c r="EB212" s="71"/>
      <c r="EC212" s="71"/>
      <c r="ED212" s="71"/>
      <c r="EE212" s="72">
        <f t="shared" si="118"/>
        <v>0</v>
      </c>
      <c r="EF212" s="71"/>
      <c r="EG212" s="71"/>
      <c r="EH212" s="71"/>
      <c r="EI212" s="71"/>
      <c r="EJ212" s="71"/>
      <c r="EK212" s="72">
        <f t="shared" si="156"/>
        <v>0</v>
      </c>
      <c r="EL212" s="71">
        <f t="shared" si="157"/>
        <v>0</v>
      </c>
      <c r="EM212" s="71"/>
      <c r="EN212" s="71">
        <f t="shared" si="158"/>
        <v>0</v>
      </c>
    </row>
    <row r="213" spans="1:181" s="48" customFormat="1" ht="15" customHeight="1" x14ac:dyDescent="0.25">
      <c r="B213" s="41">
        <v>57</v>
      </c>
      <c r="C213" s="42"/>
      <c r="D213" s="43"/>
      <c r="E213" s="42"/>
      <c r="F213" s="42"/>
      <c r="G213" s="42"/>
      <c r="H213" s="42"/>
      <c r="I213" s="42"/>
      <c r="J213" s="42"/>
      <c r="K213" s="42"/>
      <c r="L213" s="42"/>
      <c r="M213" s="42"/>
      <c r="N213" s="41"/>
      <c r="O213" s="41"/>
      <c r="P213" s="42"/>
      <c r="Q213" s="45"/>
      <c r="R213" s="45"/>
      <c r="S213" s="42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>
        <f t="shared" si="153"/>
        <v>0</v>
      </c>
      <c r="AO213" s="46">
        <f t="shared" si="154"/>
        <v>0</v>
      </c>
      <c r="AP213" s="42" t="s">
        <v>111</v>
      </c>
      <c r="AQ213" s="46">
        <f t="shared" si="167"/>
        <v>0</v>
      </c>
      <c r="AR213" s="46"/>
      <c r="AS213" s="46"/>
      <c r="AT213" s="46"/>
      <c r="AU213" s="47">
        <f t="shared" si="123"/>
        <v>0</v>
      </c>
      <c r="AV213" s="46"/>
      <c r="AW213" s="47">
        <f t="shared" si="168"/>
        <v>0</v>
      </c>
      <c r="AX213" s="42"/>
      <c r="AY213" s="46"/>
      <c r="AZ213" s="46"/>
      <c r="BA213" s="46"/>
      <c r="BB213" s="46"/>
      <c r="BC213" s="47">
        <f t="shared" si="120"/>
        <v>0</v>
      </c>
      <c r="BD213" s="46"/>
      <c r="BE213" s="47">
        <f t="shared" si="124"/>
        <v>0</v>
      </c>
      <c r="BF213" s="42"/>
      <c r="BG213" s="46"/>
      <c r="BH213" s="46"/>
      <c r="BI213" s="46"/>
      <c r="BJ213" s="46"/>
      <c r="BK213" s="46">
        <f t="shared" ref="BK213:BK218" si="177">BI213*BJ213</f>
        <v>0</v>
      </c>
      <c r="BL213" s="46"/>
      <c r="BM213" s="47">
        <f t="shared" si="169"/>
        <v>0</v>
      </c>
      <c r="BN213" s="42"/>
      <c r="BO213" s="46"/>
      <c r="BP213" s="46"/>
      <c r="BQ213" s="46"/>
      <c r="BR213" s="46"/>
      <c r="BS213" s="46">
        <f>BQ213*BR213</f>
        <v>0</v>
      </c>
      <c r="BT213" s="46"/>
      <c r="BU213" s="47">
        <f t="shared" si="173"/>
        <v>0</v>
      </c>
      <c r="BV213" s="42"/>
      <c r="BW213" s="46"/>
      <c r="BX213" s="46"/>
      <c r="BY213" s="46"/>
      <c r="BZ213" s="46"/>
      <c r="CA213" s="46">
        <f>BY213*BZ213</f>
        <v>0</v>
      </c>
      <c r="CB213" s="46"/>
      <c r="CC213" s="47">
        <f t="shared" si="174"/>
        <v>0</v>
      </c>
      <c r="CD213" s="42"/>
      <c r="CE213" s="46"/>
      <c r="CF213" s="46"/>
      <c r="CG213" s="46"/>
      <c r="CH213" s="46"/>
      <c r="CI213" s="46">
        <f>CG213*CH213</f>
        <v>0</v>
      </c>
      <c r="CJ213" s="46"/>
      <c r="CK213" s="47">
        <f t="shared" si="175"/>
        <v>0</v>
      </c>
      <c r="CL213" s="46"/>
      <c r="CM213" s="46"/>
      <c r="CN213" s="46"/>
      <c r="CO213" s="46"/>
      <c r="CP213" s="46">
        <f t="shared" si="176"/>
        <v>0</v>
      </c>
      <c r="CQ213" s="46"/>
      <c r="CR213" s="47">
        <f t="shared" si="139"/>
        <v>0</v>
      </c>
      <c r="CS213" s="46"/>
      <c r="CT213" s="46"/>
      <c r="CU213" s="46"/>
      <c r="CV213" s="46"/>
      <c r="CW213" s="47">
        <f t="shared" si="161"/>
        <v>0</v>
      </c>
      <c r="CX213" s="46"/>
      <c r="CY213" s="47">
        <f t="shared" si="162"/>
        <v>0</v>
      </c>
      <c r="CZ213" s="46"/>
      <c r="DA213" s="46"/>
      <c r="DB213" s="46"/>
      <c r="DC213" s="46"/>
      <c r="DD213" s="47">
        <f t="shared" si="170"/>
        <v>0</v>
      </c>
      <c r="DE213" s="46"/>
      <c r="DF213" s="46">
        <f t="shared" si="171"/>
        <v>0</v>
      </c>
      <c r="DG213" s="46"/>
      <c r="DH213" s="46">
        <f t="shared" ref="DH213:DH231" si="178">AQ213/2</f>
        <v>0</v>
      </c>
      <c r="DI213" s="46"/>
      <c r="DJ213" s="46"/>
      <c r="DK213" s="47">
        <f t="shared" si="125"/>
        <v>0</v>
      </c>
      <c r="DL213" s="47">
        <f t="shared" si="155"/>
        <v>0</v>
      </c>
      <c r="DM213" s="46"/>
      <c r="DN213" s="46">
        <f t="shared" ref="DN213:DN231" si="179">7.5%*AQ213</f>
        <v>0</v>
      </c>
      <c r="DO213" s="46"/>
      <c r="DP213" s="46">
        <f t="shared" ref="DP213:DP225" si="180">10%*AQ213</f>
        <v>0</v>
      </c>
      <c r="DQ213" s="46"/>
      <c r="DR213" s="46">
        <f t="shared" si="140"/>
        <v>0</v>
      </c>
      <c r="DS213" s="46"/>
      <c r="DT213" s="46">
        <f t="shared" si="166"/>
        <v>0</v>
      </c>
      <c r="DU213" s="103"/>
      <c r="DV213" s="46">
        <f t="shared" si="172"/>
        <v>0</v>
      </c>
      <c r="DW213" s="45"/>
      <c r="DX213" s="47">
        <f t="shared" si="159"/>
        <v>0</v>
      </c>
      <c r="DY213" s="46"/>
      <c r="DZ213" s="46"/>
      <c r="EA213" s="46"/>
      <c r="EB213" s="46"/>
      <c r="EC213" s="46"/>
      <c r="ED213" s="46"/>
      <c r="EE213" s="47">
        <f t="shared" ref="EE213:EE276" si="181">+AW213+BE213+BM213+CR213+CY213+DF213+DL213+DX213+DY213+DZ213+EB213+EC213</f>
        <v>0</v>
      </c>
      <c r="EF213" s="46"/>
      <c r="EG213" s="46"/>
      <c r="EH213" s="46"/>
      <c r="EI213" s="46"/>
      <c r="EJ213" s="46"/>
      <c r="EK213" s="47">
        <f t="shared" si="156"/>
        <v>0</v>
      </c>
      <c r="EL213" s="46">
        <f t="shared" si="157"/>
        <v>0</v>
      </c>
      <c r="EM213" s="46"/>
      <c r="EN213" s="46">
        <f t="shared" si="158"/>
        <v>0</v>
      </c>
      <c r="EO213" s="107"/>
      <c r="EP213" s="107"/>
      <c r="EQ213" s="107"/>
      <c r="ER213" s="107"/>
      <c r="ES213" s="107"/>
      <c r="ET213" s="107"/>
      <c r="EU213" s="107"/>
      <c r="EV213" s="107"/>
      <c r="EW213" s="107"/>
      <c r="EX213" s="107"/>
      <c r="EY213" s="107"/>
      <c r="EZ213" s="107"/>
      <c r="FA213" s="107"/>
      <c r="FB213" s="107"/>
      <c r="FC213" s="107"/>
      <c r="FD213" s="107"/>
      <c r="FE213" s="107"/>
      <c r="FF213" s="107"/>
      <c r="FG213" s="107"/>
      <c r="FH213" s="107"/>
      <c r="FI213" s="107"/>
      <c r="FJ213" s="107"/>
      <c r="FK213" s="107"/>
      <c r="FL213" s="107"/>
      <c r="FM213" s="107"/>
      <c r="FN213" s="107"/>
      <c r="FO213" s="107"/>
      <c r="FP213" s="107"/>
      <c r="FQ213" s="107"/>
      <c r="FR213" s="107"/>
      <c r="FS213" s="107"/>
      <c r="FT213" s="107"/>
      <c r="FU213" s="107"/>
      <c r="FV213" s="107"/>
      <c r="FW213" s="107"/>
      <c r="FX213" s="107"/>
      <c r="FY213" s="107"/>
    </row>
    <row r="214" spans="1:181" x14ac:dyDescent="0.25">
      <c r="B214" s="41">
        <v>58</v>
      </c>
      <c r="C214" s="86"/>
      <c r="D214" s="87"/>
      <c r="E214" s="86"/>
      <c r="F214" s="86"/>
      <c r="G214" s="86"/>
      <c r="H214" s="86"/>
      <c r="I214" s="86"/>
      <c r="J214" s="86"/>
      <c r="K214" s="86"/>
      <c r="L214" s="86"/>
      <c r="M214" s="86"/>
      <c r="N214" s="88"/>
      <c r="O214" s="88"/>
      <c r="P214" s="86"/>
      <c r="Q214" s="89"/>
      <c r="R214" s="89"/>
      <c r="S214" s="86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>
        <f t="shared" si="153"/>
        <v>0</v>
      </c>
      <c r="AO214" s="90">
        <f t="shared" si="154"/>
        <v>0</v>
      </c>
      <c r="AP214" s="86" t="s">
        <v>120</v>
      </c>
      <c r="AQ214" s="90">
        <f t="shared" si="167"/>
        <v>0</v>
      </c>
      <c r="AR214" s="90"/>
      <c r="AS214" s="90"/>
      <c r="AT214" s="90"/>
      <c r="AU214" s="64">
        <f t="shared" si="123"/>
        <v>0</v>
      </c>
      <c r="AV214" s="90"/>
      <c r="AW214" s="64">
        <f t="shared" si="168"/>
        <v>0</v>
      </c>
      <c r="AX214" s="86"/>
      <c r="AY214" s="90"/>
      <c r="AZ214" s="90"/>
      <c r="BA214" s="90"/>
      <c r="BB214" s="90"/>
      <c r="BC214" s="64">
        <f t="shared" si="120"/>
        <v>0</v>
      </c>
      <c r="BD214" s="90"/>
      <c r="BE214" s="64">
        <f t="shared" si="124"/>
        <v>0</v>
      </c>
      <c r="BF214" s="86"/>
      <c r="BG214" s="90"/>
      <c r="BH214" s="90"/>
      <c r="BI214" s="90"/>
      <c r="BJ214" s="90"/>
      <c r="BK214" s="90">
        <f t="shared" si="177"/>
        <v>0</v>
      </c>
      <c r="BL214" s="90"/>
      <c r="BM214" s="64">
        <f t="shared" si="169"/>
        <v>0</v>
      </c>
      <c r="BN214" s="86"/>
      <c r="BO214" s="90"/>
      <c r="BP214" s="90"/>
      <c r="BQ214" s="90"/>
      <c r="BR214" s="90"/>
      <c r="BS214" s="90">
        <f>BQ214*BR214</f>
        <v>0</v>
      </c>
      <c r="BT214" s="90"/>
      <c r="BU214" s="64">
        <f t="shared" si="173"/>
        <v>0</v>
      </c>
      <c r="BV214" s="86"/>
      <c r="BW214" s="90"/>
      <c r="BX214" s="90"/>
      <c r="BY214" s="90"/>
      <c r="BZ214" s="90"/>
      <c r="CA214" s="90">
        <f>BY214*BZ214</f>
        <v>0</v>
      </c>
      <c r="CB214" s="90"/>
      <c r="CC214" s="64">
        <f t="shared" si="174"/>
        <v>0</v>
      </c>
      <c r="CD214" s="86"/>
      <c r="CE214" s="90"/>
      <c r="CF214" s="90"/>
      <c r="CG214" s="90"/>
      <c r="CH214" s="90"/>
      <c r="CI214" s="90">
        <f>CG214*CH214</f>
        <v>0</v>
      </c>
      <c r="CJ214" s="90"/>
      <c r="CK214" s="64">
        <f t="shared" si="175"/>
        <v>0</v>
      </c>
      <c r="CL214" s="90"/>
      <c r="CM214" s="90"/>
      <c r="CN214" s="90"/>
      <c r="CO214" s="90"/>
      <c r="CP214" s="90">
        <f t="shared" si="176"/>
        <v>0</v>
      </c>
      <c r="CQ214" s="90"/>
      <c r="CR214" s="64">
        <f t="shared" si="139"/>
        <v>0</v>
      </c>
      <c r="CS214" s="90"/>
      <c r="CT214" s="90"/>
      <c r="CU214" s="90"/>
      <c r="CV214" s="90"/>
      <c r="CW214" s="64">
        <f t="shared" si="161"/>
        <v>0</v>
      </c>
      <c r="CX214" s="90"/>
      <c r="CY214" s="64">
        <f t="shared" si="162"/>
        <v>0</v>
      </c>
      <c r="CZ214" s="90"/>
      <c r="DA214" s="90"/>
      <c r="DB214" s="90"/>
      <c r="DC214" s="90"/>
      <c r="DD214" s="64">
        <f t="shared" si="170"/>
        <v>0</v>
      </c>
      <c r="DE214" s="90"/>
      <c r="DF214" s="90">
        <f t="shared" si="171"/>
        <v>0</v>
      </c>
      <c r="DG214" s="90"/>
      <c r="DH214" s="46">
        <f t="shared" si="178"/>
        <v>0</v>
      </c>
      <c r="DI214" s="90"/>
      <c r="DJ214" s="90"/>
      <c r="DK214" s="64">
        <f t="shared" si="125"/>
        <v>0</v>
      </c>
      <c r="DL214" s="64">
        <f t="shared" si="155"/>
        <v>0</v>
      </c>
      <c r="DM214" s="90"/>
      <c r="DN214" s="90">
        <f t="shared" si="179"/>
        <v>0</v>
      </c>
      <c r="DO214" s="90"/>
      <c r="DP214" s="90">
        <f t="shared" si="180"/>
        <v>0</v>
      </c>
      <c r="DQ214" s="90"/>
      <c r="DR214" s="90">
        <f t="shared" si="140"/>
        <v>0</v>
      </c>
      <c r="DS214" s="90"/>
      <c r="DT214" s="90">
        <f t="shared" si="166"/>
        <v>0</v>
      </c>
      <c r="DU214" s="109"/>
      <c r="DV214" s="90">
        <f t="shared" si="172"/>
        <v>0</v>
      </c>
      <c r="DW214" s="89"/>
      <c r="DX214" s="64">
        <f t="shared" si="159"/>
        <v>0</v>
      </c>
      <c r="DY214" s="90"/>
      <c r="DZ214" s="90"/>
      <c r="EA214" s="90"/>
      <c r="EB214" s="90"/>
      <c r="EC214" s="90"/>
      <c r="ED214" s="90"/>
      <c r="EE214" s="64">
        <f t="shared" si="181"/>
        <v>0</v>
      </c>
      <c r="EF214" s="90"/>
      <c r="EG214" s="90"/>
      <c r="EH214" s="90"/>
      <c r="EI214" s="90"/>
      <c r="EJ214" s="90"/>
      <c r="EK214" s="64">
        <f t="shared" si="156"/>
        <v>0</v>
      </c>
      <c r="EL214" s="90">
        <f t="shared" si="157"/>
        <v>0</v>
      </c>
      <c r="EM214" s="90"/>
      <c r="EN214" s="90">
        <f t="shared" si="158"/>
        <v>0</v>
      </c>
      <c r="EO214" s="110"/>
      <c r="EP214" s="110"/>
      <c r="EQ214" s="110"/>
      <c r="ER214" s="110"/>
      <c r="ES214" s="110"/>
      <c r="ET214" s="110"/>
      <c r="EU214" s="110"/>
      <c r="EV214" s="110"/>
      <c r="EW214" s="110"/>
      <c r="EX214" s="110"/>
      <c r="EY214" s="110"/>
      <c r="EZ214" s="110"/>
      <c r="FA214" s="110"/>
      <c r="FB214" s="110"/>
      <c r="FC214" s="110"/>
      <c r="FD214" s="110"/>
      <c r="FE214" s="110"/>
      <c r="FF214" s="110"/>
      <c r="FG214" s="110"/>
      <c r="FH214" s="110"/>
      <c r="FI214" s="110"/>
      <c r="FJ214" s="110"/>
      <c r="FK214" s="110"/>
      <c r="FL214" s="110"/>
      <c r="FM214" s="110"/>
      <c r="FN214" s="110"/>
      <c r="FO214" s="110"/>
      <c r="FP214" s="110"/>
      <c r="FQ214" s="110"/>
      <c r="FR214" s="110"/>
      <c r="FS214" s="110"/>
      <c r="FT214" s="110"/>
      <c r="FU214" s="110"/>
      <c r="FV214" s="110"/>
      <c r="FW214" s="110"/>
      <c r="FX214" s="110"/>
      <c r="FY214" s="110"/>
    </row>
    <row r="215" spans="1:181" s="48" customFormat="1" ht="15" customHeight="1" x14ac:dyDescent="0.25">
      <c r="B215" s="41">
        <v>59</v>
      </c>
      <c r="C215" s="42"/>
      <c r="D215" s="43"/>
      <c r="E215" s="42"/>
      <c r="F215" s="42"/>
      <c r="G215" s="42"/>
      <c r="H215" s="42"/>
      <c r="I215" s="42"/>
      <c r="J215" s="42"/>
      <c r="K215" s="42"/>
      <c r="L215" s="42"/>
      <c r="M215" s="42"/>
      <c r="N215" s="41"/>
      <c r="O215" s="41"/>
      <c r="P215" s="42"/>
      <c r="Q215" s="45"/>
      <c r="R215" s="45"/>
      <c r="S215" s="42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>
        <f t="shared" si="153"/>
        <v>0</v>
      </c>
      <c r="AO215" s="46">
        <f t="shared" si="154"/>
        <v>0</v>
      </c>
      <c r="AP215" s="42" t="s">
        <v>111</v>
      </c>
      <c r="AQ215" s="46">
        <f t="shared" si="167"/>
        <v>0</v>
      </c>
      <c r="AR215" s="46"/>
      <c r="AS215" s="46"/>
      <c r="AT215" s="46"/>
      <c r="AU215" s="47">
        <f t="shared" si="123"/>
        <v>0</v>
      </c>
      <c r="AV215" s="46"/>
      <c r="AW215" s="47">
        <f t="shared" si="168"/>
        <v>0</v>
      </c>
      <c r="AX215" s="42"/>
      <c r="AY215" s="46"/>
      <c r="AZ215" s="46"/>
      <c r="BA215" s="46"/>
      <c r="BB215" s="46"/>
      <c r="BC215" s="47">
        <f t="shared" si="120"/>
        <v>0</v>
      </c>
      <c r="BD215" s="46"/>
      <c r="BE215" s="47">
        <f t="shared" si="124"/>
        <v>0</v>
      </c>
      <c r="BF215" s="42"/>
      <c r="BG215" s="46"/>
      <c r="BH215" s="46"/>
      <c r="BI215" s="46"/>
      <c r="BJ215" s="46"/>
      <c r="BK215" s="46">
        <f t="shared" si="177"/>
        <v>0</v>
      </c>
      <c r="BL215" s="46"/>
      <c r="BM215" s="47">
        <f t="shared" si="169"/>
        <v>0</v>
      </c>
      <c r="BN215" s="42"/>
      <c r="BO215" s="46"/>
      <c r="BP215" s="46"/>
      <c r="BQ215" s="46"/>
      <c r="BR215" s="46"/>
      <c r="BS215" s="46">
        <f>BQ215*BR215</f>
        <v>0</v>
      </c>
      <c r="BT215" s="46"/>
      <c r="BU215" s="47">
        <f t="shared" si="173"/>
        <v>0</v>
      </c>
      <c r="BV215" s="42"/>
      <c r="BW215" s="46"/>
      <c r="BX215" s="46"/>
      <c r="BY215" s="46"/>
      <c r="BZ215" s="46"/>
      <c r="CA215" s="46">
        <f>BY215*BZ215</f>
        <v>0</v>
      </c>
      <c r="CB215" s="46"/>
      <c r="CC215" s="47">
        <f t="shared" si="174"/>
        <v>0</v>
      </c>
      <c r="CD215" s="42"/>
      <c r="CE215" s="46"/>
      <c r="CF215" s="46"/>
      <c r="CG215" s="46"/>
      <c r="CH215" s="46"/>
      <c r="CI215" s="46">
        <f>CG215*CH215</f>
        <v>0</v>
      </c>
      <c r="CJ215" s="46"/>
      <c r="CK215" s="47">
        <f t="shared" si="175"/>
        <v>0</v>
      </c>
      <c r="CL215" s="46"/>
      <c r="CM215" s="46"/>
      <c r="CN215" s="46"/>
      <c r="CO215" s="46"/>
      <c r="CP215" s="46">
        <f t="shared" si="176"/>
        <v>0</v>
      </c>
      <c r="CQ215" s="46"/>
      <c r="CR215" s="47">
        <f t="shared" si="139"/>
        <v>0</v>
      </c>
      <c r="CS215" s="46"/>
      <c r="CT215" s="46"/>
      <c r="CU215" s="46"/>
      <c r="CV215" s="46"/>
      <c r="CW215" s="47">
        <f t="shared" si="161"/>
        <v>0</v>
      </c>
      <c r="CX215" s="46"/>
      <c r="CY215" s="47">
        <f t="shared" si="162"/>
        <v>0</v>
      </c>
      <c r="CZ215" s="46"/>
      <c r="DA215" s="46"/>
      <c r="DB215" s="46"/>
      <c r="DC215" s="46"/>
      <c r="DD215" s="47">
        <f t="shared" si="170"/>
        <v>0</v>
      </c>
      <c r="DE215" s="46"/>
      <c r="DF215" s="46">
        <f t="shared" si="171"/>
        <v>0</v>
      </c>
      <c r="DG215" s="46"/>
      <c r="DH215" s="46">
        <f t="shared" si="178"/>
        <v>0</v>
      </c>
      <c r="DI215" s="46"/>
      <c r="DJ215" s="46"/>
      <c r="DK215" s="47">
        <f t="shared" si="125"/>
        <v>0</v>
      </c>
      <c r="DL215" s="47">
        <f t="shared" si="155"/>
        <v>0</v>
      </c>
      <c r="DM215" s="46"/>
      <c r="DN215" s="46">
        <f t="shared" si="179"/>
        <v>0</v>
      </c>
      <c r="DO215" s="46"/>
      <c r="DP215" s="46">
        <f t="shared" si="180"/>
        <v>0</v>
      </c>
      <c r="DQ215" s="46"/>
      <c r="DR215" s="46">
        <f t="shared" si="140"/>
        <v>0</v>
      </c>
      <c r="DS215" s="46"/>
      <c r="DT215" s="46">
        <f t="shared" si="166"/>
        <v>0</v>
      </c>
      <c r="DU215" s="103"/>
      <c r="DV215" s="46">
        <f t="shared" si="172"/>
        <v>0</v>
      </c>
      <c r="DW215" s="45"/>
      <c r="DX215" s="47">
        <f t="shared" si="159"/>
        <v>0</v>
      </c>
      <c r="DY215" s="46"/>
      <c r="DZ215" s="46"/>
      <c r="EA215" s="46"/>
      <c r="EB215" s="46"/>
      <c r="EC215" s="46"/>
      <c r="ED215" s="46"/>
      <c r="EE215" s="47">
        <f t="shared" si="181"/>
        <v>0</v>
      </c>
      <c r="EF215" s="46"/>
      <c r="EG215" s="46"/>
      <c r="EH215" s="46"/>
      <c r="EI215" s="46"/>
      <c r="EJ215" s="46"/>
      <c r="EK215" s="47">
        <f t="shared" si="156"/>
        <v>0</v>
      </c>
      <c r="EL215" s="46">
        <f t="shared" si="157"/>
        <v>0</v>
      </c>
      <c r="EM215" s="46"/>
      <c r="EN215" s="46">
        <f t="shared" si="158"/>
        <v>0</v>
      </c>
      <c r="EO215" s="107"/>
      <c r="EP215" s="107"/>
      <c r="EQ215" s="107"/>
      <c r="ER215" s="107"/>
      <c r="ES215" s="107"/>
      <c r="ET215" s="107"/>
      <c r="EU215" s="107"/>
      <c r="EV215" s="107"/>
      <c r="EW215" s="107"/>
      <c r="EX215" s="107"/>
      <c r="EY215" s="107"/>
      <c r="EZ215" s="107"/>
      <c r="FA215" s="107"/>
      <c r="FB215" s="107"/>
      <c r="FC215" s="107"/>
      <c r="FD215" s="107"/>
      <c r="FE215" s="107"/>
      <c r="FF215" s="107"/>
      <c r="FG215" s="107"/>
      <c r="FH215" s="107"/>
      <c r="FI215" s="107"/>
      <c r="FJ215" s="107"/>
      <c r="FK215" s="107"/>
      <c r="FL215" s="107"/>
      <c r="FM215" s="107"/>
      <c r="FN215" s="107"/>
      <c r="FO215" s="107"/>
      <c r="FP215" s="107"/>
      <c r="FQ215" s="107"/>
      <c r="FR215" s="107"/>
      <c r="FS215" s="107"/>
      <c r="FT215" s="107"/>
      <c r="FU215" s="107"/>
      <c r="FV215" s="107"/>
      <c r="FW215" s="107"/>
      <c r="FX215" s="107"/>
      <c r="FY215" s="107"/>
    </row>
    <row r="216" spans="1:181" s="48" customFormat="1" ht="15" customHeight="1" x14ac:dyDescent="0.25">
      <c r="B216" s="41">
        <v>60</v>
      </c>
      <c r="C216" s="42"/>
      <c r="D216" s="43"/>
      <c r="E216" s="42"/>
      <c r="F216" s="42"/>
      <c r="G216" s="42"/>
      <c r="H216" s="42"/>
      <c r="I216" s="42"/>
      <c r="J216" s="42"/>
      <c r="K216" s="42"/>
      <c r="L216" s="42"/>
      <c r="M216" s="42"/>
      <c r="N216" s="41"/>
      <c r="O216" s="41"/>
      <c r="P216" s="42"/>
      <c r="Q216" s="45"/>
      <c r="R216" s="45"/>
      <c r="S216" s="42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>
        <f t="shared" si="153"/>
        <v>0</v>
      </c>
      <c r="AO216" s="46">
        <f t="shared" si="154"/>
        <v>0</v>
      </c>
      <c r="AP216" s="42" t="s">
        <v>119</v>
      </c>
      <c r="AQ216" s="46">
        <f t="shared" si="167"/>
        <v>0</v>
      </c>
      <c r="AR216" s="46"/>
      <c r="AS216" s="46"/>
      <c r="AT216" s="46"/>
      <c r="AU216" s="47">
        <f t="shared" si="123"/>
        <v>0</v>
      </c>
      <c r="AV216" s="46"/>
      <c r="AW216" s="47">
        <f t="shared" si="168"/>
        <v>0</v>
      </c>
      <c r="AX216" s="42"/>
      <c r="AY216" s="46"/>
      <c r="AZ216" s="46"/>
      <c r="BA216" s="46"/>
      <c r="BB216" s="46"/>
      <c r="BC216" s="47">
        <f t="shared" si="120"/>
        <v>0</v>
      </c>
      <c r="BD216" s="46"/>
      <c r="BE216" s="47">
        <f t="shared" si="124"/>
        <v>0</v>
      </c>
      <c r="BF216" s="42"/>
      <c r="BG216" s="46"/>
      <c r="BH216" s="46"/>
      <c r="BI216" s="46"/>
      <c r="BJ216" s="46"/>
      <c r="BK216" s="46">
        <f t="shared" si="177"/>
        <v>0</v>
      </c>
      <c r="BL216" s="46"/>
      <c r="BM216" s="47">
        <f t="shared" si="169"/>
        <v>0</v>
      </c>
      <c r="BN216" s="42"/>
      <c r="BO216" s="46"/>
      <c r="BP216" s="46"/>
      <c r="BQ216" s="46"/>
      <c r="BR216" s="46"/>
      <c r="BS216" s="47"/>
      <c r="BT216" s="46"/>
      <c r="BU216" s="47">
        <f t="shared" si="173"/>
        <v>0</v>
      </c>
      <c r="BV216" s="42"/>
      <c r="BW216" s="46"/>
      <c r="BX216" s="46"/>
      <c r="BY216" s="46"/>
      <c r="BZ216" s="46"/>
      <c r="CA216" s="47"/>
      <c r="CB216" s="46"/>
      <c r="CC216" s="47">
        <f t="shared" si="174"/>
        <v>0</v>
      </c>
      <c r="CD216" s="42"/>
      <c r="CE216" s="46"/>
      <c r="CF216" s="46"/>
      <c r="CG216" s="46"/>
      <c r="CH216" s="46"/>
      <c r="CI216" s="47"/>
      <c r="CJ216" s="46"/>
      <c r="CK216" s="47">
        <f t="shared" si="175"/>
        <v>0</v>
      </c>
      <c r="CL216" s="46"/>
      <c r="CM216" s="46"/>
      <c r="CN216" s="46"/>
      <c r="CO216" s="46"/>
      <c r="CP216" s="46">
        <f t="shared" si="176"/>
        <v>0</v>
      </c>
      <c r="CQ216" s="46"/>
      <c r="CR216" s="47">
        <f t="shared" si="139"/>
        <v>0</v>
      </c>
      <c r="CS216" s="46"/>
      <c r="CT216" s="46"/>
      <c r="CU216" s="46"/>
      <c r="CV216" s="46"/>
      <c r="CW216" s="47">
        <f t="shared" si="161"/>
        <v>0</v>
      </c>
      <c r="CX216" s="46"/>
      <c r="CY216" s="47">
        <f t="shared" si="162"/>
        <v>0</v>
      </c>
      <c r="CZ216" s="46"/>
      <c r="DA216" s="46"/>
      <c r="DB216" s="46"/>
      <c r="DC216" s="46"/>
      <c r="DD216" s="47">
        <f t="shared" si="170"/>
        <v>0</v>
      </c>
      <c r="DE216" s="46"/>
      <c r="DF216" s="46">
        <f t="shared" si="171"/>
        <v>0</v>
      </c>
      <c r="DG216" s="46"/>
      <c r="DH216" s="46">
        <f t="shared" si="178"/>
        <v>0</v>
      </c>
      <c r="DI216" s="46"/>
      <c r="DJ216" s="46"/>
      <c r="DK216" s="47">
        <f t="shared" si="125"/>
        <v>0</v>
      </c>
      <c r="DL216" s="47">
        <f t="shared" si="155"/>
        <v>0</v>
      </c>
      <c r="DM216" s="46"/>
      <c r="DN216" s="46">
        <f t="shared" si="179"/>
        <v>0</v>
      </c>
      <c r="DO216" s="46"/>
      <c r="DP216" s="46">
        <f t="shared" si="180"/>
        <v>0</v>
      </c>
      <c r="DQ216" s="46"/>
      <c r="DR216" s="46">
        <f t="shared" si="140"/>
        <v>0</v>
      </c>
      <c r="DS216" s="46"/>
      <c r="DT216" s="46">
        <f t="shared" si="166"/>
        <v>0</v>
      </c>
      <c r="DU216" s="103"/>
      <c r="DV216" s="46">
        <f t="shared" si="172"/>
        <v>0</v>
      </c>
      <c r="DW216" s="45"/>
      <c r="DX216" s="47">
        <f t="shared" si="159"/>
        <v>0</v>
      </c>
      <c r="DY216" s="46"/>
      <c r="DZ216" s="46"/>
      <c r="EA216" s="46"/>
      <c r="EB216" s="46"/>
      <c r="EC216" s="46"/>
      <c r="ED216" s="46"/>
      <c r="EE216" s="47">
        <f t="shared" si="181"/>
        <v>0</v>
      </c>
      <c r="EF216" s="46"/>
      <c r="EG216" s="46"/>
      <c r="EH216" s="46"/>
      <c r="EI216" s="46"/>
      <c r="EJ216" s="46"/>
      <c r="EK216" s="47">
        <f t="shared" si="156"/>
        <v>0</v>
      </c>
      <c r="EL216" s="46">
        <f t="shared" si="157"/>
        <v>0</v>
      </c>
      <c r="EM216" s="46"/>
      <c r="EN216" s="46">
        <f t="shared" si="158"/>
        <v>0</v>
      </c>
      <c r="EO216" s="107"/>
      <c r="EP216" s="107"/>
      <c r="EQ216" s="107"/>
      <c r="ER216" s="107"/>
      <c r="ES216" s="107"/>
      <c r="ET216" s="107"/>
      <c r="EU216" s="107"/>
      <c r="EV216" s="107"/>
      <c r="EW216" s="107"/>
      <c r="EX216" s="107"/>
      <c r="EY216" s="107"/>
      <c r="EZ216" s="107"/>
      <c r="FA216" s="107"/>
      <c r="FB216" s="107"/>
      <c r="FC216" s="107"/>
      <c r="FD216" s="107"/>
      <c r="FE216" s="107"/>
      <c r="FF216" s="107"/>
      <c r="FG216" s="107"/>
      <c r="FH216" s="107"/>
      <c r="FI216" s="107"/>
      <c r="FJ216" s="107"/>
      <c r="FK216" s="107"/>
      <c r="FL216" s="107"/>
      <c r="FM216" s="107"/>
      <c r="FN216" s="107"/>
      <c r="FO216" s="107"/>
      <c r="FP216" s="107"/>
      <c r="FQ216" s="107"/>
      <c r="FR216" s="107"/>
      <c r="FS216" s="107"/>
      <c r="FT216" s="107"/>
      <c r="FU216" s="107"/>
      <c r="FV216" s="107"/>
      <c r="FW216" s="107"/>
      <c r="FX216" s="107"/>
      <c r="FY216" s="107"/>
    </row>
    <row r="217" spans="1:181" s="48" customFormat="1" ht="15" customHeight="1" x14ac:dyDescent="0.25">
      <c r="B217" s="41">
        <v>61</v>
      </c>
      <c r="C217" s="42"/>
      <c r="D217" s="43"/>
      <c r="E217" s="42"/>
      <c r="F217" s="42"/>
      <c r="G217" s="42"/>
      <c r="H217" s="42"/>
      <c r="I217" s="42"/>
      <c r="J217" s="42"/>
      <c r="K217" s="42"/>
      <c r="L217" s="42"/>
      <c r="M217" s="42"/>
      <c r="N217" s="41"/>
      <c r="O217" s="41"/>
      <c r="P217" s="42"/>
      <c r="Q217" s="45"/>
      <c r="R217" s="45"/>
      <c r="S217" s="42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>
        <f t="shared" si="153"/>
        <v>0</v>
      </c>
      <c r="AO217" s="46">
        <f t="shared" si="154"/>
        <v>0</v>
      </c>
      <c r="AP217" s="42" t="s">
        <v>111</v>
      </c>
      <c r="AQ217" s="46">
        <f t="shared" si="167"/>
        <v>0</v>
      </c>
      <c r="AR217" s="46"/>
      <c r="AS217" s="46"/>
      <c r="AT217" s="46"/>
      <c r="AU217" s="47">
        <f t="shared" si="123"/>
        <v>0</v>
      </c>
      <c r="AV217" s="46"/>
      <c r="AW217" s="47">
        <f t="shared" si="168"/>
        <v>0</v>
      </c>
      <c r="AX217" s="42"/>
      <c r="AY217" s="46"/>
      <c r="AZ217" s="46"/>
      <c r="BA217" s="46"/>
      <c r="BB217" s="46"/>
      <c r="BC217" s="47">
        <f t="shared" ref="BC217:BC280" si="182">BA217*BB217</f>
        <v>0</v>
      </c>
      <c r="BD217" s="46"/>
      <c r="BE217" s="47">
        <f t="shared" si="124"/>
        <v>0</v>
      </c>
      <c r="BF217" s="42"/>
      <c r="BG217" s="46"/>
      <c r="BH217" s="46"/>
      <c r="BI217" s="46"/>
      <c r="BJ217" s="46"/>
      <c r="BK217" s="46">
        <f t="shared" si="177"/>
        <v>0</v>
      </c>
      <c r="BL217" s="46"/>
      <c r="BM217" s="47">
        <f t="shared" si="169"/>
        <v>0</v>
      </c>
      <c r="BN217" s="42"/>
      <c r="BO217" s="46"/>
      <c r="BP217" s="46"/>
      <c r="BQ217" s="46"/>
      <c r="BR217" s="46"/>
      <c r="BS217" s="46">
        <f>BQ217*BR217</f>
        <v>0</v>
      </c>
      <c r="BT217" s="46"/>
      <c r="BU217" s="47">
        <f t="shared" si="173"/>
        <v>0</v>
      </c>
      <c r="BV217" s="42"/>
      <c r="BW217" s="46"/>
      <c r="BX217" s="46"/>
      <c r="BY217" s="46"/>
      <c r="BZ217" s="46"/>
      <c r="CA217" s="46">
        <f>BY217*BZ217</f>
        <v>0</v>
      </c>
      <c r="CB217" s="46"/>
      <c r="CC217" s="47">
        <f t="shared" si="174"/>
        <v>0</v>
      </c>
      <c r="CD217" s="42"/>
      <c r="CE217" s="46"/>
      <c r="CF217" s="46"/>
      <c r="CG217" s="46"/>
      <c r="CH217" s="46"/>
      <c r="CI217" s="46">
        <f>CG217*CH217</f>
        <v>0</v>
      </c>
      <c r="CJ217" s="46"/>
      <c r="CK217" s="47">
        <f t="shared" si="175"/>
        <v>0</v>
      </c>
      <c r="CL217" s="46"/>
      <c r="CM217" s="46"/>
      <c r="CN217" s="46"/>
      <c r="CO217" s="46"/>
      <c r="CP217" s="46">
        <f t="shared" si="176"/>
        <v>0</v>
      </c>
      <c r="CQ217" s="46"/>
      <c r="CR217" s="47">
        <f t="shared" si="139"/>
        <v>0</v>
      </c>
      <c r="CS217" s="46"/>
      <c r="CT217" s="46"/>
      <c r="CU217" s="46"/>
      <c r="CV217" s="46"/>
      <c r="CW217" s="47">
        <f t="shared" si="161"/>
        <v>0</v>
      </c>
      <c r="CX217" s="46"/>
      <c r="CY217" s="47">
        <f t="shared" si="162"/>
        <v>0</v>
      </c>
      <c r="CZ217" s="46"/>
      <c r="DA217" s="46"/>
      <c r="DB217" s="46"/>
      <c r="DC217" s="46"/>
      <c r="DD217" s="47">
        <f t="shared" si="170"/>
        <v>0</v>
      </c>
      <c r="DE217" s="46"/>
      <c r="DF217" s="46">
        <f t="shared" si="171"/>
        <v>0</v>
      </c>
      <c r="DG217" s="46"/>
      <c r="DH217" s="46">
        <f t="shared" si="178"/>
        <v>0</v>
      </c>
      <c r="DI217" s="46"/>
      <c r="DJ217" s="46"/>
      <c r="DK217" s="47">
        <f t="shared" si="125"/>
        <v>0</v>
      </c>
      <c r="DL217" s="47">
        <f t="shared" si="155"/>
        <v>0</v>
      </c>
      <c r="DM217" s="46"/>
      <c r="DN217" s="46">
        <f t="shared" si="179"/>
        <v>0</v>
      </c>
      <c r="DO217" s="46"/>
      <c r="DP217" s="46">
        <f t="shared" si="180"/>
        <v>0</v>
      </c>
      <c r="DQ217" s="46"/>
      <c r="DR217" s="46">
        <f t="shared" si="140"/>
        <v>0</v>
      </c>
      <c r="DS217" s="46"/>
      <c r="DT217" s="46">
        <f t="shared" si="166"/>
        <v>0</v>
      </c>
      <c r="DU217" s="103"/>
      <c r="DV217" s="46">
        <f t="shared" si="172"/>
        <v>0</v>
      </c>
      <c r="DW217" s="45"/>
      <c r="DX217" s="47">
        <f t="shared" si="159"/>
        <v>0</v>
      </c>
      <c r="DY217" s="46"/>
      <c r="DZ217" s="46"/>
      <c r="EA217" s="46"/>
      <c r="EB217" s="46"/>
      <c r="EC217" s="46"/>
      <c r="ED217" s="46"/>
      <c r="EE217" s="47">
        <f t="shared" si="181"/>
        <v>0</v>
      </c>
      <c r="EF217" s="46"/>
      <c r="EG217" s="46"/>
      <c r="EH217" s="46"/>
      <c r="EI217" s="46"/>
      <c r="EJ217" s="46"/>
      <c r="EK217" s="47">
        <f t="shared" si="156"/>
        <v>0</v>
      </c>
      <c r="EL217" s="46">
        <f t="shared" si="157"/>
        <v>0</v>
      </c>
      <c r="EM217" s="46"/>
      <c r="EN217" s="46">
        <f t="shared" si="158"/>
        <v>0</v>
      </c>
      <c r="EO217" s="107" t="s">
        <v>117</v>
      </c>
      <c r="EP217" s="107"/>
      <c r="EQ217" s="107"/>
      <c r="ER217" s="107"/>
      <c r="ES217" s="107"/>
      <c r="ET217" s="107"/>
      <c r="EU217" s="107"/>
      <c r="EV217" s="107"/>
      <c r="EW217" s="107"/>
      <c r="EX217" s="107"/>
      <c r="EY217" s="107"/>
      <c r="EZ217" s="107"/>
      <c r="FA217" s="107"/>
      <c r="FB217" s="107"/>
      <c r="FC217" s="107"/>
      <c r="FD217" s="107"/>
      <c r="FE217" s="107"/>
      <c r="FF217" s="107"/>
      <c r="FG217" s="107"/>
      <c r="FH217" s="107"/>
      <c r="FI217" s="107"/>
      <c r="FJ217" s="107"/>
      <c r="FK217" s="107"/>
      <c r="FL217" s="107"/>
      <c r="FM217" s="107"/>
      <c r="FN217" s="107"/>
      <c r="FO217" s="107"/>
      <c r="FP217" s="107"/>
      <c r="FQ217" s="107"/>
      <c r="FR217" s="107"/>
      <c r="FS217" s="107"/>
      <c r="FT217" s="107"/>
      <c r="FU217" s="107"/>
      <c r="FV217" s="107"/>
      <c r="FW217" s="107"/>
      <c r="FX217" s="107"/>
      <c r="FY217" s="107"/>
    </row>
    <row r="218" spans="1:181" s="48" customFormat="1" ht="15" customHeight="1" x14ac:dyDescent="0.25">
      <c r="B218" s="41">
        <v>62</v>
      </c>
      <c r="C218" s="42"/>
      <c r="D218" s="43"/>
      <c r="E218" s="42"/>
      <c r="F218" s="42"/>
      <c r="G218" s="42"/>
      <c r="H218" s="42"/>
      <c r="I218" s="42"/>
      <c r="J218" s="42"/>
      <c r="K218" s="42"/>
      <c r="L218" s="42"/>
      <c r="M218" s="42"/>
      <c r="N218" s="41"/>
      <c r="O218" s="41"/>
      <c r="P218" s="42"/>
      <c r="Q218" s="45"/>
      <c r="R218" s="45"/>
      <c r="S218" s="42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>
        <f t="shared" si="153"/>
        <v>0</v>
      </c>
      <c r="AO218" s="46">
        <f t="shared" si="154"/>
        <v>0</v>
      </c>
      <c r="AP218" s="42" t="s">
        <v>112</v>
      </c>
      <c r="AQ218" s="46">
        <f t="shared" si="167"/>
        <v>0</v>
      </c>
      <c r="AR218" s="46"/>
      <c r="AS218" s="46"/>
      <c r="AT218" s="46"/>
      <c r="AU218" s="47">
        <f t="shared" ref="AU218:AU281" si="183">AS218*AT218</f>
        <v>0</v>
      </c>
      <c r="AV218" s="46"/>
      <c r="AW218" s="47">
        <f t="shared" si="168"/>
        <v>0</v>
      </c>
      <c r="AX218" s="42"/>
      <c r="AY218" s="46"/>
      <c r="AZ218" s="46"/>
      <c r="BA218" s="46"/>
      <c r="BB218" s="46"/>
      <c r="BC218" s="47">
        <f t="shared" si="182"/>
        <v>0</v>
      </c>
      <c r="BD218" s="46"/>
      <c r="BE218" s="47">
        <f t="shared" ref="BE218:BE281" si="184">+AY218+AZ218+BC218+BD218</f>
        <v>0</v>
      </c>
      <c r="BF218" s="42"/>
      <c r="BG218" s="46"/>
      <c r="BH218" s="46"/>
      <c r="BI218" s="46"/>
      <c r="BJ218" s="46"/>
      <c r="BK218" s="46">
        <f t="shared" si="177"/>
        <v>0</v>
      </c>
      <c r="BL218" s="46"/>
      <c r="BM218" s="47">
        <f t="shared" si="169"/>
        <v>0</v>
      </c>
      <c r="BN218" s="42"/>
      <c r="BO218" s="46"/>
      <c r="BP218" s="46"/>
      <c r="BQ218" s="46"/>
      <c r="BR218" s="46"/>
      <c r="BS218" s="47"/>
      <c r="BT218" s="46"/>
      <c r="BU218" s="47">
        <f t="shared" si="173"/>
        <v>0</v>
      </c>
      <c r="BV218" s="42"/>
      <c r="BW218" s="46"/>
      <c r="BX218" s="46"/>
      <c r="BY218" s="46"/>
      <c r="BZ218" s="46"/>
      <c r="CA218" s="47"/>
      <c r="CB218" s="46"/>
      <c r="CC218" s="47">
        <f t="shared" si="174"/>
        <v>0</v>
      </c>
      <c r="CD218" s="42"/>
      <c r="CE218" s="46"/>
      <c r="CF218" s="46"/>
      <c r="CG218" s="46"/>
      <c r="CH218" s="46"/>
      <c r="CI218" s="47"/>
      <c r="CJ218" s="46"/>
      <c r="CK218" s="47">
        <f t="shared" si="175"/>
        <v>0</v>
      </c>
      <c r="CL218" s="46"/>
      <c r="CM218" s="46"/>
      <c r="CN218" s="46"/>
      <c r="CO218" s="46"/>
      <c r="CP218" s="46">
        <f t="shared" si="176"/>
        <v>0</v>
      </c>
      <c r="CQ218" s="46"/>
      <c r="CR218" s="47">
        <f t="shared" si="139"/>
        <v>0</v>
      </c>
      <c r="CS218" s="46"/>
      <c r="CT218" s="46"/>
      <c r="CU218" s="46"/>
      <c r="CV218" s="46"/>
      <c r="CW218" s="47">
        <f t="shared" si="161"/>
        <v>0</v>
      </c>
      <c r="CX218" s="46"/>
      <c r="CY218" s="47">
        <f t="shared" si="162"/>
        <v>0</v>
      </c>
      <c r="CZ218" s="46"/>
      <c r="DA218" s="46"/>
      <c r="DB218" s="46"/>
      <c r="DC218" s="46"/>
      <c r="DD218" s="47">
        <f t="shared" si="170"/>
        <v>0</v>
      </c>
      <c r="DE218" s="46"/>
      <c r="DF218" s="46">
        <f t="shared" si="171"/>
        <v>0</v>
      </c>
      <c r="DG218" s="46"/>
      <c r="DH218" s="46">
        <f t="shared" si="178"/>
        <v>0</v>
      </c>
      <c r="DI218" s="46"/>
      <c r="DJ218" s="46"/>
      <c r="DK218" s="47">
        <f t="shared" ref="DK218:DK281" si="185">DI218*DJ218</f>
        <v>0</v>
      </c>
      <c r="DL218" s="47">
        <f t="shared" si="155"/>
        <v>0</v>
      </c>
      <c r="DM218" s="46"/>
      <c r="DN218" s="46">
        <f t="shared" si="179"/>
        <v>0</v>
      </c>
      <c r="DO218" s="46"/>
      <c r="DP218" s="46">
        <f t="shared" si="180"/>
        <v>0</v>
      </c>
      <c r="DQ218" s="46"/>
      <c r="DR218" s="46">
        <f t="shared" si="140"/>
        <v>0</v>
      </c>
      <c r="DS218" s="46"/>
      <c r="DT218" s="46">
        <f t="shared" si="166"/>
        <v>0</v>
      </c>
      <c r="DU218" s="103"/>
      <c r="DV218" s="46">
        <f t="shared" si="172"/>
        <v>0</v>
      </c>
      <c r="DW218" s="45"/>
      <c r="DX218" s="47">
        <f t="shared" si="159"/>
        <v>0</v>
      </c>
      <c r="DY218" s="46"/>
      <c r="DZ218" s="46"/>
      <c r="EA218" s="46"/>
      <c r="EB218" s="46"/>
      <c r="EC218" s="46"/>
      <c r="ED218" s="46"/>
      <c r="EE218" s="47">
        <f t="shared" si="181"/>
        <v>0</v>
      </c>
      <c r="EF218" s="46"/>
      <c r="EG218" s="46"/>
      <c r="EH218" s="46"/>
      <c r="EI218" s="46"/>
      <c r="EJ218" s="46"/>
      <c r="EK218" s="47">
        <f t="shared" si="156"/>
        <v>0</v>
      </c>
      <c r="EL218" s="46">
        <f t="shared" si="157"/>
        <v>0</v>
      </c>
      <c r="EM218" s="46"/>
      <c r="EN218" s="46">
        <f t="shared" si="158"/>
        <v>0</v>
      </c>
      <c r="EO218" s="107"/>
      <c r="EP218" s="107"/>
      <c r="EQ218" s="107"/>
      <c r="ER218" s="107"/>
      <c r="ES218" s="107"/>
      <c r="ET218" s="107"/>
      <c r="EU218" s="107"/>
      <c r="EV218" s="107"/>
      <c r="EW218" s="107"/>
      <c r="EX218" s="107"/>
      <c r="EY218" s="107"/>
      <c r="EZ218" s="107"/>
      <c r="FA218" s="107"/>
      <c r="FB218" s="107"/>
      <c r="FC218" s="107"/>
      <c r="FD218" s="107"/>
      <c r="FE218" s="107"/>
      <c r="FF218" s="107"/>
      <c r="FG218" s="107"/>
      <c r="FH218" s="107"/>
      <c r="FI218" s="107"/>
      <c r="FJ218" s="107"/>
      <c r="FK218" s="107"/>
      <c r="FL218" s="107"/>
      <c r="FM218" s="107"/>
      <c r="FN218" s="107"/>
      <c r="FO218" s="107"/>
      <c r="FP218" s="107"/>
      <c r="FQ218" s="107"/>
      <c r="FR218" s="107"/>
      <c r="FS218" s="107"/>
      <c r="FT218" s="107"/>
      <c r="FU218" s="107"/>
      <c r="FV218" s="107"/>
      <c r="FW218" s="107"/>
      <c r="FX218" s="107"/>
      <c r="FY218" s="107"/>
    </row>
    <row r="219" spans="1:181" s="48" customFormat="1" ht="15" customHeight="1" x14ac:dyDescent="0.25">
      <c r="B219" s="41">
        <v>63</v>
      </c>
      <c r="C219" s="42"/>
      <c r="D219" s="43"/>
      <c r="E219" s="42"/>
      <c r="F219" s="42"/>
      <c r="G219" s="42"/>
      <c r="H219" s="42"/>
      <c r="I219" s="42"/>
      <c r="J219" s="42"/>
      <c r="K219" s="42"/>
      <c r="L219" s="42"/>
      <c r="M219" s="42"/>
      <c r="N219" s="41"/>
      <c r="O219" s="41"/>
      <c r="P219" s="42"/>
      <c r="Q219" s="45"/>
      <c r="R219" s="45"/>
      <c r="S219" s="42"/>
      <c r="T219" s="46"/>
      <c r="U219" s="46"/>
      <c r="V219" s="42"/>
      <c r="W219" s="42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>
        <f t="shared" si="153"/>
        <v>0</v>
      </c>
      <c r="AO219" s="46">
        <f t="shared" si="154"/>
        <v>0</v>
      </c>
      <c r="AP219" s="46" t="s">
        <v>112</v>
      </c>
      <c r="AQ219" s="46">
        <f t="shared" si="167"/>
        <v>0</v>
      </c>
      <c r="AR219" s="46"/>
      <c r="AS219" s="46"/>
      <c r="AT219" s="46"/>
      <c r="AU219" s="47">
        <f t="shared" si="183"/>
        <v>0</v>
      </c>
      <c r="AV219" s="46"/>
      <c r="AW219" s="47">
        <f t="shared" si="168"/>
        <v>0</v>
      </c>
      <c r="AX219" s="46"/>
      <c r="AY219" s="46"/>
      <c r="AZ219" s="46"/>
      <c r="BA219" s="46"/>
      <c r="BB219" s="46"/>
      <c r="BC219" s="47">
        <f t="shared" si="182"/>
        <v>0</v>
      </c>
      <c r="BD219" s="46"/>
      <c r="BE219" s="47">
        <f t="shared" si="184"/>
        <v>0</v>
      </c>
      <c r="BF219" s="46"/>
      <c r="BG219" s="46"/>
      <c r="BH219" s="46"/>
      <c r="BI219" s="46">
        <v>1</v>
      </c>
      <c r="BJ219" s="46">
        <v>50000</v>
      </c>
      <c r="BK219" s="47">
        <f>+BI219*BJ219</f>
        <v>50000</v>
      </c>
      <c r="BL219" s="46"/>
      <c r="BM219" s="47">
        <f t="shared" si="169"/>
        <v>50000</v>
      </c>
      <c r="BN219" s="46"/>
      <c r="BO219" s="46"/>
      <c r="BP219" s="46"/>
      <c r="BQ219" s="46"/>
      <c r="BR219" s="46"/>
      <c r="BS219" s="46"/>
      <c r="BT219" s="46"/>
      <c r="BU219" s="47">
        <f t="shared" si="173"/>
        <v>0</v>
      </c>
      <c r="BV219" s="46"/>
      <c r="BW219" s="46"/>
      <c r="BX219" s="46"/>
      <c r="BY219" s="46"/>
      <c r="BZ219" s="46"/>
      <c r="CA219" s="46"/>
      <c r="CB219" s="46"/>
      <c r="CC219" s="47">
        <f t="shared" si="174"/>
        <v>0</v>
      </c>
      <c r="CD219" s="46"/>
      <c r="CE219" s="46"/>
      <c r="CF219" s="46"/>
      <c r="CG219" s="46"/>
      <c r="CH219" s="46"/>
      <c r="CI219" s="46"/>
      <c r="CJ219" s="46"/>
      <c r="CK219" s="47">
        <f t="shared" si="175"/>
        <v>0</v>
      </c>
      <c r="CL219" s="46"/>
      <c r="CM219" s="46"/>
      <c r="CN219" s="46"/>
      <c r="CO219" s="46"/>
      <c r="CP219" s="46">
        <f t="shared" si="176"/>
        <v>0</v>
      </c>
      <c r="CQ219" s="46"/>
      <c r="CR219" s="47">
        <f t="shared" si="139"/>
        <v>0</v>
      </c>
      <c r="CS219" s="46"/>
      <c r="CT219" s="46"/>
      <c r="CU219" s="46"/>
      <c r="CV219" s="46"/>
      <c r="CW219" s="47">
        <f t="shared" si="161"/>
        <v>0</v>
      </c>
      <c r="CX219" s="46"/>
      <c r="CY219" s="47">
        <f t="shared" si="162"/>
        <v>0</v>
      </c>
      <c r="CZ219" s="46"/>
      <c r="DA219" s="46"/>
      <c r="DB219" s="46"/>
      <c r="DC219" s="46"/>
      <c r="DD219" s="47">
        <f t="shared" si="170"/>
        <v>0</v>
      </c>
      <c r="DE219" s="46"/>
      <c r="DF219" s="46">
        <f t="shared" si="171"/>
        <v>0</v>
      </c>
      <c r="DG219" s="46"/>
      <c r="DH219" s="46">
        <f t="shared" si="178"/>
        <v>0</v>
      </c>
      <c r="DI219" s="46"/>
      <c r="DJ219" s="46"/>
      <c r="DK219" s="47">
        <f t="shared" si="185"/>
        <v>0</v>
      </c>
      <c r="DL219" s="47">
        <f t="shared" si="155"/>
        <v>0</v>
      </c>
      <c r="DM219" s="46"/>
      <c r="DN219" s="46">
        <f t="shared" si="179"/>
        <v>0</v>
      </c>
      <c r="DO219" s="46"/>
      <c r="DP219" s="46">
        <f t="shared" si="180"/>
        <v>0</v>
      </c>
      <c r="DQ219" s="46"/>
      <c r="DR219" s="46">
        <f t="shared" si="140"/>
        <v>0</v>
      </c>
      <c r="DS219" s="50"/>
      <c r="DT219" s="46">
        <f t="shared" si="166"/>
        <v>0</v>
      </c>
      <c r="DU219" s="46"/>
      <c r="DV219" s="46">
        <f t="shared" si="172"/>
        <v>0</v>
      </c>
      <c r="DW219" s="46"/>
      <c r="DX219" s="47">
        <f t="shared" si="159"/>
        <v>0</v>
      </c>
      <c r="DY219" s="46"/>
      <c r="DZ219" s="46"/>
      <c r="EA219" s="46"/>
      <c r="EB219" s="46"/>
      <c r="EC219" s="46"/>
      <c r="ED219" s="46"/>
      <c r="EE219" s="47">
        <f t="shared" si="181"/>
        <v>50000</v>
      </c>
      <c r="EF219" s="46"/>
      <c r="EG219" s="46"/>
      <c r="EH219" s="46"/>
      <c r="EI219" s="46"/>
      <c r="EJ219" s="46"/>
      <c r="EK219" s="47">
        <f t="shared" si="156"/>
        <v>0</v>
      </c>
      <c r="EL219" s="46">
        <f t="shared" si="157"/>
        <v>-50000</v>
      </c>
      <c r="EM219" s="46"/>
      <c r="EN219" s="46">
        <f t="shared" si="158"/>
        <v>-50000</v>
      </c>
    </row>
    <row r="220" spans="1:181" s="48" customFormat="1" ht="15" customHeight="1" x14ac:dyDescent="0.25">
      <c r="B220" s="41">
        <v>64</v>
      </c>
      <c r="C220" s="42"/>
      <c r="D220" s="43"/>
      <c r="E220" s="42"/>
      <c r="F220" s="42"/>
      <c r="G220" s="42"/>
      <c r="H220" s="42"/>
      <c r="I220" s="42"/>
      <c r="J220" s="42"/>
      <c r="K220" s="42"/>
      <c r="L220" s="42"/>
      <c r="M220" s="42"/>
      <c r="N220" s="41"/>
      <c r="O220" s="41"/>
      <c r="P220" s="42"/>
      <c r="Q220" s="45"/>
      <c r="R220" s="45"/>
      <c r="S220" s="42"/>
      <c r="T220" s="46"/>
      <c r="U220" s="46"/>
      <c r="V220" s="42"/>
      <c r="W220" s="42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>
        <f t="shared" si="153"/>
        <v>0</v>
      </c>
      <c r="AO220" s="47">
        <f t="shared" si="154"/>
        <v>0</v>
      </c>
      <c r="AP220" s="46" t="s">
        <v>112</v>
      </c>
      <c r="AQ220" s="46">
        <f t="shared" si="167"/>
        <v>0</v>
      </c>
      <c r="AR220" s="46"/>
      <c r="AS220" s="46"/>
      <c r="AT220" s="46"/>
      <c r="AU220" s="47">
        <f t="shared" si="183"/>
        <v>0</v>
      </c>
      <c r="AV220" s="46"/>
      <c r="AW220" s="47">
        <f t="shared" si="168"/>
        <v>0</v>
      </c>
      <c r="AX220" s="46"/>
      <c r="AY220" s="46"/>
      <c r="AZ220" s="46"/>
      <c r="BA220" s="46"/>
      <c r="BB220" s="46"/>
      <c r="BC220" s="47">
        <f t="shared" si="182"/>
        <v>0</v>
      </c>
      <c r="BD220" s="46"/>
      <c r="BE220" s="47">
        <f t="shared" si="184"/>
        <v>0</v>
      </c>
      <c r="BF220" s="46"/>
      <c r="BG220" s="46"/>
      <c r="BH220" s="46"/>
      <c r="BI220" s="46"/>
      <c r="BJ220" s="46"/>
      <c r="BK220" s="47">
        <f>+BI220*BJ220</f>
        <v>0</v>
      </c>
      <c r="BL220" s="46"/>
      <c r="BM220" s="47">
        <f t="shared" si="169"/>
        <v>0</v>
      </c>
      <c r="BN220" s="46"/>
      <c r="BO220" s="46"/>
      <c r="BP220" s="46"/>
      <c r="BQ220" s="46"/>
      <c r="BR220" s="46"/>
      <c r="BS220" s="47">
        <f>+BQ220*BR220</f>
        <v>0</v>
      </c>
      <c r="BT220" s="46"/>
      <c r="BU220" s="47">
        <f t="shared" si="173"/>
        <v>0</v>
      </c>
      <c r="BV220" s="46"/>
      <c r="BW220" s="46"/>
      <c r="BX220" s="46"/>
      <c r="BY220" s="46"/>
      <c r="BZ220" s="46"/>
      <c r="CA220" s="46"/>
      <c r="CB220" s="46"/>
      <c r="CC220" s="47">
        <f t="shared" si="174"/>
        <v>0</v>
      </c>
      <c r="CD220" s="46"/>
      <c r="CE220" s="46"/>
      <c r="CF220" s="46"/>
      <c r="CG220" s="46"/>
      <c r="CH220" s="46"/>
      <c r="CI220" s="46"/>
      <c r="CJ220" s="46"/>
      <c r="CK220" s="47">
        <f t="shared" si="175"/>
        <v>0</v>
      </c>
      <c r="CL220" s="46"/>
      <c r="CM220" s="46"/>
      <c r="CN220" s="46"/>
      <c r="CO220" s="46"/>
      <c r="CP220" s="46">
        <f t="shared" si="176"/>
        <v>0</v>
      </c>
      <c r="CQ220" s="46"/>
      <c r="CR220" s="47">
        <f t="shared" si="139"/>
        <v>0</v>
      </c>
      <c r="CS220" s="46"/>
      <c r="CT220" s="46"/>
      <c r="CU220" s="46"/>
      <c r="CV220" s="46"/>
      <c r="CW220" s="47">
        <f t="shared" si="161"/>
        <v>0</v>
      </c>
      <c r="CX220" s="46"/>
      <c r="CY220" s="47">
        <f t="shared" si="162"/>
        <v>0</v>
      </c>
      <c r="CZ220" s="46"/>
      <c r="DA220" s="46"/>
      <c r="DB220" s="46"/>
      <c r="DC220" s="46"/>
      <c r="DD220" s="47">
        <f t="shared" si="170"/>
        <v>0</v>
      </c>
      <c r="DE220" s="46"/>
      <c r="DF220" s="46">
        <f t="shared" si="171"/>
        <v>0</v>
      </c>
      <c r="DG220" s="46"/>
      <c r="DH220" s="46">
        <f t="shared" si="178"/>
        <v>0</v>
      </c>
      <c r="DI220" s="46"/>
      <c r="DJ220" s="46"/>
      <c r="DK220" s="47">
        <f t="shared" si="185"/>
        <v>0</v>
      </c>
      <c r="DL220" s="47">
        <f t="shared" si="155"/>
        <v>0</v>
      </c>
      <c r="DM220" s="46"/>
      <c r="DN220" s="46">
        <f t="shared" si="179"/>
        <v>0</v>
      </c>
      <c r="DO220" s="46"/>
      <c r="DP220" s="90">
        <f t="shared" si="180"/>
        <v>0</v>
      </c>
      <c r="DQ220" s="46"/>
      <c r="DR220" s="46">
        <f t="shared" si="140"/>
        <v>0</v>
      </c>
      <c r="DS220" s="46"/>
      <c r="DT220" s="46">
        <f t="shared" si="166"/>
        <v>0</v>
      </c>
      <c r="DU220" s="46"/>
      <c r="DV220" s="46">
        <f t="shared" si="172"/>
        <v>0</v>
      </c>
      <c r="DW220" s="46"/>
      <c r="DX220" s="47">
        <f t="shared" si="159"/>
        <v>0</v>
      </c>
      <c r="DY220" s="46"/>
      <c r="DZ220" s="46"/>
      <c r="EA220" s="46"/>
      <c r="EB220" s="46"/>
      <c r="EC220" s="46"/>
      <c r="ED220" s="46"/>
      <c r="EE220" s="47">
        <f t="shared" si="181"/>
        <v>0</v>
      </c>
      <c r="EF220" s="46"/>
      <c r="EG220" s="46"/>
      <c r="EH220" s="46"/>
      <c r="EI220" s="46"/>
      <c r="EJ220" s="46"/>
      <c r="EK220" s="47">
        <f t="shared" si="156"/>
        <v>0</v>
      </c>
      <c r="EL220" s="46">
        <f t="shared" si="157"/>
        <v>0</v>
      </c>
      <c r="EM220" s="46"/>
      <c r="EN220" s="46">
        <f t="shared" si="158"/>
        <v>0</v>
      </c>
    </row>
    <row r="221" spans="1:181" s="48" customFormat="1" ht="15" customHeight="1" x14ac:dyDescent="0.25">
      <c r="B221" s="41">
        <v>65</v>
      </c>
      <c r="C221" s="42"/>
      <c r="D221" s="43"/>
      <c r="E221" s="42"/>
      <c r="F221" s="42"/>
      <c r="G221" s="42"/>
      <c r="H221" s="42"/>
      <c r="I221" s="42"/>
      <c r="J221" s="42"/>
      <c r="K221" s="42"/>
      <c r="L221" s="42"/>
      <c r="M221" s="42"/>
      <c r="N221" s="41"/>
      <c r="O221" s="41"/>
      <c r="P221" s="42"/>
      <c r="Q221" s="45"/>
      <c r="R221" s="45"/>
      <c r="S221" s="42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>
        <f t="shared" si="153"/>
        <v>0</v>
      </c>
      <c r="AO221" s="46">
        <f t="shared" si="154"/>
        <v>0</v>
      </c>
      <c r="AP221" s="42" t="s">
        <v>119</v>
      </c>
      <c r="AQ221" s="46">
        <f t="shared" si="167"/>
        <v>0</v>
      </c>
      <c r="AR221" s="46"/>
      <c r="AS221" s="46"/>
      <c r="AT221" s="46"/>
      <c r="AU221" s="47">
        <f t="shared" si="183"/>
        <v>0</v>
      </c>
      <c r="AV221" s="46"/>
      <c r="AW221" s="47">
        <f t="shared" si="168"/>
        <v>0</v>
      </c>
      <c r="AX221" s="42"/>
      <c r="AY221" s="46"/>
      <c r="AZ221" s="46"/>
      <c r="BA221" s="46"/>
      <c r="BB221" s="46"/>
      <c r="BC221" s="47">
        <f t="shared" si="182"/>
        <v>0</v>
      </c>
      <c r="BD221" s="46"/>
      <c r="BE221" s="47">
        <f t="shared" si="184"/>
        <v>0</v>
      </c>
      <c r="BF221" s="42"/>
      <c r="BG221" s="46"/>
      <c r="BH221" s="46"/>
      <c r="BI221" s="46"/>
      <c r="BJ221" s="46"/>
      <c r="BK221" s="46">
        <f t="shared" ref="BK221:BK231" si="186">BI221*BJ221</f>
        <v>0</v>
      </c>
      <c r="BL221" s="46"/>
      <c r="BM221" s="47">
        <f t="shared" si="169"/>
        <v>0</v>
      </c>
      <c r="BN221" s="42"/>
      <c r="BO221" s="46"/>
      <c r="BP221" s="46"/>
      <c r="BQ221" s="46"/>
      <c r="BR221" s="46"/>
      <c r="BS221" s="46">
        <f>BQ221*BR221</f>
        <v>0</v>
      </c>
      <c r="BT221" s="46"/>
      <c r="BU221" s="47">
        <f t="shared" si="173"/>
        <v>0</v>
      </c>
      <c r="BV221" s="42"/>
      <c r="BW221" s="46"/>
      <c r="BX221" s="46"/>
      <c r="BY221" s="46"/>
      <c r="BZ221" s="46"/>
      <c r="CA221" s="46">
        <f>BY221*BZ221</f>
        <v>0</v>
      </c>
      <c r="CB221" s="46"/>
      <c r="CC221" s="47">
        <f t="shared" si="174"/>
        <v>0</v>
      </c>
      <c r="CD221" s="42"/>
      <c r="CE221" s="46"/>
      <c r="CF221" s="46"/>
      <c r="CG221" s="46"/>
      <c r="CH221" s="46"/>
      <c r="CI221" s="46">
        <f>CG221*CH221</f>
        <v>0</v>
      </c>
      <c r="CJ221" s="46"/>
      <c r="CK221" s="47">
        <f t="shared" si="175"/>
        <v>0</v>
      </c>
      <c r="CL221" s="46"/>
      <c r="CM221" s="46"/>
      <c r="CN221" s="46"/>
      <c r="CO221" s="46"/>
      <c r="CP221" s="46">
        <f t="shared" si="176"/>
        <v>0</v>
      </c>
      <c r="CQ221" s="46"/>
      <c r="CR221" s="47">
        <f t="shared" si="139"/>
        <v>0</v>
      </c>
      <c r="CS221" s="46"/>
      <c r="CT221" s="46"/>
      <c r="CU221" s="46"/>
      <c r="CV221" s="46"/>
      <c r="CW221" s="47">
        <f t="shared" si="161"/>
        <v>0</v>
      </c>
      <c r="CX221" s="46"/>
      <c r="CY221" s="47">
        <f t="shared" si="162"/>
        <v>0</v>
      </c>
      <c r="CZ221" s="46"/>
      <c r="DA221" s="46"/>
      <c r="DB221" s="46"/>
      <c r="DC221" s="46"/>
      <c r="DD221" s="47">
        <f t="shared" si="170"/>
        <v>0</v>
      </c>
      <c r="DE221" s="46"/>
      <c r="DF221" s="46">
        <f t="shared" si="171"/>
        <v>0</v>
      </c>
      <c r="DG221" s="46"/>
      <c r="DH221" s="46">
        <f t="shared" si="178"/>
        <v>0</v>
      </c>
      <c r="DI221" s="46"/>
      <c r="DJ221" s="46"/>
      <c r="DK221" s="47">
        <f t="shared" si="185"/>
        <v>0</v>
      </c>
      <c r="DL221" s="47">
        <f t="shared" si="155"/>
        <v>0</v>
      </c>
      <c r="DM221" s="46"/>
      <c r="DN221" s="46">
        <f t="shared" si="179"/>
        <v>0</v>
      </c>
      <c r="DO221" s="46"/>
      <c r="DP221" s="46">
        <f t="shared" si="180"/>
        <v>0</v>
      </c>
      <c r="DQ221" s="46"/>
      <c r="DR221" s="46">
        <f t="shared" si="140"/>
        <v>0</v>
      </c>
      <c r="DS221" s="46"/>
      <c r="DT221" s="46">
        <f t="shared" si="166"/>
        <v>0</v>
      </c>
      <c r="DU221" s="103"/>
      <c r="DV221" s="46">
        <f t="shared" si="172"/>
        <v>0</v>
      </c>
      <c r="DW221" s="45"/>
      <c r="DX221" s="47">
        <f t="shared" si="159"/>
        <v>0</v>
      </c>
      <c r="DY221" s="46"/>
      <c r="DZ221" s="46"/>
      <c r="EA221" s="47"/>
      <c r="EB221" s="46"/>
      <c r="EC221" s="46"/>
      <c r="ED221" s="46"/>
      <c r="EE221" s="47">
        <f t="shared" si="181"/>
        <v>0</v>
      </c>
      <c r="EF221" s="46"/>
      <c r="EG221" s="46"/>
      <c r="EH221" s="46"/>
      <c r="EI221" s="46"/>
      <c r="EJ221" s="46"/>
      <c r="EK221" s="47">
        <f t="shared" si="156"/>
        <v>0</v>
      </c>
      <c r="EL221" s="46">
        <f t="shared" si="157"/>
        <v>0</v>
      </c>
      <c r="EM221" s="46"/>
      <c r="EN221" s="46">
        <f t="shared" si="158"/>
        <v>0</v>
      </c>
      <c r="EO221" s="107"/>
      <c r="EP221" s="107"/>
      <c r="EQ221" s="107"/>
      <c r="ER221" s="107"/>
      <c r="ES221" s="107"/>
      <c r="ET221" s="107"/>
      <c r="EU221" s="107"/>
      <c r="EV221" s="107"/>
      <c r="EW221" s="107"/>
      <c r="EX221" s="107"/>
      <c r="EY221" s="107"/>
      <c r="EZ221" s="107"/>
      <c r="FA221" s="107"/>
      <c r="FB221" s="107"/>
      <c r="FC221" s="107"/>
      <c r="FD221" s="107"/>
      <c r="FE221" s="107"/>
      <c r="FF221" s="107"/>
      <c r="FG221" s="107"/>
      <c r="FH221" s="107"/>
      <c r="FI221" s="107"/>
      <c r="FJ221" s="107"/>
      <c r="FK221" s="107"/>
      <c r="FL221" s="107"/>
      <c r="FM221" s="107"/>
      <c r="FN221" s="107"/>
      <c r="FO221" s="107"/>
      <c r="FP221" s="107"/>
      <c r="FQ221" s="107"/>
      <c r="FR221" s="107"/>
      <c r="FS221" s="107"/>
      <c r="FT221" s="107"/>
      <c r="FU221" s="107"/>
      <c r="FV221" s="107"/>
      <c r="FW221" s="107"/>
      <c r="FX221" s="107"/>
      <c r="FY221" s="107"/>
    </row>
    <row r="222" spans="1:181" s="48" customFormat="1" ht="15" customHeight="1" x14ac:dyDescent="0.25">
      <c r="B222" s="41">
        <v>66</v>
      </c>
      <c r="C222" s="42"/>
      <c r="D222" s="43"/>
      <c r="E222" s="42"/>
      <c r="F222" s="42"/>
      <c r="G222" s="42"/>
      <c r="H222" s="42"/>
      <c r="I222" s="42"/>
      <c r="J222" s="42"/>
      <c r="K222" s="42"/>
      <c r="L222" s="42"/>
      <c r="M222" s="42"/>
      <c r="N222" s="41"/>
      <c r="O222" s="41"/>
      <c r="P222" s="42"/>
      <c r="Q222" s="45"/>
      <c r="R222" s="45"/>
      <c r="S222" s="42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>
        <f t="shared" si="153"/>
        <v>0</v>
      </c>
      <c r="AO222" s="46">
        <f t="shared" si="154"/>
        <v>0</v>
      </c>
      <c r="AP222" s="42" t="s">
        <v>111</v>
      </c>
      <c r="AQ222" s="46">
        <f t="shared" si="167"/>
        <v>0</v>
      </c>
      <c r="AR222" s="46"/>
      <c r="AS222" s="46"/>
      <c r="AT222" s="46"/>
      <c r="AU222" s="47">
        <f t="shared" si="183"/>
        <v>0</v>
      </c>
      <c r="AV222" s="46"/>
      <c r="AW222" s="47">
        <f t="shared" si="168"/>
        <v>0</v>
      </c>
      <c r="AX222" s="42"/>
      <c r="AY222" s="46"/>
      <c r="AZ222" s="46"/>
      <c r="BA222" s="46"/>
      <c r="BB222" s="46"/>
      <c r="BC222" s="47">
        <f t="shared" si="182"/>
        <v>0</v>
      </c>
      <c r="BD222" s="46"/>
      <c r="BE222" s="47">
        <f t="shared" si="184"/>
        <v>0</v>
      </c>
      <c r="BF222" s="42"/>
      <c r="BG222" s="46"/>
      <c r="BH222" s="46"/>
      <c r="BI222" s="46"/>
      <c r="BJ222" s="46"/>
      <c r="BK222" s="46">
        <f t="shared" si="186"/>
        <v>0</v>
      </c>
      <c r="BL222" s="46"/>
      <c r="BM222" s="47">
        <f t="shared" si="169"/>
        <v>0</v>
      </c>
      <c r="BN222" s="42"/>
      <c r="BO222" s="46"/>
      <c r="BP222" s="46"/>
      <c r="BQ222" s="46"/>
      <c r="BR222" s="46"/>
      <c r="BS222" s="47"/>
      <c r="BT222" s="46"/>
      <c r="BU222" s="47">
        <f t="shared" si="173"/>
        <v>0</v>
      </c>
      <c r="BV222" s="42"/>
      <c r="BW222" s="46"/>
      <c r="BX222" s="46"/>
      <c r="BY222" s="46"/>
      <c r="BZ222" s="46"/>
      <c r="CA222" s="47"/>
      <c r="CB222" s="46"/>
      <c r="CC222" s="47">
        <f t="shared" si="174"/>
        <v>0</v>
      </c>
      <c r="CD222" s="42"/>
      <c r="CE222" s="46"/>
      <c r="CF222" s="46"/>
      <c r="CG222" s="46"/>
      <c r="CH222" s="46"/>
      <c r="CI222" s="47"/>
      <c r="CJ222" s="46"/>
      <c r="CK222" s="47">
        <f t="shared" si="175"/>
        <v>0</v>
      </c>
      <c r="CL222" s="46"/>
      <c r="CM222" s="46"/>
      <c r="CN222" s="46"/>
      <c r="CO222" s="46"/>
      <c r="CP222" s="46">
        <f t="shared" si="176"/>
        <v>0</v>
      </c>
      <c r="CQ222" s="46"/>
      <c r="CR222" s="47">
        <f t="shared" si="139"/>
        <v>0</v>
      </c>
      <c r="CS222" s="46"/>
      <c r="CT222" s="46"/>
      <c r="CU222" s="46"/>
      <c r="CV222" s="46"/>
      <c r="CW222" s="47">
        <f t="shared" si="161"/>
        <v>0</v>
      </c>
      <c r="CX222" s="46"/>
      <c r="CY222" s="47">
        <f t="shared" si="162"/>
        <v>0</v>
      </c>
      <c r="CZ222" s="46"/>
      <c r="DA222" s="46"/>
      <c r="DB222" s="46"/>
      <c r="DC222" s="46"/>
      <c r="DD222" s="47">
        <f t="shared" si="170"/>
        <v>0</v>
      </c>
      <c r="DE222" s="46"/>
      <c r="DF222" s="46">
        <f t="shared" si="171"/>
        <v>0</v>
      </c>
      <c r="DG222" s="46"/>
      <c r="DH222" s="46">
        <f t="shared" si="178"/>
        <v>0</v>
      </c>
      <c r="DI222" s="46"/>
      <c r="DJ222" s="46"/>
      <c r="DK222" s="47">
        <f t="shared" si="185"/>
        <v>0</v>
      </c>
      <c r="DL222" s="47">
        <f t="shared" si="155"/>
        <v>0</v>
      </c>
      <c r="DM222" s="46"/>
      <c r="DN222" s="46">
        <f t="shared" si="179"/>
        <v>0</v>
      </c>
      <c r="DO222" s="46"/>
      <c r="DP222" s="46">
        <f t="shared" si="180"/>
        <v>0</v>
      </c>
      <c r="DQ222" s="46"/>
      <c r="DR222" s="46">
        <f t="shared" si="140"/>
        <v>0</v>
      </c>
      <c r="DS222" s="46"/>
      <c r="DT222" s="46">
        <f t="shared" si="166"/>
        <v>0</v>
      </c>
      <c r="DU222" s="103"/>
      <c r="DV222" s="46">
        <f t="shared" si="172"/>
        <v>0</v>
      </c>
      <c r="DW222" s="45"/>
      <c r="DX222" s="47">
        <f t="shared" si="159"/>
        <v>0</v>
      </c>
      <c r="DY222" s="46"/>
      <c r="DZ222" s="46"/>
      <c r="EA222" s="47"/>
      <c r="EB222" s="46"/>
      <c r="EC222" s="46"/>
      <c r="ED222" s="46"/>
      <c r="EE222" s="47">
        <f t="shared" si="181"/>
        <v>0</v>
      </c>
      <c r="EF222" s="46"/>
      <c r="EG222" s="46"/>
      <c r="EH222" s="46"/>
      <c r="EI222" s="46"/>
      <c r="EJ222" s="46"/>
      <c r="EK222" s="47">
        <f t="shared" si="156"/>
        <v>0</v>
      </c>
      <c r="EL222" s="46">
        <f t="shared" si="157"/>
        <v>0</v>
      </c>
      <c r="EM222" s="46"/>
      <c r="EN222" s="46">
        <f t="shared" si="158"/>
        <v>0</v>
      </c>
      <c r="EO222" s="107"/>
      <c r="EP222" s="107"/>
      <c r="EQ222" s="107"/>
      <c r="ER222" s="107"/>
      <c r="ES222" s="107"/>
      <c r="ET222" s="107"/>
      <c r="EU222" s="107"/>
      <c r="EV222" s="107"/>
      <c r="EW222" s="107"/>
      <c r="EX222" s="107"/>
      <c r="EY222" s="107"/>
      <c r="EZ222" s="107"/>
      <c r="FA222" s="107"/>
      <c r="FB222" s="107"/>
      <c r="FC222" s="107"/>
      <c r="FD222" s="107"/>
      <c r="FE222" s="107"/>
      <c r="FF222" s="107"/>
      <c r="FG222" s="107"/>
      <c r="FH222" s="107"/>
      <c r="FI222" s="107"/>
      <c r="FJ222" s="107"/>
      <c r="FK222" s="107"/>
      <c r="FL222" s="107"/>
      <c r="FM222" s="107"/>
      <c r="FN222" s="107"/>
      <c r="FO222" s="107"/>
      <c r="FP222" s="107"/>
      <c r="FQ222" s="107"/>
      <c r="FR222" s="107"/>
      <c r="FS222" s="107"/>
      <c r="FT222" s="107"/>
      <c r="FU222" s="107"/>
      <c r="FV222" s="107"/>
      <c r="FW222" s="107"/>
      <c r="FX222" s="107"/>
      <c r="FY222" s="107"/>
    </row>
    <row r="223" spans="1:181" s="48" customFormat="1" ht="15" customHeight="1" x14ac:dyDescent="0.25">
      <c r="B223" s="41">
        <v>67</v>
      </c>
      <c r="C223" s="42"/>
      <c r="D223" s="43"/>
      <c r="E223" s="42"/>
      <c r="F223" s="42"/>
      <c r="G223" s="42"/>
      <c r="H223" s="42"/>
      <c r="I223" s="42"/>
      <c r="J223" s="42"/>
      <c r="K223" s="42"/>
      <c r="L223" s="42"/>
      <c r="M223" s="42"/>
      <c r="N223" s="41"/>
      <c r="O223" s="41"/>
      <c r="P223" s="42"/>
      <c r="Q223" s="45"/>
      <c r="R223" s="45"/>
      <c r="S223" s="42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>
        <f t="shared" si="153"/>
        <v>0</v>
      </c>
      <c r="AO223" s="46">
        <f t="shared" si="154"/>
        <v>0</v>
      </c>
      <c r="AP223" s="42" t="s">
        <v>111</v>
      </c>
      <c r="AQ223" s="46">
        <f t="shared" si="167"/>
        <v>0</v>
      </c>
      <c r="AR223" s="46"/>
      <c r="AS223" s="46"/>
      <c r="AT223" s="46"/>
      <c r="AU223" s="47">
        <f t="shared" si="183"/>
        <v>0</v>
      </c>
      <c r="AV223" s="46"/>
      <c r="AW223" s="47">
        <f t="shared" si="168"/>
        <v>0</v>
      </c>
      <c r="AX223" s="42"/>
      <c r="AY223" s="46"/>
      <c r="AZ223" s="46"/>
      <c r="BA223" s="46"/>
      <c r="BB223" s="46"/>
      <c r="BC223" s="47">
        <f t="shared" si="182"/>
        <v>0</v>
      </c>
      <c r="BD223" s="46"/>
      <c r="BE223" s="47">
        <f t="shared" si="184"/>
        <v>0</v>
      </c>
      <c r="BF223" s="42"/>
      <c r="BG223" s="46"/>
      <c r="BH223" s="46"/>
      <c r="BI223" s="46"/>
      <c r="BJ223" s="46"/>
      <c r="BK223" s="46">
        <f t="shared" si="186"/>
        <v>0</v>
      </c>
      <c r="BL223" s="46"/>
      <c r="BM223" s="47">
        <f t="shared" si="169"/>
        <v>0</v>
      </c>
      <c r="BN223" s="42"/>
      <c r="BO223" s="46"/>
      <c r="BP223" s="46"/>
      <c r="BQ223" s="46"/>
      <c r="BR223" s="46"/>
      <c r="BS223" s="47"/>
      <c r="BT223" s="46"/>
      <c r="BU223" s="47">
        <f t="shared" si="173"/>
        <v>0</v>
      </c>
      <c r="BV223" s="42"/>
      <c r="BW223" s="46"/>
      <c r="BX223" s="46"/>
      <c r="BY223" s="46"/>
      <c r="BZ223" s="46"/>
      <c r="CA223" s="47"/>
      <c r="CB223" s="46"/>
      <c r="CC223" s="47">
        <f t="shared" si="174"/>
        <v>0</v>
      </c>
      <c r="CD223" s="42"/>
      <c r="CE223" s="46"/>
      <c r="CF223" s="46"/>
      <c r="CG223" s="46"/>
      <c r="CH223" s="46"/>
      <c r="CI223" s="47"/>
      <c r="CJ223" s="46"/>
      <c r="CK223" s="47">
        <f t="shared" si="175"/>
        <v>0</v>
      </c>
      <c r="CL223" s="46"/>
      <c r="CM223" s="46"/>
      <c r="CN223" s="46"/>
      <c r="CO223" s="46"/>
      <c r="CP223" s="46">
        <f t="shared" si="176"/>
        <v>0</v>
      </c>
      <c r="CQ223" s="46"/>
      <c r="CR223" s="47">
        <f t="shared" si="139"/>
        <v>0</v>
      </c>
      <c r="CS223" s="46"/>
      <c r="CT223" s="46"/>
      <c r="CU223" s="46"/>
      <c r="CV223" s="46"/>
      <c r="CW223" s="47">
        <f t="shared" si="161"/>
        <v>0</v>
      </c>
      <c r="CX223" s="46"/>
      <c r="CY223" s="47">
        <f t="shared" si="162"/>
        <v>0</v>
      </c>
      <c r="CZ223" s="46"/>
      <c r="DA223" s="46"/>
      <c r="DB223" s="46"/>
      <c r="DC223" s="46"/>
      <c r="DD223" s="64">
        <f t="shared" si="170"/>
        <v>0</v>
      </c>
      <c r="DE223" s="46"/>
      <c r="DF223" s="46">
        <f t="shared" si="171"/>
        <v>0</v>
      </c>
      <c r="DG223" s="46"/>
      <c r="DH223" s="46">
        <f t="shared" si="178"/>
        <v>0</v>
      </c>
      <c r="DI223" s="46"/>
      <c r="DJ223" s="46"/>
      <c r="DK223" s="47">
        <f t="shared" si="185"/>
        <v>0</v>
      </c>
      <c r="DL223" s="47">
        <f t="shared" si="155"/>
        <v>0</v>
      </c>
      <c r="DM223" s="46"/>
      <c r="DN223" s="46">
        <f t="shared" si="179"/>
        <v>0</v>
      </c>
      <c r="DO223" s="46"/>
      <c r="DP223" s="46">
        <f t="shared" si="180"/>
        <v>0</v>
      </c>
      <c r="DQ223" s="46"/>
      <c r="DR223" s="46">
        <f t="shared" si="140"/>
        <v>0</v>
      </c>
      <c r="DS223" s="46"/>
      <c r="DT223" s="46">
        <f t="shared" si="166"/>
        <v>0</v>
      </c>
      <c r="DU223" s="103"/>
      <c r="DV223" s="46">
        <f t="shared" si="172"/>
        <v>0</v>
      </c>
      <c r="DW223" s="45"/>
      <c r="DX223" s="47">
        <f t="shared" si="159"/>
        <v>0</v>
      </c>
      <c r="DY223" s="46"/>
      <c r="DZ223" s="46"/>
      <c r="EA223" s="47"/>
      <c r="EB223" s="46"/>
      <c r="EC223" s="46"/>
      <c r="ED223" s="46"/>
      <c r="EE223" s="47">
        <f t="shared" si="181"/>
        <v>0</v>
      </c>
      <c r="EF223" s="46"/>
      <c r="EG223" s="46"/>
      <c r="EH223" s="46"/>
      <c r="EI223" s="46"/>
      <c r="EJ223" s="46"/>
      <c r="EK223" s="47">
        <f t="shared" si="156"/>
        <v>0</v>
      </c>
      <c r="EL223" s="46">
        <f t="shared" si="157"/>
        <v>0</v>
      </c>
      <c r="EM223" s="46"/>
      <c r="EN223" s="46">
        <f t="shared" si="158"/>
        <v>0</v>
      </c>
      <c r="EO223" s="107"/>
      <c r="EP223" s="107"/>
      <c r="EQ223" s="107"/>
      <c r="ER223" s="107"/>
      <c r="ES223" s="107"/>
      <c r="ET223" s="107"/>
      <c r="EU223" s="107"/>
      <c r="EV223" s="107"/>
      <c r="EW223" s="107"/>
      <c r="EX223" s="107"/>
      <c r="EY223" s="107"/>
      <c r="EZ223" s="107"/>
      <c r="FA223" s="107"/>
      <c r="FB223" s="107"/>
      <c r="FC223" s="107"/>
      <c r="FD223" s="107"/>
      <c r="FE223" s="107"/>
      <c r="FF223" s="107"/>
      <c r="FG223" s="107"/>
      <c r="FH223" s="107"/>
      <c r="FI223" s="107"/>
      <c r="FJ223" s="107"/>
      <c r="FK223" s="107"/>
      <c r="FL223" s="107"/>
      <c r="FM223" s="107"/>
      <c r="FN223" s="107"/>
      <c r="FO223" s="107"/>
      <c r="FP223" s="107"/>
      <c r="FQ223" s="107"/>
      <c r="FR223" s="107"/>
      <c r="FS223" s="107"/>
      <c r="FT223" s="107"/>
      <c r="FU223" s="107"/>
      <c r="FV223" s="107"/>
      <c r="FW223" s="107"/>
      <c r="FX223" s="107"/>
      <c r="FY223" s="107"/>
    </row>
    <row r="224" spans="1:181" s="48" customFormat="1" ht="15" customHeight="1" x14ac:dyDescent="0.25">
      <c r="B224" s="41">
        <v>68</v>
      </c>
      <c r="C224" s="42"/>
      <c r="D224" s="43"/>
      <c r="E224" s="42"/>
      <c r="F224" s="42"/>
      <c r="G224" s="42"/>
      <c r="H224" s="42"/>
      <c r="I224" s="42"/>
      <c r="J224" s="42"/>
      <c r="K224" s="42"/>
      <c r="L224" s="42"/>
      <c r="M224" s="42"/>
      <c r="N224" s="41"/>
      <c r="O224" s="41"/>
      <c r="P224" s="42"/>
      <c r="Q224" s="45"/>
      <c r="R224" s="45"/>
      <c r="S224" s="42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>
        <f t="shared" si="153"/>
        <v>0</v>
      </c>
      <c r="AO224" s="46">
        <f t="shared" si="154"/>
        <v>0</v>
      </c>
      <c r="AP224" s="42" t="s">
        <v>111</v>
      </c>
      <c r="AQ224" s="46">
        <f t="shared" si="167"/>
        <v>0</v>
      </c>
      <c r="AR224" s="46"/>
      <c r="AS224" s="46"/>
      <c r="AT224" s="46"/>
      <c r="AU224" s="47">
        <f t="shared" si="183"/>
        <v>0</v>
      </c>
      <c r="AV224" s="46"/>
      <c r="AW224" s="47">
        <f t="shared" si="168"/>
        <v>0</v>
      </c>
      <c r="AX224" s="42"/>
      <c r="AY224" s="46"/>
      <c r="AZ224" s="46"/>
      <c r="BA224" s="46"/>
      <c r="BB224" s="46"/>
      <c r="BC224" s="47">
        <f t="shared" si="182"/>
        <v>0</v>
      </c>
      <c r="BD224" s="46"/>
      <c r="BE224" s="47">
        <f t="shared" si="184"/>
        <v>0</v>
      </c>
      <c r="BF224" s="42"/>
      <c r="BG224" s="46"/>
      <c r="BH224" s="46"/>
      <c r="BI224" s="46"/>
      <c r="BJ224" s="46"/>
      <c r="BK224" s="46">
        <f t="shared" si="186"/>
        <v>0</v>
      </c>
      <c r="BL224" s="46"/>
      <c r="BM224" s="47">
        <f t="shared" si="169"/>
        <v>0</v>
      </c>
      <c r="BN224" s="42"/>
      <c r="BO224" s="46"/>
      <c r="BP224" s="46"/>
      <c r="BQ224" s="46"/>
      <c r="BR224" s="46"/>
      <c r="BS224" s="46">
        <f t="shared" ref="BS224:BS231" si="187">BQ224*BR224</f>
        <v>0</v>
      </c>
      <c r="BT224" s="46"/>
      <c r="BU224" s="47">
        <f t="shared" si="173"/>
        <v>0</v>
      </c>
      <c r="BV224" s="42"/>
      <c r="BW224" s="46"/>
      <c r="BX224" s="46"/>
      <c r="BY224" s="46"/>
      <c r="BZ224" s="46"/>
      <c r="CA224" s="46">
        <f>BY224*BZ224</f>
        <v>0</v>
      </c>
      <c r="CB224" s="46"/>
      <c r="CC224" s="47">
        <f t="shared" si="174"/>
        <v>0</v>
      </c>
      <c r="CD224" s="42"/>
      <c r="CE224" s="46"/>
      <c r="CF224" s="46"/>
      <c r="CG224" s="46"/>
      <c r="CH224" s="46"/>
      <c r="CI224" s="46">
        <f>CG224*CH224</f>
        <v>0</v>
      </c>
      <c r="CJ224" s="46"/>
      <c r="CK224" s="47">
        <f t="shared" si="175"/>
        <v>0</v>
      </c>
      <c r="CL224" s="46"/>
      <c r="CM224" s="46"/>
      <c r="CN224" s="46"/>
      <c r="CO224" s="46"/>
      <c r="CP224" s="46">
        <f t="shared" si="176"/>
        <v>0</v>
      </c>
      <c r="CQ224" s="46"/>
      <c r="CR224" s="47">
        <f t="shared" si="139"/>
        <v>0</v>
      </c>
      <c r="CS224" s="46"/>
      <c r="CT224" s="46"/>
      <c r="CU224" s="46"/>
      <c r="CV224" s="46"/>
      <c r="CW224" s="47">
        <f t="shared" si="161"/>
        <v>0</v>
      </c>
      <c r="CX224" s="46"/>
      <c r="CY224" s="47">
        <f t="shared" si="162"/>
        <v>0</v>
      </c>
      <c r="CZ224" s="46"/>
      <c r="DA224" s="46"/>
      <c r="DB224" s="46"/>
      <c r="DC224" s="46"/>
      <c r="DD224" s="64">
        <f t="shared" si="170"/>
        <v>0</v>
      </c>
      <c r="DE224" s="46"/>
      <c r="DF224" s="46">
        <f t="shared" si="171"/>
        <v>0</v>
      </c>
      <c r="DG224" s="46"/>
      <c r="DH224" s="46">
        <f t="shared" si="178"/>
        <v>0</v>
      </c>
      <c r="DI224" s="46"/>
      <c r="DJ224" s="46"/>
      <c r="DK224" s="47">
        <f t="shared" si="185"/>
        <v>0</v>
      </c>
      <c r="DL224" s="47">
        <f t="shared" si="155"/>
        <v>0</v>
      </c>
      <c r="DM224" s="46"/>
      <c r="DN224" s="46">
        <f t="shared" si="179"/>
        <v>0</v>
      </c>
      <c r="DO224" s="46"/>
      <c r="DP224" s="46">
        <f t="shared" si="180"/>
        <v>0</v>
      </c>
      <c r="DQ224" s="46"/>
      <c r="DR224" s="46">
        <f t="shared" si="140"/>
        <v>0</v>
      </c>
      <c r="DS224" s="46"/>
      <c r="DT224" s="46">
        <f t="shared" si="166"/>
        <v>0</v>
      </c>
      <c r="DU224" s="103"/>
      <c r="DV224" s="46">
        <f t="shared" si="172"/>
        <v>0</v>
      </c>
      <c r="DW224" s="45"/>
      <c r="DX224" s="47">
        <f t="shared" si="159"/>
        <v>0</v>
      </c>
      <c r="DY224" s="46"/>
      <c r="DZ224" s="46"/>
      <c r="EA224" s="47"/>
      <c r="EB224" s="46"/>
      <c r="EC224" s="46"/>
      <c r="ED224" s="46"/>
      <c r="EE224" s="47">
        <f t="shared" si="181"/>
        <v>0</v>
      </c>
      <c r="EF224" s="46"/>
      <c r="EG224" s="46"/>
      <c r="EH224" s="46"/>
      <c r="EI224" s="46"/>
      <c r="EJ224" s="46"/>
      <c r="EK224" s="47">
        <f t="shared" si="156"/>
        <v>0</v>
      </c>
      <c r="EL224" s="46">
        <f t="shared" si="157"/>
        <v>0</v>
      </c>
      <c r="EM224" s="46"/>
      <c r="EN224" s="46">
        <f t="shared" si="158"/>
        <v>0</v>
      </c>
      <c r="EO224" s="107"/>
      <c r="EP224" s="107"/>
      <c r="EQ224" s="107"/>
      <c r="ER224" s="107"/>
      <c r="ES224" s="107"/>
      <c r="ET224" s="107"/>
      <c r="EU224" s="107"/>
      <c r="EV224" s="107"/>
      <c r="EW224" s="107"/>
      <c r="EX224" s="107"/>
      <c r="EY224" s="107"/>
      <c r="EZ224" s="107"/>
      <c r="FA224" s="107"/>
      <c r="FB224" s="107"/>
      <c r="FC224" s="107"/>
      <c r="FD224" s="107"/>
      <c r="FE224" s="107"/>
      <c r="FF224" s="107"/>
      <c r="FG224" s="107"/>
      <c r="FH224" s="107"/>
      <c r="FI224" s="107"/>
      <c r="FJ224" s="107"/>
      <c r="FK224" s="107"/>
      <c r="FL224" s="107"/>
      <c r="FM224" s="107"/>
      <c r="FN224" s="107"/>
      <c r="FO224" s="107"/>
      <c r="FP224" s="107"/>
      <c r="FQ224" s="107"/>
      <c r="FR224" s="107"/>
      <c r="FS224" s="107"/>
      <c r="FT224" s="107"/>
      <c r="FU224" s="107"/>
      <c r="FV224" s="107"/>
      <c r="FW224" s="107"/>
      <c r="FX224" s="107"/>
      <c r="FY224" s="107"/>
    </row>
    <row r="225" spans="1:181" s="48" customFormat="1" ht="15" customHeight="1" x14ac:dyDescent="0.25">
      <c r="B225" s="41">
        <v>69</v>
      </c>
      <c r="C225" s="42"/>
      <c r="D225" s="43"/>
      <c r="E225" s="42"/>
      <c r="F225" s="42"/>
      <c r="G225" s="42"/>
      <c r="H225" s="42"/>
      <c r="I225" s="42"/>
      <c r="J225" s="42"/>
      <c r="K225" s="42"/>
      <c r="L225" s="42"/>
      <c r="M225" s="42"/>
      <c r="N225" s="41"/>
      <c r="O225" s="41"/>
      <c r="P225" s="42"/>
      <c r="Q225" s="45"/>
      <c r="R225" s="45"/>
      <c r="S225" s="42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>
        <f t="shared" si="153"/>
        <v>0</v>
      </c>
      <c r="AO225" s="46">
        <f t="shared" si="154"/>
        <v>0</v>
      </c>
      <c r="AP225" s="42" t="s">
        <v>116</v>
      </c>
      <c r="AQ225" s="46">
        <f t="shared" si="167"/>
        <v>0</v>
      </c>
      <c r="AR225" s="46"/>
      <c r="AS225" s="46"/>
      <c r="AT225" s="46"/>
      <c r="AU225" s="47">
        <f t="shared" si="183"/>
        <v>0</v>
      </c>
      <c r="AV225" s="46"/>
      <c r="AW225" s="47">
        <f t="shared" si="168"/>
        <v>0</v>
      </c>
      <c r="AX225" s="42"/>
      <c r="AY225" s="46"/>
      <c r="AZ225" s="46"/>
      <c r="BA225" s="46"/>
      <c r="BB225" s="46"/>
      <c r="BC225" s="47">
        <f t="shared" si="182"/>
        <v>0</v>
      </c>
      <c r="BD225" s="46"/>
      <c r="BE225" s="47">
        <f t="shared" si="184"/>
        <v>0</v>
      </c>
      <c r="BF225" s="42"/>
      <c r="BG225" s="46"/>
      <c r="BH225" s="46"/>
      <c r="BI225" s="46"/>
      <c r="BJ225" s="46"/>
      <c r="BK225" s="46">
        <f t="shared" si="186"/>
        <v>0</v>
      </c>
      <c r="BL225" s="46"/>
      <c r="BM225" s="47">
        <f t="shared" si="169"/>
        <v>0</v>
      </c>
      <c r="BN225" s="42"/>
      <c r="BO225" s="46"/>
      <c r="BP225" s="46"/>
      <c r="BQ225" s="46"/>
      <c r="BR225" s="46"/>
      <c r="BS225" s="46">
        <f t="shared" si="187"/>
        <v>0</v>
      </c>
      <c r="BT225" s="46"/>
      <c r="BU225" s="47">
        <f t="shared" si="173"/>
        <v>0</v>
      </c>
      <c r="BV225" s="42"/>
      <c r="BW225" s="46"/>
      <c r="BX225" s="46"/>
      <c r="BY225" s="46"/>
      <c r="BZ225" s="46"/>
      <c r="CA225" s="46">
        <f>BY225*BZ225</f>
        <v>0</v>
      </c>
      <c r="CB225" s="46"/>
      <c r="CC225" s="47">
        <f t="shared" si="174"/>
        <v>0</v>
      </c>
      <c r="CD225" s="42"/>
      <c r="CE225" s="46"/>
      <c r="CF225" s="46"/>
      <c r="CG225" s="46"/>
      <c r="CH225" s="46"/>
      <c r="CI225" s="46">
        <f>CG225*CH225</f>
        <v>0</v>
      </c>
      <c r="CJ225" s="46"/>
      <c r="CK225" s="47">
        <f t="shared" si="175"/>
        <v>0</v>
      </c>
      <c r="CL225" s="46"/>
      <c r="CM225" s="46"/>
      <c r="CN225" s="46"/>
      <c r="CO225" s="46"/>
      <c r="CP225" s="46">
        <f t="shared" si="176"/>
        <v>0</v>
      </c>
      <c r="CQ225" s="46"/>
      <c r="CR225" s="47">
        <f t="shared" si="139"/>
        <v>0</v>
      </c>
      <c r="CS225" s="46"/>
      <c r="CT225" s="46"/>
      <c r="CU225" s="46"/>
      <c r="CV225" s="46"/>
      <c r="CW225" s="47">
        <f t="shared" si="161"/>
        <v>0</v>
      </c>
      <c r="CX225" s="46"/>
      <c r="CY225" s="47">
        <f t="shared" si="162"/>
        <v>0</v>
      </c>
      <c r="CZ225" s="46"/>
      <c r="DA225" s="46"/>
      <c r="DB225" s="46"/>
      <c r="DC225" s="46"/>
      <c r="DD225" s="64">
        <f t="shared" si="170"/>
        <v>0</v>
      </c>
      <c r="DE225" s="46"/>
      <c r="DF225" s="46">
        <f t="shared" si="171"/>
        <v>0</v>
      </c>
      <c r="DG225" s="46"/>
      <c r="DH225" s="46">
        <f t="shared" si="178"/>
        <v>0</v>
      </c>
      <c r="DI225" s="46"/>
      <c r="DJ225" s="46"/>
      <c r="DK225" s="47">
        <f t="shared" si="185"/>
        <v>0</v>
      </c>
      <c r="DL225" s="47">
        <f t="shared" si="155"/>
        <v>0</v>
      </c>
      <c r="DM225" s="46"/>
      <c r="DN225" s="46">
        <f t="shared" si="179"/>
        <v>0</v>
      </c>
      <c r="DO225" s="46"/>
      <c r="DP225" s="46">
        <f t="shared" si="180"/>
        <v>0</v>
      </c>
      <c r="DQ225" s="46"/>
      <c r="DR225" s="46">
        <f t="shared" si="140"/>
        <v>0</v>
      </c>
      <c r="DS225" s="46"/>
      <c r="DT225" s="46">
        <f t="shared" si="166"/>
        <v>0</v>
      </c>
      <c r="DU225" s="103"/>
      <c r="DV225" s="46">
        <f t="shared" si="172"/>
        <v>0</v>
      </c>
      <c r="DW225" s="45"/>
      <c r="DX225" s="47">
        <f t="shared" si="159"/>
        <v>0</v>
      </c>
      <c r="DY225" s="46"/>
      <c r="DZ225" s="46"/>
      <c r="EA225" s="47"/>
      <c r="EB225" s="46"/>
      <c r="EC225" s="46"/>
      <c r="ED225" s="46"/>
      <c r="EE225" s="47">
        <f t="shared" si="181"/>
        <v>0</v>
      </c>
      <c r="EF225" s="46"/>
      <c r="EG225" s="46"/>
      <c r="EH225" s="46"/>
      <c r="EI225" s="46"/>
      <c r="EJ225" s="46"/>
      <c r="EK225" s="47">
        <f t="shared" si="156"/>
        <v>0</v>
      </c>
      <c r="EL225" s="46">
        <f t="shared" si="157"/>
        <v>0</v>
      </c>
      <c r="EM225" s="46"/>
      <c r="EN225" s="46">
        <f t="shared" si="158"/>
        <v>0</v>
      </c>
      <c r="EO225" s="107"/>
      <c r="EP225" s="107"/>
      <c r="EQ225" s="107"/>
      <c r="ER225" s="107"/>
      <c r="ES225" s="107"/>
      <c r="ET225" s="107"/>
      <c r="EU225" s="107"/>
      <c r="EV225" s="107"/>
      <c r="EW225" s="107"/>
      <c r="EX225" s="107"/>
      <c r="EY225" s="107"/>
      <c r="EZ225" s="107"/>
      <c r="FA225" s="107"/>
      <c r="FB225" s="107"/>
      <c r="FC225" s="107"/>
      <c r="FD225" s="107"/>
      <c r="FE225" s="107"/>
      <c r="FF225" s="107"/>
      <c r="FG225" s="107"/>
      <c r="FH225" s="107"/>
      <c r="FI225" s="107"/>
      <c r="FJ225" s="107"/>
      <c r="FK225" s="107"/>
      <c r="FL225" s="107"/>
      <c r="FM225" s="107"/>
      <c r="FN225" s="107"/>
      <c r="FO225" s="107"/>
      <c r="FP225" s="107"/>
      <c r="FQ225" s="107"/>
      <c r="FR225" s="107"/>
      <c r="FS225" s="107"/>
      <c r="FT225" s="107"/>
      <c r="FU225" s="107"/>
      <c r="FV225" s="107"/>
      <c r="FW225" s="107"/>
      <c r="FX225" s="107"/>
      <c r="FY225" s="107"/>
    </row>
    <row r="226" spans="1:181" s="80" customFormat="1" ht="15" customHeight="1" x14ac:dyDescent="0.25">
      <c r="B226" s="41">
        <v>83</v>
      </c>
      <c r="C226" s="74"/>
      <c r="D226" s="75"/>
      <c r="E226" s="74"/>
      <c r="F226" s="74"/>
      <c r="G226" s="74"/>
      <c r="H226" s="74"/>
      <c r="I226" s="74"/>
      <c r="J226" s="74"/>
      <c r="K226" s="74"/>
      <c r="L226" s="74"/>
      <c r="M226" s="74"/>
      <c r="N226" s="76"/>
      <c r="O226" s="76"/>
      <c r="P226" s="74"/>
      <c r="Q226" s="77"/>
      <c r="R226" s="77"/>
      <c r="S226" s="74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>
        <f t="shared" si="153"/>
        <v>0</v>
      </c>
      <c r="AO226" s="78">
        <f t="shared" si="154"/>
        <v>0</v>
      </c>
      <c r="AP226" s="74" t="s">
        <v>112</v>
      </c>
      <c r="AQ226" s="78">
        <f t="shared" si="167"/>
        <v>0</v>
      </c>
      <c r="AR226" s="78"/>
      <c r="AS226" s="78"/>
      <c r="AT226" s="78"/>
      <c r="AU226" s="79">
        <f t="shared" si="183"/>
        <v>0</v>
      </c>
      <c r="AV226" s="78"/>
      <c r="AW226" s="79">
        <f t="shared" si="168"/>
        <v>0</v>
      </c>
      <c r="AX226" s="74"/>
      <c r="AY226" s="78"/>
      <c r="AZ226" s="78"/>
      <c r="BA226" s="78"/>
      <c r="BB226" s="78"/>
      <c r="BC226" s="79">
        <f t="shared" si="182"/>
        <v>0</v>
      </c>
      <c r="BD226" s="78"/>
      <c r="BE226" s="79">
        <f t="shared" si="184"/>
        <v>0</v>
      </c>
      <c r="BF226" s="74"/>
      <c r="BG226" s="78"/>
      <c r="BH226" s="78"/>
      <c r="BI226" s="78"/>
      <c r="BJ226" s="78"/>
      <c r="BK226" s="78">
        <f t="shared" si="186"/>
        <v>0</v>
      </c>
      <c r="BL226" s="78"/>
      <c r="BM226" s="79">
        <f t="shared" si="169"/>
        <v>0</v>
      </c>
      <c r="BN226" s="74"/>
      <c r="BO226" s="78"/>
      <c r="BP226" s="78"/>
      <c r="BQ226" s="78"/>
      <c r="BR226" s="78"/>
      <c r="BS226" s="78">
        <f t="shared" si="187"/>
        <v>0</v>
      </c>
      <c r="BT226" s="78"/>
      <c r="BU226" s="79">
        <f t="shared" si="173"/>
        <v>0</v>
      </c>
      <c r="BV226" s="74"/>
      <c r="BW226" s="78"/>
      <c r="BX226" s="78"/>
      <c r="BY226" s="78"/>
      <c r="BZ226" s="78"/>
      <c r="CA226" s="79"/>
      <c r="CB226" s="78"/>
      <c r="CC226" s="79">
        <f t="shared" si="174"/>
        <v>0</v>
      </c>
      <c r="CD226" s="74"/>
      <c r="CE226" s="78"/>
      <c r="CF226" s="78"/>
      <c r="CG226" s="78"/>
      <c r="CH226" s="78"/>
      <c r="CI226" s="79"/>
      <c r="CJ226" s="78"/>
      <c r="CK226" s="79">
        <f t="shared" si="175"/>
        <v>0</v>
      </c>
      <c r="CL226" s="78"/>
      <c r="CM226" s="78"/>
      <c r="CN226" s="78"/>
      <c r="CO226" s="78"/>
      <c r="CP226" s="78">
        <f t="shared" si="176"/>
        <v>0</v>
      </c>
      <c r="CQ226" s="78"/>
      <c r="CR226" s="79">
        <f t="shared" si="139"/>
        <v>0</v>
      </c>
      <c r="CS226" s="78"/>
      <c r="CT226" s="78"/>
      <c r="CU226" s="78"/>
      <c r="CV226" s="78"/>
      <c r="CW226" s="79">
        <f t="shared" si="161"/>
        <v>0</v>
      </c>
      <c r="CX226" s="78"/>
      <c r="CY226" s="79">
        <f t="shared" si="162"/>
        <v>0</v>
      </c>
      <c r="CZ226" s="78"/>
      <c r="DA226" s="78"/>
      <c r="DB226" s="78"/>
      <c r="DC226" s="78"/>
      <c r="DD226" s="64">
        <f t="shared" si="170"/>
        <v>0</v>
      </c>
      <c r="DE226" s="78"/>
      <c r="DF226" s="46">
        <f t="shared" si="171"/>
        <v>0</v>
      </c>
      <c r="DG226" s="78"/>
      <c r="DH226" s="78">
        <f t="shared" si="178"/>
        <v>0</v>
      </c>
      <c r="DI226" s="78"/>
      <c r="DJ226" s="78"/>
      <c r="DK226" s="79">
        <f t="shared" si="185"/>
        <v>0</v>
      </c>
      <c r="DL226" s="79">
        <f t="shared" si="155"/>
        <v>0</v>
      </c>
      <c r="DM226" s="78"/>
      <c r="DN226" s="46">
        <f t="shared" si="179"/>
        <v>0</v>
      </c>
      <c r="DO226" s="78"/>
      <c r="DP226" s="78">
        <f>DN226</f>
        <v>0</v>
      </c>
      <c r="DQ226" s="78"/>
      <c r="DR226" s="78">
        <f t="shared" si="140"/>
        <v>0</v>
      </c>
      <c r="DS226" s="78"/>
      <c r="DT226" s="78">
        <f t="shared" si="166"/>
        <v>0</v>
      </c>
      <c r="DU226" s="105"/>
      <c r="DV226" s="78">
        <f t="shared" si="172"/>
        <v>0</v>
      </c>
      <c r="DW226" s="77"/>
      <c r="DX226" s="79">
        <f t="shared" si="159"/>
        <v>0</v>
      </c>
      <c r="DY226" s="78"/>
      <c r="DZ226" s="78"/>
      <c r="EA226" s="79"/>
      <c r="EB226" s="78"/>
      <c r="EC226" s="78"/>
      <c r="ED226" s="78"/>
      <c r="EE226" s="79">
        <f t="shared" si="181"/>
        <v>0</v>
      </c>
      <c r="EF226" s="78"/>
      <c r="EG226" s="78"/>
      <c r="EH226" s="78"/>
      <c r="EI226" s="78"/>
      <c r="EJ226" s="78"/>
      <c r="EK226" s="79">
        <f t="shared" si="156"/>
        <v>0</v>
      </c>
      <c r="EL226" s="78">
        <f t="shared" si="157"/>
        <v>0</v>
      </c>
      <c r="EM226" s="78"/>
      <c r="EN226" s="78">
        <f t="shared" si="158"/>
        <v>0</v>
      </c>
      <c r="EO226" s="106"/>
      <c r="EP226" s="106"/>
      <c r="EQ226" s="106"/>
      <c r="ER226" s="106"/>
      <c r="ES226" s="106"/>
      <c r="ET226" s="106"/>
      <c r="EU226" s="106"/>
      <c r="EV226" s="106"/>
      <c r="EW226" s="106"/>
      <c r="EX226" s="106"/>
      <c r="EY226" s="106"/>
      <c r="EZ226" s="106"/>
      <c r="FA226" s="106"/>
      <c r="FB226" s="106"/>
      <c r="FC226" s="106"/>
      <c r="FD226" s="106"/>
      <c r="FE226" s="106"/>
      <c r="FF226" s="106"/>
      <c r="FG226" s="106"/>
      <c r="FH226" s="106"/>
      <c r="FI226" s="106"/>
      <c r="FJ226" s="106"/>
      <c r="FK226" s="106"/>
      <c r="FL226" s="106"/>
      <c r="FM226" s="106"/>
      <c r="FN226" s="106"/>
      <c r="FO226" s="106"/>
      <c r="FP226" s="106"/>
      <c r="FQ226" s="106"/>
      <c r="FR226" s="106"/>
      <c r="FS226" s="106"/>
      <c r="FT226" s="106"/>
      <c r="FU226" s="106"/>
      <c r="FV226" s="106"/>
      <c r="FW226" s="106"/>
      <c r="FX226" s="106"/>
      <c r="FY226" s="106"/>
    </row>
    <row r="227" spans="1:181" s="48" customFormat="1" ht="15" customHeight="1" x14ac:dyDescent="0.25">
      <c r="B227" s="41">
        <v>86</v>
      </c>
      <c r="C227" s="42"/>
      <c r="D227" s="43"/>
      <c r="E227" s="42"/>
      <c r="F227" s="42"/>
      <c r="G227" s="42"/>
      <c r="H227" s="42"/>
      <c r="I227" s="42"/>
      <c r="J227" s="42"/>
      <c r="K227" s="42"/>
      <c r="L227" s="42"/>
      <c r="M227" s="42"/>
      <c r="N227" s="41"/>
      <c r="O227" s="41"/>
      <c r="P227" s="42"/>
      <c r="Q227" s="45"/>
      <c r="R227" s="45"/>
      <c r="S227" s="42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>
        <f t="shared" si="153"/>
        <v>0</v>
      </c>
      <c r="AO227" s="46">
        <f t="shared" si="154"/>
        <v>0</v>
      </c>
      <c r="AP227" s="42" t="s">
        <v>124</v>
      </c>
      <c r="AQ227" s="46">
        <f t="shared" si="167"/>
        <v>0</v>
      </c>
      <c r="AR227" s="46"/>
      <c r="AS227" s="46"/>
      <c r="AT227" s="46"/>
      <c r="AU227" s="47">
        <f t="shared" si="183"/>
        <v>0</v>
      </c>
      <c r="AV227" s="46"/>
      <c r="AW227" s="47">
        <f t="shared" si="168"/>
        <v>0</v>
      </c>
      <c r="AX227" s="42" t="s">
        <v>113</v>
      </c>
      <c r="AY227" s="46">
        <f>25%*AQ227</f>
        <v>0</v>
      </c>
      <c r="AZ227" s="46"/>
      <c r="BA227" s="46"/>
      <c r="BB227" s="46"/>
      <c r="BC227" s="47">
        <f t="shared" si="182"/>
        <v>0</v>
      </c>
      <c r="BD227" s="46"/>
      <c r="BE227" s="47">
        <f t="shared" si="184"/>
        <v>0</v>
      </c>
      <c r="BF227" s="42"/>
      <c r="BG227" s="46"/>
      <c r="BH227" s="46"/>
      <c r="BI227" s="46"/>
      <c r="BJ227" s="46"/>
      <c r="BK227" s="46">
        <f t="shared" si="186"/>
        <v>0</v>
      </c>
      <c r="BL227" s="46"/>
      <c r="BM227" s="47">
        <f t="shared" si="169"/>
        <v>0</v>
      </c>
      <c r="BN227" s="42"/>
      <c r="BO227" s="46"/>
      <c r="BP227" s="46"/>
      <c r="BQ227" s="46"/>
      <c r="BR227" s="46"/>
      <c r="BS227" s="46">
        <f t="shared" si="187"/>
        <v>0</v>
      </c>
      <c r="BT227" s="46"/>
      <c r="BU227" s="47">
        <f t="shared" si="173"/>
        <v>0</v>
      </c>
      <c r="BV227" s="42"/>
      <c r="BW227" s="46"/>
      <c r="BX227" s="46"/>
      <c r="BY227" s="46"/>
      <c r="BZ227" s="46"/>
      <c r="CA227" s="47"/>
      <c r="CB227" s="46"/>
      <c r="CC227" s="47">
        <f t="shared" si="174"/>
        <v>0</v>
      </c>
      <c r="CD227" s="42"/>
      <c r="CE227" s="46"/>
      <c r="CF227" s="46"/>
      <c r="CG227" s="46"/>
      <c r="CH227" s="46"/>
      <c r="CI227" s="47"/>
      <c r="CJ227" s="46"/>
      <c r="CK227" s="47">
        <f t="shared" si="175"/>
        <v>0</v>
      </c>
      <c r="CL227" s="46"/>
      <c r="CM227" s="46"/>
      <c r="CN227" s="46"/>
      <c r="CO227" s="46"/>
      <c r="CP227" s="46">
        <f t="shared" si="176"/>
        <v>0</v>
      </c>
      <c r="CQ227" s="46"/>
      <c r="CR227" s="47">
        <f t="shared" ref="CR227:CR290" si="188">CM227+CP227+CQ227</f>
        <v>0</v>
      </c>
      <c r="CS227" s="46"/>
      <c r="CT227" s="46"/>
      <c r="CU227" s="46"/>
      <c r="CV227" s="46"/>
      <c r="CW227" s="47">
        <f t="shared" si="161"/>
        <v>0</v>
      </c>
      <c r="CX227" s="46"/>
      <c r="CY227" s="47">
        <f t="shared" si="162"/>
        <v>0</v>
      </c>
      <c r="CZ227" s="46"/>
      <c r="DA227" s="46"/>
      <c r="DB227" s="46"/>
      <c r="DC227" s="46"/>
      <c r="DD227" s="64">
        <f t="shared" si="170"/>
        <v>0</v>
      </c>
      <c r="DE227" s="46"/>
      <c r="DF227" s="46">
        <f t="shared" si="171"/>
        <v>0</v>
      </c>
      <c r="DG227" s="46"/>
      <c r="DH227" s="78">
        <f t="shared" si="178"/>
        <v>0</v>
      </c>
      <c r="DI227" s="46"/>
      <c r="DJ227" s="46"/>
      <c r="DK227" s="47">
        <f t="shared" si="185"/>
        <v>0</v>
      </c>
      <c r="DL227" s="47">
        <f t="shared" si="155"/>
        <v>0</v>
      </c>
      <c r="DM227" s="46"/>
      <c r="DN227" s="46">
        <f t="shared" si="179"/>
        <v>0</v>
      </c>
      <c r="DO227" s="46"/>
      <c r="DP227" s="46">
        <f>DN227</f>
        <v>0</v>
      </c>
      <c r="DQ227" s="46"/>
      <c r="DR227" s="46">
        <f t="shared" ref="DR227:DR290" si="189">DP227</f>
        <v>0</v>
      </c>
      <c r="DS227" s="46"/>
      <c r="DT227" s="46">
        <f t="shared" si="166"/>
        <v>0</v>
      </c>
      <c r="DU227" s="41"/>
      <c r="DV227" s="46">
        <f t="shared" si="172"/>
        <v>0</v>
      </c>
      <c r="DW227" s="45"/>
      <c r="DX227" s="47">
        <f t="shared" si="159"/>
        <v>0</v>
      </c>
      <c r="DY227" s="46"/>
      <c r="DZ227" s="46"/>
      <c r="EA227" s="46"/>
      <c r="EB227" s="46"/>
      <c r="EC227" s="46"/>
      <c r="ED227" s="46"/>
      <c r="EE227" s="47">
        <f t="shared" si="181"/>
        <v>0</v>
      </c>
      <c r="EF227" s="46"/>
      <c r="EG227" s="46"/>
      <c r="EH227" s="46"/>
      <c r="EI227" s="46"/>
      <c r="EJ227" s="46"/>
      <c r="EK227" s="47">
        <f t="shared" si="156"/>
        <v>0</v>
      </c>
      <c r="EL227" s="46">
        <f t="shared" si="157"/>
        <v>0</v>
      </c>
      <c r="EM227" s="46"/>
      <c r="EN227" s="46">
        <f t="shared" si="158"/>
        <v>0</v>
      </c>
      <c r="EO227" s="107"/>
      <c r="EP227" s="107"/>
      <c r="EQ227" s="107"/>
      <c r="ER227" s="107"/>
      <c r="ES227" s="107"/>
      <c r="ET227" s="107"/>
      <c r="EU227" s="107"/>
      <c r="EV227" s="107"/>
      <c r="EW227" s="107"/>
      <c r="EX227" s="107"/>
      <c r="EY227" s="107"/>
      <c r="EZ227" s="107"/>
      <c r="FA227" s="107"/>
      <c r="FB227" s="107"/>
      <c r="FC227" s="107"/>
      <c r="FD227" s="107"/>
      <c r="FE227" s="107"/>
      <c r="FF227" s="107"/>
      <c r="FG227" s="107"/>
      <c r="FH227" s="107"/>
      <c r="FI227" s="107"/>
      <c r="FJ227" s="107"/>
      <c r="FK227" s="107"/>
      <c r="FL227" s="107"/>
      <c r="FM227" s="107"/>
      <c r="FN227" s="107"/>
      <c r="FO227" s="107"/>
      <c r="FP227" s="107"/>
      <c r="FQ227" s="107"/>
      <c r="FR227" s="107"/>
      <c r="FS227" s="107"/>
      <c r="FT227" s="107"/>
      <c r="FU227" s="107"/>
      <c r="FV227" s="107"/>
      <c r="FW227" s="107"/>
      <c r="FX227" s="107"/>
      <c r="FY227" s="107"/>
    </row>
    <row r="228" spans="1:181" s="48" customFormat="1" ht="15" customHeight="1" x14ac:dyDescent="0.25">
      <c r="B228" s="41">
        <v>87</v>
      </c>
      <c r="C228" s="42"/>
      <c r="D228" s="43"/>
      <c r="E228" s="42"/>
      <c r="F228" s="42"/>
      <c r="G228" s="42"/>
      <c r="H228" s="42"/>
      <c r="I228" s="42"/>
      <c r="J228" s="42"/>
      <c r="K228" s="42"/>
      <c r="L228" s="42"/>
      <c r="M228" s="42"/>
      <c r="N228" s="41"/>
      <c r="O228" s="41"/>
      <c r="P228" s="42"/>
      <c r="Q228" s="45"/>
      <c r="R228" s="45"/>
      <c r="S228" s="42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>
        <f t="shared" si="153"/>
        <v>0</v>
      </c>
      <c r="AO228" s="46">
        <f t="shared" si="154"/>
        <v>0</v>
      </c>
      <c r="AP228" s="42" t="s">
        <v>120</v>
      </c>
      <c r="AQ228" s="46">
        <f t="shared" si="167"/>
        <v>0</v>
      </c>
      <c r="AR228" s="46"/>
      <c r="AS228" s="46"/>
      <c r="AT228" s="46"/>
      <c r="AU228" s="47">
        <f t="shared" si="183"/>
        <v>0</v>
      </c>
      <c r="AV228" s="46"/>
      <c r="AW228" s="47">
        <f t="shared" si="168"/>
        <v>0</v>
      </c>
      <c r="AX228" s="42"/>
      <c r="AY228" s="46"/>
      <c r="AZ228" s="46"/>
      <c r="BA228" s="46"/>
      <c r="BB228" s="46"/>
      <c r="BC228" s="47">
        <f t="shared" si="182"/>
        <v>0</v>
      </c>
      <c r="BD228" s="46"/>
      <c r="BE228" s="47">
        <f t="shared" si="184"/>
        <v>0</v>
      </c>
      <c r="BF228" s="42"/>
      <c r="BG228" s="46"/>
      <c r="BH228" s="46"/>
      <c r="BI228" s="46"/>
      <c r="BJ228" s="46"/>
      <c r="BK228" s="46">
        <f t="shared" si="186"/>
        <v>0</v>
      </c>
      <c r="BL228" s="46"/>
      <c r="BM228" s="47">
        <f t="shared" si="169"/>
        <v>0</v>
      </c>
      <c r="BN228" s="42"/>
      <c r="BO228" s="46"/>
      <c r="BP228" s="46"/>
      <c r="BQ228" s="46"/>
      <c r="BR228" s="46"/>
      <c r="BS228" s="46">
        <f t="shared" si="187"/>
        <v>0</v>
      </c>
      <c r="BT228" s="46"/>
      <c r="BU228" s="47">
        <f t="shared" si="173"/>
        <v>0</v>
      </c>
      <c r="BV228" s="42"/>
      <c r="BW228" s="46"/>
      <c r="BX228" s="46"/>
      <c r="BY228" s="46"/>
      <c r="BZ228" s="46"/>
      <c r="CA228" s="47"/>
      <c r="CB228" s="46"/>
      <c r="CC228" s="47">
        <f t="shared" si="174"/>
        <v>0</v>
      </c>
      <c r="CD228" s="42"/>
      <c r="CE228" s="46"/>
      <c r="CF228" s="46"/>
      <c r="CG228" s="46"/>
      <c r="CH228" s="46"/>
      <c r="CI228" s="47"/>
      <c r="CJ228" s="46"/>
      <c r="CK228" s="47">
        <f t="shared" si="175"/>
        <v>0</v>
      </c>
      <c r="CL228" s="46"/>
      <c r="CM228" s="46"/>
      <c r="CN228" s="46"/>
      <c r="CO228" s="46"/>
      <c r="CP228" s="46">
        <f t="shared" si="176"/>
        <v>0</v>
      </c>
      <c r="CQ228" s="46"/>
      <c r="CR228" s="47">
        <f t="shared" si="188"/>
        <v>0</v>
      </c>
      <c r="CS228" s="46"/>
      <c r="CT228" s="46"/>
      <c r="CU228" s="46"/>
      <c r="CV228" s="46"/>
      <c r="CW228" s="47">
        <f t="shared" si="161"/>
        <v>0</v>
      </c>
      <c r="CX228" s="46"/>
      <c r="CY228" s="47">
        <f t="shared" si="162"/>
        <v>0</v>
      </c>
      <c r="CZ228" s="46"/>
      <c r="DA228" s="46"/>
      <c r="DB228" s="46"/>
      <c r="DC228" s="46"/>
      <c r="DD228" s="64">
        <f t="shared" si="170"/>
        <v>0</v>
      </c>
      <c r="DE228" s="46"/>
      <c r="DF228" s="46">
        <f t="shared" si="171"/>
        <v>0</v>
      </c>
      <c r="DG228" s="46"/>
      <c r="DH228" s="78">
        <f t="shared" si="178"/>
        <v>0</v>
      </c>
      <c r="DI228" s="46"/>
      <c r="DJ228" s="46"/>
      <c r="DK228" s="47">
        <f t="shared" si="185"/>
        <v>0</v>
      </c>
      <c r="DL228" s="47">
        <f t="shared" si="155"/>
        <v>0</v>
      </c>
      <c r="DM228" s="46"/>
      <c r="DN228" s="46">
        <f t="shared" si="179"/>
        <v>0</v>
      </c>
      <c r="DO228" s="46"/>
      <c r="DP228" s="46">
        <f>DN228</f>
        <v>0</v>
      </c>
      <c r="DQ228" s="46"/>
      <c r="DR228" s="46">
        <f t="shared" si="189"/>
        <v>0</v>
      </c>
      <c r="DS228" s="46"/>
      <c r="DT228" s="46">
        <f t="shared" si="166"/>
        <v>0</v>
      </c>
      <c r="DU228" s="41"/>
      <c r="DV228" s="46">
        <f t="shared" si="172"/>
        <v>0</v>
      </c>
      <c r="DW228" s="45"/>
      <c r="DX228" s="47">
        <f t="shared" si="159"/>
        <v>0</v>
      </c>
      <c r="DY228" s="46"/>
      <c r="DZ228" s="46"/>
      <c r="EA228" s="47"/>
      <c r="EB228" s="46"/>
      <c r="EC228" s="46"/>
      <c r="ED228" s="46"/>
      <c r="EE228" s="47">
        <f t="shared" si="181"/>
        <v>0</v>
      </c>
      <c r="EF228" s="46"/>
      <c r="EG228" s="46"/>
      <c r="EH228" s="46"/>
      <c r="EI228" s="46"/>
      <c r="EJ228" s="46"/>
      <c r="EK228" s="47">
        <f t="shared" si="156"/>
        <v>0</v>
      </c>
      <c r="EL228" s="46">
        <f t="shared" si="157"/>
        <v>0</v>
      </c>
      <c r="EM228" s="46"/>
      <c r="EN228" s="46">
        <f t="shared" si="158"/>
        <v>0</v>
      </c>
      <c r="EO228" s="107"/>
      <c r="EP228" s="107"/>
      <c r="EQ228" s="107"/>
      <c r="ER228" s="107"/>
      <c r="ES228" s="107"/>
      <c r="ET228" s="107"/>
      <c r="EU228" s="107"/>
      <c r="EV228" s="107"/>
      <c r="EW228" s="107"/>
      <c r="EX228" s="107"/>
      <c r="EY228" s="107"/>
      <c r="EZ228" s="107"/>
      <c r="FA228" s="107"/>
      <c r="FB228" s="107"/>
      <c r="FC228" s="107"/>
      <c r="FD228" s="107"/>
      <c r="FE228" s="107"/>
      <c r="FF228" s="107"/>
      <c r="FG228" s="107"/>
      <c r="FH228" s="107"/>
      <c r="FI228" s="107"/>
      <c r="FJ228" s="107"/>
      <c r="FK228" s="107"/>
      <c r="FL228" s="107"/>
      <c r="FM228" s="107"/>
      <c r="FN228" s="107"/>
      <c r="FO228" s="107"/>
      <c r="FP228" s="107"/>
      <c r="FQ228" s="107"/>
      <c r="FR228" s="107"/>
      <c r="FS228" s="107"/>
      <c r="FT228" s="107"/>
      <c r="FU228" s="107"/>
      <c r="FV228" s="107"/>
      <c r="FW228" s="107"/>
      <c r="FX228" s="107"/>
      <c r="FY228" s="107"/>
    </row>
    <row r="229" spans="1:181" s="48" customFormat="1" ht="15" customHeight="1" x14ac:dyDescent="0.25">
      <c r="B229" s="41">
        <v>84</v>
      </c>
      <c r="C229" s="42"/>
      <c r="D229" s="43"/>
      <c r="E229" s="42"/>
      <c r="F229" s="42"/>
      <c r="G229" s="42"/>
      <c r="H229" s="42"/>
      <c r="I229" s="42"/>
      <c r="J229" s="42"/>
      <c r="K229" s="42"/>
      <c r="L229" s="42"/>
      <c r="M229" s="42"/>
      <c r="N229" s="41"/>
      <c r="O229" s="41"/>
      <c r="P229" s="42"/>
      <c r="Q229" s="45"/>
      <c r="R229" s="45"/>
      <c r="S229" s="42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>
        <f t="shared" si="153"/>
        <v>0</v>
      </c>
      <c r="AO229" s="46">
        <f t="shared" si="154"/>
        <v>0</v>
      </c>
      <c r="AP229" s="42" t="s">
        <v>111</v>
      </c>
      <c r="AQ229" s="46">
        <f t="shared" si="167"/>
        <v>0</v>
      </c>
      <c r="AR229" s="46"/>
      <c r="AS229" s="46"/>
      <c r="AT229" s="46"/>
      <c r="AU229" s="47">
        <f t="shared" si="183"/>
        <v>0</v>
      </c>
      <c r="AV229" s="46"/>
      <c r="AW229" s="47">
        <f t="shared" si="168"/>
        <v>0</v>
      </c>
      <c r="AX229" s="42"/>
      <c r="AY229" s="46"/>
      <c r="AZ229" s="46"/>
      <c r="BA229" s="46"/>
      <c r="BB229" s="46"/>
      <c r="BC229" s="47">
        <f t="shared" si="182"/>
        <v>0</v>
      </c>
      <c r="BD229" s="46"/>
      <c r="BE229" s="47">
        <f t="shared" si="184"/>
        <v>0</v>
      </c>
      <c r="BF229" s="42"/>
      <c r="BG229" s="46"/>
      <c r="BH229" s="46"/>
      <c r="BI229" s="46"/>
      <c r="BJ229" s="46"/>
      <c r="BK229" s="46">
        <f t="shared" si="186"/>
        <v>0</v>
      </c>
      <c r="BL229" s="46"/>
      <c r="BM229" s="47">
        <f t="shared" si="169"/>
        <v>0</v>
      </c>
      <c r="BN229" s="42"/>
      <c r="BO229" s="46"/>
      <c r="BP229" s="46"/>
      <c r="BQ229" s="46"/>
      <c r="BR229" s="46"/>
      <c r="BS229" s="46">
        <f t="shared" si="187"/>
        <v>0</v>
      </c>
      <c r="BT229" s="46"/>
      <c r="BU229" s="47">
        <f t="shared" si="173"/>
        <v>0</v>
      </c>
      <c r="BV229" s="42"/>
      <c r="BW229" s="46"/>
      <c r="BX229" s="46"/>
      <c r="BY229" s="46"/>
      <c r="BZ229" s="46"/>
      <c r="CA229" s="47"/>
      <c r="CB229" s="46"/>
      <c r="CC229" s="47">
        <f t="shared" si="174"/>
        <v>0</v>
      </c>
      <c r="CD229" s="42"/>
      <c r="CE229" s="46"/>
      <c r="CF229" s="46"/>
      <c r="CG229" s="46"/>
      <c r="CH229" s="46"/>
      <c r="CI229" s="47"/>
      <c r="CJ229" s="46"/>
      <c r="CK229" s="47">
        <f t="shared" si="175"/>
        <v>0</v>
      </c>
      <c r="CL229" s="46"/>
      <c r="CM229" s="46"/>
      <c r="CN229" s="46"/>
      <c r="CO229" s="46"/>
      <c r="CP229" s="46">
        <f t="shared" si="176"/>
        <v>0</v>
      </c>
      <c r="CQ229" s="46"/>
      <c r="CR229" s="47">
        <f t="shared" si="188"/>
        <v>0</v>
      </c>
      <c r="CS229" s="46"/>
      <c r="CT229" s="46"/>
      <c r="CU229" s="46"/>
      <c r="CV229" s="46"/>
      <c r="CW229" s="47">
        <f t="shared" si="161"/>
        <v>0</v>
      </c>
      <c r="CX229" s="46"/>
      <c r="CY229" s="47">
        <f t="shared" si="162"/>
        <v>0</v>
      </c>
      <c r="CZ229" s="46"/>
      <c r="DA229" s="46"/>
      <c r="DB229" s="46"/>
      <c r="DC229" s="46"/>
      <c r="DD229" s="64">
        <f t="shared" si="170"/>
        <v>0</v>
      </c>
      <c r="DE229" s="46"/>
      <c r="DF229" s="46">
        <f t="shared" si="171"/>
        <v>0</v>
      </c>
      <c r="DG229" s="46"/>
      <c r="DH229" s="78">
        <f t="shared" si="178"/>
        <v>0</v>
      </c>
      <c r="DI229" s="46"/>
      <c r="DJ229" s="46"/>
      <c r="DK229" s="47">
        <f t="shared" si="185"/>
        <v>0</v>
      </c>
      <c r="DL229" s="47">
        <f t="shared" si="155"/>
        <v>0</v>
      </c>
      <c r="DM229" s="46"/>
      <c r="DN229" s="46">
        <f t="shared" si="179"/>
        <v>0</v>
      </c>
      <c r="DO229" s="46"/>
      <c r="DP229" s="46">
        <f>DN229</f>
        <v>0</v>
      </c>
      <c r="DQ229" s="46"/>
      <c r="DR229" s="46">
        <f t="shared" si="189"/>
        <v>0</v>
      </c>
      <c r="DS229" s="46"/>
      <c r="DT229" s="46">
        <f t="shared" si="166"/>
        <v>0</v>
      </c>
      <c r="DU229" s="103"/>
      <c r="DV229" s="46">
        <f t="shared" si="172"/>
        <v>0</v>
      </c>
      <c r="DW229" s="45"/>
      <c r="DX229" s="47">
        <f t="shared" si="159"/>
        <v>0</v>
      </c>
      <c r="DY229" s="46"/>
      <c r="DZ229" s="46"/>
      <c r="EA229" s="46"/>
      <c r="EB229" s="46"/>
      <c r="EC229" s="46"/>
      <c r="ED229" s="46"/>
      <c r="EE229" s="47">
        <f t="shared" si="181"/>
        <v>0</v>
      </c>
      <c r="EF229" s="46"/>
      <c r="EG229" s="46"/>
      <c r="EH229" s="46"/>
      <c r="EI229" s="46"/>
      <c r="EJ229" s="46"/>
      <c r="EK229" s="47">
        <f t="shared" si="156"/>
        <v>0</v>
      </c>
      <c r="EL229" s="46">
        <f t="shared" si="157"/>
        <v>0</v>
      </c>
      <c r="EM229" s="46"/>
      <c r="EN229" s="46">
        <f t="shared" si="158"/>
        <v>0</v>
      </c>
      <c r="EO229" s="107"/>
      <c r="EP229" s="107"/>
      <c r="EQ229" s="107"/>
      <c r="ER229" s="107"/>
      <c r="ES229" s="107"/>
      <c r="ET229" s="107"/>
      <c r="EU229" s="107"/>
      <c r="EV229" s="107"/>
      <c r="EW229" s="107"/>
      <c r="EX229" s="107"/>
      <c r="EY229" s="107"/>
      <c r="EZ229" s="107"/>
      <c r="FA229" s="107"/>
      <c r="FB229" s="107"/>
      <c r="FC229" s="107"/>
      <c r="FD229" s="107"/>
      <c r="FE229" s="107"/>
      <c r="FF229" s="107"/>
      <c r="FG229" s="107"/>
      <c r="FH229" s="107"/>
      <c r="FI229" s="107"/>
      <c r="FJ229" s="107"/>
      <c r="FK229" s="107"/>
      <c r="FL229" s="107"/>
      <c r="FM229" s="107"/>
      <c r="FN229" s="107"/>
      <c r="FO229" s="107"/>
      <c r="FP229" s="107"/>
      <c r="FQ229" s="107"/>
      <c r="FR229" s="107"/>
      <c r="FS229" s="107"/>
      <c r="FT229" s="107"/>
      <c r="FU229" s="107"/>
      <c r="FV229" s="107"/>
      <c r="FW229" s="107"/>
      <c r="FX229" s="107"/>
      <c r="FY229" s="107"/>
    </row>
    <row r="230" spans="1:181" s="48" customFormat="1" ht="15" customHeight="1" x14ac:dyDescent="0.25">
      <c r="B230" s="41">
        <v>85</v>
      </c>
      <c r="C230" s="42"/>
      <c r="D230" s="43"/>
      <c r="E230" s="42"/>
      <c r="F230" s="42"/>
      <c r="G230" s="42"/>
      <c r="H230" s="42"/>
      <c r="I230" s="42"/>
      <c r="J230" s="42"/>
      <c r="K230" s="42"/>
      <c r="L230" s="42"/>
      <c r="M230" s="42"/>
      <c r="N230" s="41"/>
      <c r="O230" s="41"/>
      <c r="P230" s="42"/>
      <c r="Q230" s="45"/>
      <c r="R230" s="45"/>
      <c r="S230" s="42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>
        <f t="shared" si="153"/>
        <v>0</v>
      </c>
      <c r="AO230" s="46">
        <f t="shared" si="154"/>
        <v>0</v>
      </c>
      <c r="AP230" s="42" t="s">
        <v>111</v>
      </c>
      <c r="AQ230" s="46">
        <f t="shared" si="167"/>
        <v>0</v>
      </c>
      <c r="AR230" s="46"/>
      <c r="AS230" s="46"/>
      <c r="AT230" s="46"/>
      <c r="AU230" s="47">
        <f t="shared" si="183"/>
        <v>0</v>
      </c>
      <c r="AV230" s="46"/>
      <c r="AW230" s="47">
        <f t="shared" si="168"/>
        <v>0</v>
      </c>
      <c r="AX230" s="42"/>
      <c r="AY230" s="46"/>
      <c r="AZ230" s="46"/>
      <c r="BA230" s="46"/>
      <c r="BB230" s="46"/>
      <c r="BC230" s="47">
        <f t="shared" si="182"/>
        <v>0</v>
      </c>
      <c r="BD230" s="46"/>
      <c r="BE230" s="47">
        <f t="shared" si="184"/>
        <v>0</v>
      </c>
      <c r="BF230" s="42"/>
      <c r="BG230" s="46"/>
      <c r="BH230" s="46"/>
      <c r="BI230" s="46"/>
      <c r="BJ230" s="46"/>
      <c r="BK230" s="46">
        <f t="shared" si="186"/>
        <v>0</v>
      </c>
      <c r="BL230" s="46"/>
      <c r="BM230" s="47">
        <f t="shared" si="169"/>
        <v>0</v>
      </c>
      <c r="BN230" s="42"/>
      <c r="BO230" s="46"/>
      <c r="BP230" s="46"/>
      <c r="BQ230" s="46"/>
      <c r="BR230" s="46"/>
      <c r="BS230" s="46">
        <f t="shared" si="187"/>
        <v>0</v>
      </c>
      <c r="BT230" s="46"/>
      <c r="BU230" s="47">
        <f t="shared" si="173"/>
        <v>0</v>
      </c>
      <c r="BV230" s="42"/>
      <c r="BW230" s="46"/>
      <c r="BX230" s="46"/>
      <c r="BY230" s="46"/>
      <c r="BZ230" s="46"/>
      <c r="CA230" s="47"/>
      <c r="CB230" s="46"/>
      <c r="CC230" s="47">
        <f t="shared" si="174"/>
        <v>0</v>
      </c>
      <c r="CD230" s="42"/>
      <c r="CE230" s="46"/>
      <c r="CF230" s="46"/>
      <c r="CG230" s="46"/>
      <c r="CH230" s="46"/>
      <c r="CI230" s="47"/>
      <c r="CJ230" s="46"/>
      <c r="CK230" s="47">
        <f t="shared" si="175"/>
        <v>0</v>
      </c>
      <c r="CL230" s="46"/>
      <c r="CM230" s="46"/>
      <c r="CN230" s="46"/>
      <c r="CO230" s="46"/>
      <c r="CP230" s="46">
        <f t="shared" si="176"/>
        <v>0</v>
      </c>
      <c r="CQ230" s="46"/>
      <c r="CR230" s="47">
        <f t="shared" si="188"/>
        <v>0</v>
      </c>
      <c r="CS230" s="46"/>
      <c r="CT230" s="46"/>
      <c r="CU230" s="46"/>
      <c r="CV230" s="46"/>
      <c r="CW230" s="47">
        <f t="shared" si="161"/>
        <v>0</v>
      </c>
      <c r="CX230" s="46"/>
      <c r="CY230" s="47">
        <f t="shared" si="162"/>
        <v>0</v>
      </c>
      <c r="CZ230" s="46"/>
      <c r="DA230" s="46"/>
      <c r="DB230" s="46"/>
      <c r="DC230" s="46"/>
      <c r="DD230" s="64">
        <f t="shared" si="170"/>
        <v>0</v>
      </c>
      <c r="DE230" s="46"/>
      <c r="DF230" s="46">
        <f t="shared" si="171"/>
        <v>0</v>
      </c>
      <c r="DG230" s="46"/>
      <c r="DH230" s="78">
        <f t="shared" si="178"/>
        <v>0</v>
      </c>
      <c r="DI230" s="46"/>
      <c r="DJ230" s="46"/>
      <c r="DK230" s="47">
        <f t="shared" si="185"/>
        <v>0</v>
      </c>
      <c r="DL230" s="47">
        <f t="shared" si="155"/>
        <v>0</v>
      </c>
      <c r="DM230" s="46"/>
      <c r="DN230" s="46">
        <f t="shared" si="179"/>
        <v>0</v>
      </c>
      <c r="DO230" s="46"/>
      <c r="DP230" s="46">
        <f>DN230</f>
        <v>0</v>
      </c>
      <c r="DQ230" s="46"/>
      <c r="DR230" s="46">
        <f t="shared" si="189"/>
        <v>0</v>
      </c>
      <c r="DS230" s="46"/>
      <c r="DT230" s="46">
        <f t="shared" si="166"/>
        <v>0</v>
      </c>
      <c r="DU230" s="41"/>
      <c r="DV230" s="46">
        <f t="shared" si="172"/>
        <v>0</v>
      </c>
      <c r="DW230" s="45"/>
      <c r="DX230" s="47">
        <f t="shared" si="159"/>
        <v>0</v>
      </c>
      <c r="DY230" s="46"/>
      <c r="DZ230" s="46"/>
      <c r="EA230" s="46"/>
      <c r="EB230" s="46"/>
      <c r="EC230" s="46"/>
      <c r="ED230" s="46"/>
      <c r="EE230" s="47">
        <f t="shared" si="181"/>
        <v>0</v>
      </c>
      <c r="EF230" s="46"/>
      <c r="EG230" s="46"/>
      <c r="EH230" s="46"/>
      <c r="EI230" s="46"/>
      <c r="EJ230" s="46"/>
      <c r="EK230" s="47">
        <f t="shared" si="156"/>
        <v>0</v>
      </c>
      <c r="EL230" s="46">
        <f t="shared" si="157"/>
        <v>0</v>
      </c>
      <c r="EM230" s="46"/>
      <c r="EN230" s="46">
        <f t="shared" si="158"/>
        <v>0</v>
      </c>
      <c r="EO230" s="107"/>
      <c r="EP230" s="107"/>
      <c r="EQ230" s="107"/>
      <c r="ER230" s="107"/>
      <c r="ES230" s="107"/>
      <c r="ET230" s="107"/>
      <c r="EU230" s="107"/>
      <c r="EV230" s="107"/>
      <c r="EW230" s="107"/>
      <c r="EX230" s="107"/>
      <c r="EY230" s="107"/>
      <c r="EZ230" s="107"/>
      <c r="FA230" s="107"/>
      <c r="FB230" s="107"/>
      <c r="FC230" s="107"/>
      <c r="FD230" s="107"/>
      <c r="FE230" s="107"/>
      <c r="FF230" s="107"/>
      <c r="FG230" s="107"/>
      <c r="FH230" s="107"/>
      <c r="FI230" s="107"/>
      <c r="FJ230" s="107"/>
      <c r="FK230" s="107"/>
      <c r="FL230" s="107"/>
      <c r="FM230" s="107"/>
      <c r="FN230" s="107"/>
      <c r="FO230" s="107"/>
      <c r="FP230" s="107"/>
      <c r="FQ230" s="107"/>
      <c r="FR230" s="107"/>
      <c r="FS230" s="107"/>
      <c r="FT230" s="107"/>
      <c r="FU230" s="107"/>
      <c r="FV230" s="107"/>
      <c r="FW230" s="107"/>
      <c r="FX230" s="107"/>
      <c r="FY230" s="107"/>
    </row>
    <row r="231" spans="1:181" ht="15" customHeight="1" x14ac:dyDescent="0.25">
      <c r="B231" s="41">
        <v>80</v>
      </c>
      <c r="C231" s="86"/>
      <c r="D231" s="87"/>
      <c r="E231" s="86"/>
      <c r="F231" s="86"/>
      <c r="G231" s="86"/>
      <c r="H231" s="86"/>
      <c r="I231" s="86"/>
      <c r="J231" s="86"/>
      <c r="K231" s="86"/>
      <c r="L231" s="86"/>
      <c r="M231" s="86"/>
      <c r="N231" s="88"/>
      <c r="O231" s="88"/>
      <c r="P231" s="86"/>
      <c r="Q231" s="89"/>
      <c r="R231" s="89"/>
      <c r="S231" s="86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>
        <f t="shared" si="153"/>
        <v>0</v>
      </c>
      <c r="AO231" s="90">
        <f t="shared" si="154"/>
        <v>0</v>
      </c>
      <c r="AP231" s="86" t="s">
        <v>116</v>
      </c>
      <c r="AQ231" s="90">
        <f t="shared" si="167"/>
        <v>0</v>
      </c>
      <c r="AR231" s="90"/>
      <c r="AS231" s="90"/>
      <c r="AT231" s="90"/>
      <c r="AU231" s="64">
        <f t="shared" si="183"/>
        <v>0</v>
      </c>
      <c r="AV231" s="90"/>
      <c r="AW231" s="64">
        <f t="shared" si="168"/>
        <v>0</v>
      </c>
      <c r="AX231" s="86"/>
      <c r="AY231" s="90"/>
      <c r="AZ231" s="90"/>
      <c r="BA231" s="90"/>
      <c r="BB231" s="90"/>
      <c r="BC231" s="64">
        <f t="shared" si="182"/>
        <v>0</v>
      </c>
      <c r="BD231" s="90"/>
      <c r="BE231" s="64">
        <f t="shared" si="184"/>
        <v>0</v>
      </c>
      <c r="BF231" s="86"/>
      <c r="BG231" s="90"/>
      <c r="BH231" s="90"/>
      <c r="BI231" s="90"/>
      <c r="BJ231" s="90"/>
      <c r="BK231" s="90">
        <f t="shared" si="186"/>
        <v>0</v>
      </c>
      <c r="BL231" s="90"/>
      <c r="BM231" s="64">
        <f t="shared" si="169"/>
        <v>0</v>
      </c>
      <c r="BN231" s="86"/>
      <c r="BO231" s="90"/>
      <c r="BP231" s="90"/>
      <c r="BQ231" s="90"/>
      <c r="BR231" s="90"/>
      <c r="BS231" s="90">
        <f t="shared" si="187"/>
        <v>0</v>
      </c>
      <c r="BT231" s="90"/>
      <c r="BU231" s="64">
        <f t="shared" si="173"/>
        <v>0</v>
      </c>
      <c r="BV231" s="86"/>
      <c r="BW231" s="90"/>
      <c r="BX231" s="90"/>
      <c r="BY231" s="90"/>
      <c r="BZ231" s="90"/>
      <c r="CA231" s="90">
        <f>BY231*BZ231</f>
        <v>0</v>
      </c>
      <c r="CB231" s="90"/>
      <c r="CC231" s="64">
        <f t="shared" si="174"/>
        <v>0</v>
      </c>
      <c r="CD231" s="86"/>
      <c r="CE231" s="90"/>
      <c r="CF231" s="90"/>
      <c r="CG231" s="90"/>
      <c r="CH231" s="90"/>
      <c r="CI231" s="90">
        <f>CG231*CH231</f>
        <v>0</v>
      </c>
      <c r="CJ231" s="90"/>
      <c r="CK231" s="64">
        <f t="shared" si="175"/>
        <v>0</v>
      </c>
      <c r="CL231" s="90"/>
      <c r="CM231" s="90"/>
      <c r="CN231" s="90"/>
      <c r="CO231" s="90"/>
      <c r="CP231" s="90">
        <f t="shared" si="176"/>
        <v>0</v>
      </c>
      <c r="CQ231" s="90"/>
      <c r="CR231" s="64">
        <f t="shared" si="188"/>
        <v>0</v>
      </c>
      <c r="CS231" s="90"/>
      <c r="CT231" s="90"/>
      <c r="CU231" s="90"/>
      <c r="CV231" s="90"/>
      <c r="CW231" s="64">
        <f t="shared" si="161"/>
        <v>0</v>
      </c>
      <c r="CX231" s="90"/>
      <c r="CY231" s="64">
        <f t="shared" si="162"/>
        <v>0</v>
      </c>
      <c r="CZ231" s="90"/>
      <c r="DA231" s="90"/>
      <c r="DB231" s="90"/>
      <c r="DC231" s="90"/>
      <c r="DD231" s="64">
        <f t="shared" si="170"/>
        <v>0</v>
      </c>
      <c r="DE231" s="90"/>
      <c r="DF231" s="46">
        <f t="shared" si="171"/>
        <v>0</v>
      </c>
      <c r="DG231" s="90"/>
      <c r="DH231" s="46">
        <f t="shared" si="178"/>
        <v>0</v>
      </c>
      <c r="DI231" s="90"/>
      <c r="DJ231" s="90"/>
      <c r="DK231" s="64">
        <f t="shared" si="185"/>
        <v>0</v>
      </c>
      <c r="DL231" s="64">
        <f t="shared" si="155"/>
        <v>0</v>
      </c>
      <c r="DM231" s="90"/>
      <c r="DN231" s="46">
        <f t="shared" si="179"/>
        <v>0</v>
      </c>
      <c r="DO231" s="90"/>
      <c r="DP231" s="46">
        <f>10%*AQ231</f>
        <v>0</v>
      </c>
      <c r="DQ231" s="90"/>
      <c r="DR231" s="90">
        <f t="shared" si="189"/>
        <v>0</v>
      </c>
      <c r="DS231" s="90"/>
      <c r="DT231" s="90">
        <f t="shared" si="166"/>
        <v>0</v>
      </c>
      <c r="DU231" s="109"/>
      <c r="DV231" s="90">
        <f t="shared" si="172"/>
        <v>0</v>
      </c>
      <c r="DW231" s="89"/>
      <c r="DX231" s="64">
        <f t="shared" si="159"/>
        <v>0</v>
      </c>
      <c r="DY231" s="90"/>
      <c r="DZ231" s="90"/>
      <c r="EA231" s="64"/>
      <c r="EB231" s="90"/>
      <c r="EC231" s="90"/>
      <c r="ED231" s="90"/>
      <c r="EE231" s="64">
        <f t="shared" si="181"/>
        <v>0</v>
      </c>
      <c r="EF231" s="90"/>
      <c r="EG231" s="90"/>
      <c r="EH231" s="90"/>
      <c r="EI231" s="90"/>
      <c r="EJ231" s="90"/>
      <c r="EK231" s="64">
        <f t="shared" si="156"/>
        <v>0</v>
      </c>
      <c r="EL231" s="90">
        <f t="shared" si="157"/>
        <v>0</v>
      </c>
      <c r="EM231" s="90"/>
      <c r="EN231" s="90">
        <f t="shared" si="158"/>
        <v>0</v>
      </c>
      <c r="EO231" s="110"/>
      <c r="EP231" s="110"/>
      <c r="EQ231" s="110"/>
      <c r="ER231" s="110"/>
      <c r="ES231" s="110"/>
      <c r="ET231" s="110"/>
      <c r="EU231" s="110"/>
      <c r="EV231" s="110"/>
      <c r="EW231" s="110"/>
      <c r="EX231" s="110"/>
      <c r="EY231" s="110"/>
      <c r="EZ231" s="110"/>
      <c r="FA231" s="110"/>
      <c r="FB231" s="110"/>
      <c r="FC231" s="110"/>
      <c r="FD231" s="110"/>
      <c r="FE231" s="110"/>
      <c r="FF231" s="110"/>
      <c r="FG231" s="110"/>
      <c r="FH231" s="110"/>
      <c r="FI231" s="110"/>
      <c r="FJ231" s="110"/>
      <c r="FK231" s="110"/>
      <c r="FL231" s="110"/>
      <c r="FM231" s="110"/>
      <c r="FN231" s="110"/>
      <c r="FO231" s="110"/>
      <c r="FP231" s="110"/>
      <c r="FQ231" s="110"/>
      <c r="FR231" s="110"/>
      <c r="FS231" s="110"/>
      <c r="FT231" s="110"/>
      <c r="FU231" s="110"/>
      <c r="FV231" s="110"/>
      <c r="FW231" s="110"/>
      <c r="FX231" s="110"/>
      <c r="FY231" s="110"/>
    </row>
    <row r="232" spans="1:181" s="48" customFormat="1" ht="15" customHeight="1" x14ac:dyDescent="0.25">
      <c r="B232" s="41">
        <v>73</v>
      </c>
      <c r="C232" s="42"/>
      <c r="D232" s="43"/>
      <c r="E232" s="42"/>
      <c r="F232" s="42"/>
      <c r="G232" s="42"/>
      <c r="H232" s="42"/>
      <c r="I232" s="42"/>
      <c r="J232" s="42"/>
      <c r="K232" s="42"/>
      <c r="L232" s="42"/>
      <c r="M232" s="42"/>
      <c r="N232" s="41"/>
      <c r="O232" s="41"/>
      <c r="P232" s="42"/>
      <c r="Q232" s="45"/>
      <c r="R232" s="45"/>
      <c r="S232" s="42"/>
      <c r="T232" s="46"/>
      <c r="U232" s="46"/>
      <c r="V232" s="42"/>
      <c r="W232" s="42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>
        <f t="shared" si="153"/>
        <v>0</v>
      </c>
      <c r="AO232" s="46">
        <f t="shared" si="154"/>
        <v>0</v>
      </c>
      <c r="AP232" s="46" t="s">
        <v>118</v>
      </c>
      <c r="AQ232" s="46">
        <f t="shared" si="167"/>
        <v>0</v>
      </c>
      <c r="AR232" s="46"/>
      <c r="AS232" s="46"/>
      <c r="AT232" s="46"/>
      <c r="AU232" s="47">
        <f t="shared" si="183"/>
        <v>0</v>
      </c>
      <c r="AV232" s="46"/>
      <c r="AW232" s="47">
        <f t="shared" si="168"/>
        <v>0</v>
      </c>
      <c r="AX232" s="46"/>
      <c r="AY232" s="46"/>
      <c r="AZ232" s="46"/>
      <c r="BA232" s="46"/>
      <c r="BB232" s="46"/>
      <c r="BC232" s="47">
        <f t="shared" si="182"/>
        <v>0</v>
      </c>
      <c r="BD232" s="46"/>
      <c r="BE232" s="47">
        <f t="shared" si="184"/>
        <v>0</v>
      </c>
      <c r="BF232" s="46"/>
      <c r="BG232" s="46"/>
      <c r="BH232" s="46"/>
      <c r="BI232" s="46"/>
      <c r="BJ232" s="46"/>
      <c r="BK232" s="47">
        <f>+BI232*BJ232</f>
        <v>0</v>
      </c>
      <c r="BL232" s="46"/>
      <c r="BM232" s="47">
        <f t="shared" si="169"/>
        <v>0</v>
      </c>
      <c r="BN232" s="46"/>
      <c r="BO232" s="46"/>
      <c r="BP232" s="46"/>
      <c r="BQ232" s="46"/>
      <c r="BR232" s="46"/>
      <c r="BS232" s="47">
        <f>+BQ232*BR232</f>
        <v>0</v>
      </c>
      <c r="BT232" s="46"/>
      <c r="BU232" s="47">
        <f t="shared" si="173"/>
        <v>0</v>
      </c>
      <c r="BV232" s="46"/>
      <c r="BW232" s="46"/>
      <c r="BX232" s="46"/>
      <c r="BY232" s="46"/>
      <c r="BZ232" s="46"/>
      <c r="CA232" s="46"/>
      <c r="CB232" s="46"/>
      <c r="CC232" s="47">
        <f t="shared" si="174"/>
        <v>0</v>
      </c>
      <c r="CD232" s="46"/>
      <c r="CE232" s="46"/>
      <c r="CF232" s="46"/>
      <c r="CG232" s="46"/>
      <c r="CH232" s="46"/>
      <c r="CI232" s="46"/>
      <c r="CJ232" s="46"/>
      <c r="CK232" s="47">
        <f t="shared" si="175"/>
        <v>0</v>
      </c>
      <c r="CL232" s="46"/>
      <c r="CM232" s="46"/>
      <c r="CN232" s="46"/>
      <c r="CO232" s="46"/>
      <c r="CP232" s="46">
        <f t="shared" si="176"/>
        <v>0</v>
      </c>
      <c r="CQ232" s="46"/>
      <c r="CR232" s="47">
        <f t="shared" si="188"/>
        <v>0</v>
      </c>
      <c r="CS232" s="46"/>
      <c r="CT232" s="46"/>
      <c r="CU232" s="46"/>
      <c r="CV232" s="46"/>
      <c r="CW232" s="47">
        <f t="shared" si="161"/>
        <v>0</v>
      </c>
      <c r="CX232" s="46"/>
      <c r="CY232" s="47">
        <f t="shared" si="162"/>
        <v>0</v>
      </c>
      <c r="CZ232" s="46"/>
      <c r="DA232" s="46"/>
      <c r="DB232" s="46"/>
      <c r="DC232" s="46"/>
      <c r="DD232" s="47">
        <f t="shared" si="170"/>
        <v>0</v>
      </c>
      <c r="DE232" s="46"/>
      <c r="DF232" s="46">
        <f t="shared" si="171"/>
        <v>0</v>
      </c>
      <c r="DG232" s="46"/>
      <c r="DH232" s="46"/>
      <c r="DI232" s="46"/>
      <c r="DJ232" s="46"/>
      <c r="DK232" s="47">
        <f t="shared" si="185"/>
        <v>0</v>
      </c>
      <c r="DL232" s="47">
        <f t="shared" si="155"/>
        <v>0</v>
      </c>
      <c r="DM232" s="46"/>
      <c r="DN232" s="46"/>
      <c r="DO232" s="46"/>
      <c r="DP232" s="46"/>
      <c r="DQ232" s="46"/>
      <c r="DR232" s="46">
        <f t="shared" si="189"/>
        <v>0</v>
      </c>
      <c r="DS232" s="46"/>
      <c r="DT232" s="46">
        <f t="shared" si="166"/>
        <v>0</v>
      </c>
      <c r="DU232" s="46"/>
      <c r="DV232" s="46">
        <f t="shared" si="172"/>
        <v>0</v>
      </c>
      <c r="DW232" s="46"/>
      <c r="DX232" s="47">
        <f t="shared" si="159"/>
        <v>0</v>
      </c>
      <c r="DY232" s="46"/>
      <c r="DZ232" s="46"/>
      <c r="EA232" s="46"/>
      <c r="EB232" s="46"/>
      <c r="EC232" s="46"/>
      <c r="ED232" s="46"/>
      <c r="EE232" s="47">
        <f t="shared" si="181"/>
        <v>0</v>
      </c>
      <c r="EF232" s="46"/>
      <c r="EG232" s="46"/>
      <c r="EH232" s="46"/>
      <c r="EI232" s="46"/>
      <c r="EJ232" s="46"/>
      <c r="EK232" s="47">
        <f t="shared" si="156"/>
        <v>0</v>
      </c>
      <c r="EL232" s="46">
        <f t="shared" si="157"/>
        <v>0</v>
      </c>
      <c r="EM232" s="46"/>
      <c r="EN232" s="46">
        <f t="shared" si="158"/>
        <v>0</v>
      </c>
    </row>
    <row r="233" spans="1:181" s="48" customFormat="1" x14ac:dyDescent="0.25">
      <c r="A233" s="48" t="s">
        <v>117</v>
      </c>
      <c r="B233" s="41">
        <v>74</v>
      </c>
      <c r="C233" s="42"/>
      <c r="D233" s="43"/>
      <c r="E233" s="42"/>
      <c r="F233" s="42"/>
      <c r="G233" s="42"/>
      <c r="H233" s="42"/>
      <c r="I233" s="42"/>
      <c r="J233" s="42"/>
      <c r="K233" s="42"/>
      <c r="L233" s="42"/>
      <c r="M233" s="42"/>
      <c r="N233" s="41"/>
      <c r="O233" s="41"/>
      <c r="P233" s="42"/>
      <c r="Q233" s="45"/>
      <c r="R233" s="45"/>
      <c r="S233" s="42"/>
      <c r="T233" s="46"/>
      <c r="U233" s="46"/>
      <c r="V233" s="42"/>
      <c r="W233" s="42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>
        <f t="shared" si="153"/>
        <v>0</v>
      </c>
      <c r="AO233" s="46">
        <f t="shared" si="154"/>
        <v>0</v>
      </c>
      <c r="AP233" s="46" t="s">
        <v>118</v>
      </c>
      <c r="AQ233" s="46">
        <f t="shared" si="167"/>
        <v>0</v>
      </c>
      <c r="AR233" s="46"/>
      <c r="AS233" s="46"/>
      <c r="AT233" s="46"/>
      <c r="AU233" s="47">
        <f t="shared" si="183"/>
        <v>0</v>
      </c>
      <c r="AV233" s="46"/>
      <c r="AW233" s="47">
        <f t="shared" si="168"/>
        <v>0</v>
      </c>
      <c r="AX233" s="46"/>
      <c r="AY233" s="46"/>
      <c r="AZ233" s="46"/>
      <c r="BA233" s="46"/>
      <c r="BB233" s="46"/>
      <c r="BC233" s="64">
        <f t="shared" si="182"/>
        <v>0</v>
      </c>
      <c r="BD233" s="46"/>
      <c r="BE233" s="64">
        <f t="shared" si="184"/>
        <v>0</v>
      </c>
      <c r="BF233" s="46"/>
      <c r="BG233" s="46"/>
      <c r="BH233" s="46"/>
      <c r="BI233" s="46"/>
      <c r="BJ233" s="46"/>
      <c r="BK233" s="47">
        <f>+BI233*BJ233</f>
        <v>0</v>
      </c>
      <c r="BL233" s="46"/>
      <c r="BM233" s="47">
        <f t="shared" si="169"/>
        <v>0</v>
      </c>
      <c r="BN233" s="46"/>
      <c r="BO233" s="46"/>
      <c r="BP233" s="46"/>
      <c r="BQ233" s="46"/>
      <c r="BR233" s="46"/>
      <c r="BS233" s="46"/>
      <c r="BT233" s="46"/>
      <c r="BU233" s="47">
        <f t="shared" si="173"/>
        <v>0</v>
      </c>
      <c r="BV233" s="46"/>
      <c r="BW233" s="46"/>
      <c r="BX233" s="46"/>
      <c r="BY233" s="46"/>
      <c r="BZ233" s="46"/>
      <c r="CA233" s="46"/>
      <c r="CB233" s="46"/>
      <c r="CC233" s="47">
        <f t="shared" si="174"/>
        <v>0</v>
      </c>
      <c r="CD233" s="46"/>
      <c r="CE233" s="46"/>
      <c r="CF233" s="46"/>
      <c r="CG233" s="46"/>
      <c r="CH233" s="46"/>
      <c r="CI233" s="46"/>
      <c r="CJ233" s="46"/>
      <c r="CK233" s="47">
        <f t="shared" si="175"/>
        <v>0</v>
      </c>
      <c r="CL233" s="46"/>
      <c r="CM233" s="46"/>
      <c r="CN233" s="46"/>
      <c r="CO233" s="46"/>
      <c r="CP233" s="46">
        <f t="shared" si="176"/>
        <v>0</v>
      </c>
      <c r="CQ233" s="46"/>
      <c r="CR233" s="47">
        <f t="shared" si="188"/>
        <v>0</v>
      </c>
      <c r="CS233" s="46"/>
      <c r="CT233" s="46"/>
      <c r="CU233" s="46"/>
      <c r="CV233" s="46"/>
      <c r="CW233" s="47">
        <f t="shared" si="161"/>
        <v>0</v>
      </c>
      <c r="CX233" s="46"/>
      <c r="CY233" s="47">
        <f t="shared" si="162"/>
        <v>0</v>
      </c>
      <c r="CZ233" s="46"/>
      <c r="DA233" s="46"/>
      <c r="DB233" s="46"/>
      <c r="DC233" s="46"/>
      <c r="DD233" s="47">
        <f t="shared" si="170"/>
        <v>0</v>
      </c>
      <c r="DE233" s="46"/>
      <c r="DF233" s="46">
        <f t="shared" si="171"/>
        <v>0</v>
      </c>
      <c r="DG233" s="46"/>
      <c r="DH233" s="46"/>
      <c r="DI233" s="46"/>
      <c r="DJ233" s="46"/>
      <c r="DK233" s="47">
        <f t="shared" si="185"/>
        <v>0</v>
      </c>
      <c r="DL233" s="47">
        <f t="shared" si="155"/>
        <v>0</v>
      </c>
      <c r="DM233" s="46"/>
      <c r="DN233" s="46"/>
      <c r="DO233" s="46"/>
      <c r="DP233" s="46">
        <f>DN233</f>
        <v>0</v>
      </c>
      <c r="DQ233" s="46"/>
      <c r="DR233" s="46">
        <f t="shared" si="189"/>
        <v>0</v>
      </c>
      <c r="DS233" s="46"/>
      <c r="DT233" s="46">
        <f t="shared" si="166"/>
        <v>0</v>
      </c>
      <c r="DU233" s="46"/>
      <c r="DV233" s="46">
        <f t="shared" si="172"/>
        <v>0</v>
      </c>
      <c r="DW233" s="46"/>
      <c r="DX233" s="47">
        <f t="shared" si="159"/>
        <v>0</v>
      </c>
      <c r="DY233" s="46"/>
      <c r="DZ233" s="46"/>
      <c r="EA233" s="46"/>
      <c r="EB233" s="46"/>
      <c r="EC233" s="46"/>
      <c r="ED233" s="46"/>
      <c r="EE233" s="47">
        <f t="shared" si="181"/>
        <v>0</v>
      </c>
      <c r="EF233" s="46"/>
      <c r="EG233" s="46"/>
      <c r="EH233" s="46"/>
      <c r="EI233" s="46"/>
      <c r="EJ233" s="46"/>
      <c r="EK233" s="47">
        <f t="shared" si="156"/>
        <v>0</v>
      </c>
      <c r="EL233" s="46">
        <f t="shared" si="157"/>
        <v>0</v>
      </c>
      <c r="EM233" s="46"/>
      <c r="EN233" s="46">
        <f t="shared" si="158"/>
        <v>0</v>
      </c>
    </row>
    <row r="234" spans="1:181" s="48" customFormat="1" ht="15" customHeight="1" x14ac:dyDescent="0.25">
      <c r="B234" s="41">
        <v>75</v>
      </c>
      <c r="C234" s="42"/>
      <c r="D234" s="43"/>
      <c r="E234" s="42"/>
      <c r="F234" s="42"/>
      <c r="G234" s="42"/>
      <c r="H234" s="42"/>
      <c r="I234" s="42"/>
      <c r="J234" s="42"/>
      <c r="K234" s="42"/>
      <c r="L234" s="42"/>
      <c r="M234" s="42"/>
      <c r="N234" s="41"/>
      <c r="O234" s="41"/>
      <c r="P234" s="42"/>
      <c r="Q234" s="45"/>
      <c r="R234" s="45"/>
      <c r="S234" s="42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>
        <f t="shared" si="153"/>
        <v>0</v>
      </c>
      <c r="AO234" s="46">
        <f t="shared" si="154"/>
        <v>0</v>
      </c>
      <c r="AP234" s="42" t="s">
        <v>114</v>
      </c>
      <c r="AQ234" s="46">
        <f t="shared" si="167"/>
        <v>0</v>
      </c>
      <c r="AR234" s="46"/>
      <c r="AS234" s="46"/>
      <c r="AT234" s="46"/>
      <c r="AU234" s="47">
        <f t="shared" si="183"/>
        <v>0</v>
      </c>
      <c r="AV234" s="46"/>
      <c r="AW234" s="47">
        <f t="shared" si="168"/>
        <v>0</v>
      </c>
      <c r="AX234" s="42"/>
      <c r="AY234" s="46"/>
      <c r="AZ234" s="46"/>
      <c r="BA234" s="46"/>
      <c r="BB234" s="46"/>
      <c r="BC234" s="47">
        <f t="shared" si="182"/>
        <v>0</v>
      </c>
      <c r="BD234" s="46"/>
      <c r="BE234" s="47">
        <f t="shared" si="184"/>
        <v>0</v>
      </c>
      <c r="BF234" s="42"/>
      <c r="BG234" s="46"/>
      <c r="BH234" s="46"/>
      <c r="BI234" s="46"/>
      <c r="BJ234" s="46"/>
      <c r="BK234" s="46">
        <f>BI234*BJ234</f>
        <v>0</v>
      </c>
      <c r="BL234" s="46"/>
      <c r="BM234" s="47">
        <f t="shared" si="169"/>
        <v>0</v>
      </c>
      <c r="BN234" s="42"/>
      <c r="BO234" s="46"/>
      <c r="BP234" s="46"/>
      <c r="BQ234" s="46"/>
      <c r="BR234" s="46"/>
      <c r="BS234" s="47"/>
      <c r="BT234" s="46"/>
      <c r="BU234" s="47">
        <f t="shared" si="173"/>
        <v>0</v>
      </c>
      <c r="BV234" s="42"/>
      <c r="BW234" s="46"/>
      <c r="BX234" s="46"/>
      <c r="BY234" s="46"/>
      <c r="BZ234" s="46"/>
      <c r="CA234" s="47"/>
      <c r="CB234" s="46"/>
      <c r="CC234" s="47">
        <f t="shared" si="174"/>
        <v>0</v>
      </c>
      <c r="CD234" s="42"/>
      <c r="CE234" s="46"/>
      <c r="CF234" s="46"/>
      <c r="CG234" s="46"/>
      <c r="CH234" s="46"/>
      <c r="CI234" s="47"/>
      <c r="CJ234" s="46"/>
      <c r="CK234" s="47">
        <f t="shared" si="175"/>
        <v>0</v>
      </c>
      <c r="CL234" s="46"/>
      <c r="CM234" s="46"/>
      <c r="CN234" s="46"/>
      <c r="CO234" s="46"/>
      <c r="CP234" s="46">
        <f t="shared" si="176"/>
        <v>0</v>
      </c>
      <c r="CQ234" s="46"/>
      <c r="CR234" s="47">
        <f t="shared" si="188"/>
        <v>0</v>
      </c>
      <c r="CS234" s="46"/>
      <c r="CT234" s="46"/>
      <c r="CU234" s="46"/>
      <c r="CV234" s="46"/>
      <c r="CW234" s="47">
        <f t="shared" si="161"/>
        <v>0</v>
      </c>
      <c r="CX234" s="46"/>
      <c r="CY234" s="47">
        <f t="shared" si="162"/>
        <v>0</v>
      </c>
      <c r="CZ234" s="46"/>
      <c r="DA234" s="46"/>
      <c r="DB234" s="46"/>
      <c r="DC234" s="46"/>
      <c r="DD234" s="47">
        <f t="shared" si="170"/>
        <v>0</v>
      </c>
      <c r="DE234" s="46"/>
      <c r="DF234" s="46">
        <f t="shared" si="171"/>
        <v>0</v>
      </c>
      <c r="DG234" s="46"/>
      <c r="DH234" s="46"/>
      <c r="DI234" s="46"/>
      <c r="DJ234" s="46"/>
      <c r="DK234" s="47">
        <f t="shared" si="185"/>
        <v>0</v>
      </c>
      <c r="DL234" s="47">
        <f t="shared" si="155"/>
        <v>0</v>
      </c>
      <c r="DM234" s="46"/>
      <c r="DN234" s="46"/>
      <c r="DO234" s="46"/>
      <c r="DP234" s="46"/>
      <c r="DQ234" s="46"/>
      <c r="DR234" s="46">
        <f t="shared" si="189"/>
        <v>0</v>
      </c>
      <c r="DS234" s="46"/>
      <c r="DT234" s="46">
        <f t="shared" si="166"/>
        <v>0</v>
      </c>
      <c r="DU234" s="103"/>
      <c r="DV234" s="46">
        <f t="shared" si="172"/>
        <v>0</v>
      </c>
      <c r="DW234" s="45"/>
      <c r="DX234" s="47">
        <f t="shared" si="159"/>
        <v>0</v>
      </c>
      <c r="DY234" s="46"/>
      <c r="DZ234" s="46"/>
      <c r="EA234" s="46"/>
      <c r="EB234" s="46"/>
      <c r="EC234" s="46"/>
      <c r="ED234" s="46"/>
      <c r="EE234" s="47">
        <f t="shared" si="181"/>
        <v>0</v>
      </c>
      <c r="EF234" s="46"/>
      <c r="EG234" s="46"/>
      <c r="EH234" s="46"/>
      <c r="EI234" s="46"/>
      <c r="EJ234" s="46"/>
      <c r="EK234" s="47">
        <f t="shared" si="156"/>
        <v>0</v>
      </c>
      <c r="EL234" s="46">
        <f t="shared" si="157"/>
        <v>0</v>
      </c>
      <c r="EM234" s="46"/>
      <c r="EN234" s="46">
        <f t="shared" si="158"/>
        <v>0</v>
      </c>
      <c r="EO234" s="107"/>
      <c r="EP234" s="107"/>
      <c r="EQ234" s="107"/>
      <c r="ER234" s="107"/>
      <c r="ES234" s="107"/>
      <c r="ET234" s="107"/>
      <c r="EU234" s="107"/>
      <c r="EV234" s="107"/>
      <c r="EW234" s="107"/>
      <c r="EX234" s="107"/>
      <c r="EY234" s="107"/>
      <c r="EZ234" s="107"/>
      <c r="FA234" s="107"/>
      <c r="FB234" s="107"/>
      <c r="FC234" s="107"/>
      <c r="FD234" s="107"/>
      <c r="FE234" s="107"/>
      <c r="FF234" s="107"/>
      <c r="FG234" s="107"/>
      <c r="FH234" s="107"/>
      <c r="FI234" s="107"/>
      <c r="FJ234" s="107"/>
      <c r="FK234" s="107"/>
      <c r="FL234" s="107"/>
      <c r="FM234" s="107"/>
      <c r="FN234" s="107"/>
      <c r="FO234" s="107"/>
      <c r="FP234" s="107"/>
      <c r="FQ234" s="107"/>
      <c r="FR234" s="107"/>
      <c r="FS234" s="107"/>
      <c r="FT234" s="107"/>
      <c r="FU234" s="107"/>
      <c r="FV234" s="107"/>
      <c r="FW234" s="107"/>
      <c r="FX234" s="107"/>
      <c r="FY234" s="107"/>
    </row>
    <row r="235" spans="1:181" s="48" customFormat="1" x14ac:dyDescent="0.25">
      <c r="B235" s="41">
        <v>76</v>
      </c>
      <c r="C235" s="42"/>
      <c r="D235" s="43"/>
      <c r="E235" s="42"/>
      <c r="F235" s="42"/>
      <c r="G235" s="42"/>
      <c r="H235" s="42"/>
      <c r="I235" s="42"/>
      <c r="J235" s="42"/>
      <c r="K235" s="42"/>
      <c r="L235" s="42"/>
      <c r="M235" s="42"/>
      <c r="N235" s="41"/>
      <c r="O235" s="41"/>
      <c r="P235" s="42"/>
      <c r="Q235" s="111"/>
      <c r="R235" s="45"/>
      <c r="S235" s="42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>
        <f t="shared" si="153"/>
        <v>0</v>
      </c>
      <c r="AO235" s="47">
        <f t="shared" si="154"/>
        <v>0</v>
      </c>
      <c r="AP235" s="46" t="s">
        <v>114</v>
      </c>
      <c r="AQ235" s="46">
        <f t="shared" si="167"/>
        <v>0</v>
      </c>
      <c r="AR235" s="46"/>
      <c r="AS235" s="46"/>
      <c r="AT235" s="46"/>
      <c r="AU235" s="47">
        <f t="shared" si="183"/>
        <v>0</v>
      </c>
      <c r="AV235" s="46"/>
      <c r="AW235" s="47">
        <f t="shared" si="168"/>
        <v>0</v>
      </c>
      <c r="AX235" s="42"/>
      <c r="AY235" s="46"/>
      <c r="AZ235" s="46"/>
      <c r="BA235" s="46"/>
      <c r="BB235" s="46"/>
      <c r="BC235" s="47">
        <f t="shared" si="182"/>
        <v>0</v>
      </c>
      <c r="BD235" s="46"/>
      <c r="BE235" s="47">
        <f t="shared" si="184"/>
        <v>0</v>
      </c>
      <c r="BF235" s="42"/>
      <c r="BG235" s="46"/>
      <c r="BH235" s="46"/>
      <c r="BI235" s="46"/>
      <c r="BJ235" s="46"/>
      <c r="BK235" s="47">
        <f>+BI235*BJ235</f>
        <v>0</v>
      </c>
      <c r="BL235" s="46"/>
      <c r="BM235" s="47">
        <f t="shared" si="169"/>
        <v>0</v>
      </c>
      <c r="BN235" s="42"/>
      <c r="BO235" s="46"/>
      <c r="BP235" s="46"/>
      <c r="BQ235" s="46"/>
      <c r="BR235" s="46"/>
      <c r="BS235" s="47">
        <f>+BQ235*BR235</f>
        <v>0</v>
      </c>
      <c r="BT235" s="46"/>
      <c r="BU235" s="47">
        <f t="shared" si="173"/>
        <v>0</v>
      </c>
      <c r="BV235" s="42"/>
      <c r="BW235" s="46"/>
      <c r="BX235" s="46"/>
      <c r="BY235" s="46"/>
      <c r="BZ235" s="46"/>
      <c r="CA235" s="47">
        <f>+BY235*BZ235</f>
        <v>0</v>
      </c>
      <c r="CB235" s="46"/>
      <c r="CC235" s="47">
        <f t="shared" si="174"/>
        <v>0</v>
      </c>
      <c r="CD235" s="42"/>
      <c r="CE235" s="46"/>
      <c r="CF235" s="46"/>
      <c r="CG235" s="46"/>
      <c r="CH235" s="46"/>
      <c r="CI235" s="47">
        <f>+CG235*CH235</f>
        <v>0</v>
      </c>
      <c r="CJ235" s="46"/>
      <c r="CK235" s="47">
        <f t="shared" si="175"/>
        <v>0</v>
      </c>
      <c r="CL235" s="46"/>
      <c r="CM235" s="46"/>
      <c r="CN235" s="46"/>
      <c r="CO235" s="46"/>
      <c r="CP235" s="46">
        <f t="shared" si="176"/>
        <v>0</v>
      </c>
      <c r="CQ235" s="46"/>
      <c r="CR235" s="47">
        <f t="shared" si="188"/>
        <v>0</v>
      </c>
      <c r="CS235" s="46"/>
      <c r="CT235" s="46"/>
      <c r="CU235" s="46"/>
      <c r="CV235" s="46"/>
      <c r="CW235" s="47">
        <f t="shared" si="161"/>
        <v>0</v>
      </c>
      <c r="CX235" s="46"/>
      <c r="CY235" s="47">
        <f t="shared" si="162"/>
        <v>0</v>
      </c>
      <c r="CZ235" s="46"/>
      <c r="DA235" s="46"/>
      <c r="DB235" s="46"/>
      <c r="DC235" s="46"/>
      <c r="DD235" s="47">
        <f t="shared" si="170"/>
        <v>0</v>
      </c>
      <c r="DE235" s="46"/>
      <c r="DF235" s="46">
        <f t="shared" si="171"/>
        <v>0</v>
      </c>
      <c r="DG235" s="46"/>
      <c r="DH235" s="46"/>
      <c r="DI235" s="46"/>
      <c r="DJ235" s="46"/>
      <c r="DK235" s="47">
        <f t="shared" si="185"/>
        <v>0</v>
      </c>
      <c r="DL235" s="47">
        <f t="shared" si="155"/>
        <v>0</v>
      </c>
      <c r="DM235" s="46"/>
      <c r="DN235" s="46"/>
      <c r="DO235" s="46"/>
      <c r="DP235" s="46"/>
      <c r="DQ235" s="46"/>
      <c r="DR235" s="46">
        <f t="shared" si="189"/>
        <v>0</v>
      </c>
      <c r="DS235" s="50"/>
      <c r="DT235" s="46">
        <f t="shared" si="166"/>
        <v>0</v>
      </c>
      <c r="DU235" s="46"/>
      <c r="DV235" s="46">
        <f t="shared" si="172"/>
        <v>0</v>
      </c>
      <c r="DW235" s="46"/>
      <c r="DX235" s="47">
        <f t="shared" si="159"/>
        <v>0</v>
      </c>
      <c r="DY235" s="46"/>
      <c r="DZ235" s="46"/>
      <c r="EA235" s="46"/>
      <c r="EB235" s="46"/>
      <c r="EC235" s="46"/>
      <c r="ED235" s="46"/>
      <c r="EE235" s="47">
        <f t="shared" si="181"/>
        <v>0</v>
      </c>
      <c r="EF235" s="46"/>
      <c r="EG235" s="46"/>
      <c r="EH235" s="46"/>
      <c r="EI235" s="46"/>
      <c r="EJ235" s="46"/>
      <c r="EK235" s="47">
        <f t="shared" si="156"/>
        <v>0</v>
      </c>
      <c r="EL235" s="46">
        <f t="shared" si="157"/>
        <v>0</v>
      </c>
      <c r="EM235" s="46"/>
      <c r="EN235" s="46">
        <f t="shared" si="158"/>
        <v>0</v>
      </c>
    </row>
    <row r="236" spans="1:181" s="48" customFormat="1" ht="16.5" customHeight="1" x14ac:dyDescent="0.25">
      <c r="B236" s="41">
        <v>77</v>
      </c>
      <c r="C236" s="42"/>
      <c r="D236" s="43"/>
      <c r="E236" s="42"/>
      <c r="F236" s="42"/>
      <c r="G236" s="42"/>
      <c r="H236" s="42"/>
      <c r="I236" s="42"/>
      <c r="J236" s="42"/>
      <c r="K236" s="42"/>
      <c r="L236" s="42"/>
      <c r="M236" s="42"/>
      <c r="N236" s="41"/>
      <c r="O236" s="41"/>
      <c r="P236" s="42"/>
      <c r="Q236" s="45"/>
      <c r="R236" s="45"/>
      <c r="S236" s="42"/>
      <c r="T236" s="46"/>
      <c r="U236" s="46"/>
      <c r="V236" s="42"/>
      <c r="W236" s="42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>
        <f t="shared" si="153"/>
        <v>0</v>
      </c>
      <c r="AO236" s="46">
        <f t="shared" si="154"/>
        <v>0</v>
      </c>
      <c r="AP236" s="90" t="s">
        <v>102</v>
      </c>
      <c r="AQ236" s="46"/>
      <c r="AR236" s="46"/>
      <c r="AS236" s="46"/>
      <c r="AT236" s="46"/>
      <c r="AU236" s="47">
        <f t="shared" si="183"/>
        <v>0</v>
      </c>
      <c r="AV236" s="46"/>
      <c r="AW236" s="47">
        <f t="shared" si="168"/>
        <v>0</v>
      </c>
      <c r="AX236" s="46"/>
      <c r="AY236" s="46"/>
      <c r="AZ236" s="46"/>
      <c r="BA236" s="46"/>
      <c r="BB236" s="46"/>
      <c r="BC236" s="64">
        <f t="shared" si="182"/>
        <v>0</v>
      </c>
      <c r="BD236" s="46"/>
      <c r="BE236" s="47">
        <f t="shared" si="184"/>
        <v>0</v>
      </c>
      <c r="BF236" s="46"/>
      <c r="BG236" s="46"/>
      <c r="BH236" s="46"/>
      <c r="BI236" s="46"/>
      <c r="BJ236" s="46"/>
      <c r="BK236" s="47">
        <f>+BI236*BJ236</f>
        <v>0</v>
      </c>
      <c r="BL236" s="46"/>
      <c r="BM236" s="47">
        <f t="shared" si="169"/>
        <v>0</v>
      </c>
      <c r="BN236" s="46"/>
      <c r="BO236" s="46"/>
      <c r="BP236" s="46"/>
      <c r="BQ236" s="46"/>
      <c r="BR236" s="46"/>
      <c r="BS236" s="46"/>
      <c r="BT236" s="46"/>
      <c r="BU236" s="47">
        <f t="shared" si="173"/>
        <v>0</v>
      </c>
      <c r="BV236" s="46"/>
      <c r="BW236" s="46"/>
      <c r="BX236" s="46"/>
      <c r="BY236" s="46"/>
      <c r="BZ236" s="46"/>
      <c r="CA236" s="46"/>
      <c r="CB236" s="46"/>
      <c r="CC236" s="47">
        <f t="shared" si="174"/>
        <v>0</v>
      </c>
      <c r="CD236" s="46"/>
      <c r="CE236" s="46"/>
      <c r="CF236" s="46"/>
      <c r="CG236" s="46"/>
      <c r="CH236" s="46"/>
      <c r="CI236" s="46"/>
      <c r="CJ236" s="46"/>
      <c r="CK236" s="47">
        <f t="shared" si="175"/>
        <v>0</v>
      </c>
      <c r="CL236" s="46"/>
      <c r="CM236" s="46"/>
      <c r="CN236" s="46"/>
      <c r="CO236" s="46"/>
      <c r="CP236" s="46">
        <f t="shared" si="176"/>
        <v>0</v>
      </c>
      <c r="CQ236" s="46"/>
      <c r="CR236" s="47">
        <f t="shared" si="188"/>
        <v>0</v>
      </c>
      <c r="CS236" s="46"/>
      <c r="CT236" s="46"/>
      <c r="CU236" s="46"/>
      <c r="CV236" s="46"/>
      <c r="CW236" s="47">
        <f t="shared" si="161"/>
        <v>0</v>
      </c>
      <c r="CX236" s="46"/>
      <c r="CY236" s="47">
        <f t="shared" si="162"/>
        <v>0</v>
      </c>
      <c r="CZ236" s="46"/>
      <c r="DA236" s="46"/>
      <c r="DB236" s="46"/>
      <c r="DC236" s="46"/>
      <c r="DD236" s="47">
        <f t="shared" si="170"/>
        <v>0</v>
      </c>
      <c r="DE236" s="46"/>
      <c r="DF236" s="46">
        <f t="shared" si="171"/>
        <v>0</v>
      </c>
      <c r="DG236" s="46"/>
      <c r="DH236" s="46">
        <f t="shared" ref="DH236:DH242" si="190">AQ236/2</f>
        <v>0</v>
      </c>
      <c r="DI236" s="46"/>
      <c r="DJ236" s="46"/>
      <c r="DK236" s="47">
        <f t="shared" si="185"/>
        <v>0</v>
      </c>
      <c r="DL236" s="47">
        <f t="shared" si="155"/>
        <v>0</v>
      </c>
      <c r="DM236" s="46"/>
      <c r="DN236" s="46">
        <f t="shared" ref="DN236:DN242" si="191">7.5%*AQ236</f>
        <v>0</v>
      </c>
      <c r="DO236" s="46"/>
      <c r="DP236" s="46">
        <f>10%*AQ236</f>
        <v>0</v>
      </c>
      <c r="DQ236" s="46"/>
      <c r="DR236" s="46">
        <f t="shared" si="189"/>
        <v>0</v>
      </c>
      <c r="DS236" s="46"/>
      <c r="DT236" s="46">
        <f t="shared" si="166"/>
        <v>0</v>
      </c>
      <c r="DU236" s="46"/>
      <c r="DV236" s="46">
        <f t="shared" si="172"/>
        <v>0</v>
      </c>
      <c r="DW236" s="46"/>
      <c r="DX236" s="47">
        <f t="shared" si="159"/>
        <v>0</v>
      </c>
      <c r="DY236" s="46"/>
      <c r="DZ236" s="46"/>
      <c r="EA236" s="46"/>
      <c r="EB236" s="46"/>
      <c r="EC236" s="46"/>
      <c r="ED236" s="46"/>
      <c r="EE236" s="47">
        <f t="shared" si="181"/>
        <v>0</v>
      </c>
      <c r="EF236" s="46"/>
      <c r="EG236" s="46"/>
      <c r="EH236" s="46"/>
      <c r="EI236" s="46"/>
      <c r="EJ236" s="46"/>
      <c r="EK236" s="47">
        <f t="shared" si="156"/>
        <v>0</v>
      </c>
      <c r="EL236" s="46">
        <f t="shared" si="157"/>
        <v>0</v>
      </c>
      <c r="EM236" s="46"/>
      <c r="EN236" s="46">
        <f t="shared" si="158"/>
        <v>0</v>
      </c>
    </row>
    <row r="237" spans="1:181" s="48" customFormat="1" x14ac:dyDescent="0.25">
      <c r="B237" s="41">
        <v>78</v>
      </c>
      <c r="C237" s="42"/>
      <c r="D237" s="43"/>
      <c r="E237" s="42"/>
      <c r="F237" s="42"/>
      <c r="G237" s="42"/>
      <c r="H237" s="42"/>
      <c r="I237" s="42"/>
      <c r="J237" s="42"/>
      <c r="K237" s="42"/>
      <c r="L237" s="42"/>
      <c r="M237" s="42"/>
      <c r="N237" s="41"/>
      <c r="O237" s="41"/>
      <c r="P237" s="42"/>
      <c r="Q237" s="45"/>
      <c r="R237" s="45"/>
      <c r="S237" s="42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>
        <f t="shared" si="153"/>
        <v>0</v>
      </c>
      <c r="AO237" s="46">
        <f t="shared" si="154"/>
        <v>0</v>
      </c>
      <c r="AP237" s="42" t="s">
        <v>114</v>
      </c>
      <c r="AQ237" s="46">
        <f>20%*AO237</f>
        <v>0</v>
      </c>
      <c r="AR237" s="46"/>
      <c r="AS237" s="46"/>
      <c r="AT237" s="46"/>
      <c r="AU237" s="47">
        <f t="shared" si="183"/>
        <v>0</v>
      </c>
      <c r="AV237" s="46"/>
      <c r="AW237" s="47">
        <f t="shared" si="168"/>
        <v>0</v>
      </c>
      <c r="AX237" s="42"/>
      <c r="AY237" s="46"/>
      <c r="AZ237" s="46">
        <f>25%*AR237</f>
        <v>0</v>
      </c>
      <c r="BA237" s="46"/>
      <c r="BB237" s="46"/>
      <c r="BC237" s="47">
        <f t="shared" si="182"/>
        <v>0</v>
      </c>
      <c r="BD237" s="46"/>
      <c r="BE237" s="47">
        <f t="shared" si="184"/>
        <v>0</v>
      </c>
      <c r="BF237" s="42"/>
      <c r="BG237" s="46"/>
      <c r="BH237" s="46"/>
      <c r="BI237" s="46"/>
      <c r="BJ237" s="46"/>
      <c r="BK237" s="46">
        <f t="shared" ref="BK237:BK273" si="192">BI237*BJ237</f>
        <v>0</v>
      </c>
      <c r="BL237" s="46"/>
      <c r="BM237" s="47">
        <f t="shared" si="169"/>
        <v>0</v>
      </c>
      <c r="BN237" s="42"/>
      <c r="BO237" s="46"/>
      <c r="BP237" s="46"/>
      <c r="BQ237" s="46"/>
      <c r="BR237" s="46"/>
      <c r="BS237" s="47"/>
      <c r="BT237" s="46"/>
      <c r="BU237" s="47">
        <f t="shared" si="173"/>
        <v>0</v>
      </c>
      <c r="BV237" s="42"/>
      <c r="BW237" s="46"/>
      <c r="BX237" s="46"/>
      <c r="BY237" s="46"/>
      <c r="BZ237" s="46"/>
      <c r="CA237" s="47"/>
      <c r="CB237" s="46"/>
      <c r="CC237" s="47">
        <f t="shared" si="174"/>
        <v>0</v>
      </c>
      <c r="CD237" s="42"/>
      <c r="CE237" s="46"/>
      <c r="CF237" s="46"/>
      <c r="CG237" s="46"/>
      <c r="CH237" s="46"/>
      <c r="CI237" s="47"/>
      <c r="CJ237" s="46"/>
      <c r="CK237" s="47">
        <f t="shared" si="175"/>
        <v>0</v>
      </c>
      <c r="CL237" s="46"/>
      <c r="CM237" s="46"/>
      <c r="CN237" s="46"/>
      <c r="CO237" s="46"/>
      <c r="CP237" s="46">
        <f t="shared" si="176"/>
        <v>0</v>
      </c>
      <c r="CQ237" s="46"/>
      <c r="CR237" s="47">
        <f t="shared" si="188"/>
        <v>0</v>
      </c>
      <c r="CS237" s="46"/>
      <c r="CT237" s="46"/>
      <c r="CU237" s="46"/>
      <c r="CV237" s="46"/>
      <c r="CW237" s="47">
        <f t="shared" si="161"/>
        <v>0</v>
      </c>
      <c r="CX237" s="46"/>
      <c r="CY237" s="47">
        <f t="shared" si="162"/>
        <v>0</v>
      </c>
      <c r="CZ237" s="46"/>
      <c r="DA237" s="46"/>
      <c r="DB237" s="46"/>
      <c r="DC237" s="46"/>
      <c r="DD237" s="47"/>
      <c r="DE237" s="46"/>
      <c r="DF237" s="46">
        <f t="shared" si="171"/>
        <v>0</v>
      </c>
      <c r="DG237" s="46"/>
      <c r="DH237" s="46">
        <f t="shared" si="190"/>
        <v>0</v>
      </c>
      <c r="DI237" s="46"/>
      <c r="DJ237" s="46"/>
      <c r="DK237" s="47">
        <f t="shared" si="185"/>
        <v>0</v>
      </c>
      <c r="DL237" s="47">
        <f t="shared" si="155"/>
        <v>0</v>
      </c>
      <c r="DM237" s="46"/>
      <c r="DN237" s="46">
        <f t="shared" si="191"/>
        <v>0</v>
      </c>
      <c r="DO237" s="46"/>
      <c r="DP237" s="46"/>
      <c r="DQ237" s="46"/>
      <c r="DR237" s="46">
        <f t="shared" si="189"/>
        <v>0</v>
      </c>
      <c r="DS237" s="46"/>
      <c r="DT237" s="46">
        <f t="shared" si="166"/>
        <v>0</v>
      </c>
      <c r="DU237" s="103"/>
      <c r="DV237" s="46">
        <f t="shared" si="172"/>
        <v>0</v>
      </c>
      <c r="DW237" s="45"/>
      <c r="DX237" s="47">
        <f t="shared" si="159"/>
        <v>0</v>
      </c>
      <c r="DY237" s="46"/>
      <c r="DZ237" s="46"/>
      <c r="EA237" s="46"/>
      <c r="EB237" s="46"/>
      <c r="EC237" s="46"/>
      <c r="ED237" s="46"/>
      <c r="EE237" s="47">
        <f t="shared" si="181"/>
        <v>0</v>
      </c>
      <c r="EF237" s="46"/>
      <c r="EG237" s="46"/>
      <c r="EH237" s="46"/>
      <c r="EI237" s="46"/>
      <c r="EJ237" s="46"/>
      <c r="EK237" s="47">
        <f t="shared" si="156"/>
        <v>0</v>
      </c>
      <c r="EL237" s="46">
        <f t="shared" si="157"/>
        <v>0</v>
      </c>
      <c r="EM237" s="46"/>
      <c r="EN237" s="46">
        <f t="shared" si="158"/>
        <v>0</v>
      </c>
      <c r="EO237" s="107"/>
      <c r="EP237" s="107"/>
      <c r="EQ237" s="107"/>
      <c r="ER237" s="107"/>
      <c r="ES237" s="107"/>
      <c r="ET237" s="107"/>
      <c r="EU237" s="107"/>
      <c r="EV237" s="107"/>
      <c r="EW237" s="107"/>
      <c r="EX237" s="107"/>
      <c r="EY237" s="107"/>
      <c r="EZ237" s="107"/>
      <c r="FA237" s="107"/>
      <c r="FB237" s="107"/>
      <c r="FC237" s="107"/>
      <c r="FD237" s="107"/>
      <c r="FE237" s="107"/>
      <c r="FF237" s="107"/>
      <c r="FG237" s="107"/>
      <c r="FH237" s="107"/>
      <c r="FI237" s="107"/>
      <c r="FJ237" s="107"/>
      <c r="FK237" s="107"/>
      <c r="FL237" s="107"/>
      <c r="FM237" s="107"/>
      <c r="FN237" s="107"/>
      <c r="FO237" s="107"/>
      <c r="FP237" s="107"/>
      <c r="FQ237" s="107"/>
      <c r="FR237" s="107"/>
      <c r="FS237" s="107"/>
      <c r="FT237" s="107"/>
      <c r="FU237" s="107"/>
      <c r="FV237" s="107"/>
      <c r="FW237" s="107"/>
      <c r="FX237" s="107"/>
      <c r="FY237" s="107"/>
    </row>
    <row r="238" spans="1:181" s="48" customFormat="1" ht="15" customHeight="1" x14ac:dyDescent="0.25">
      <c r="B238" s="41">
        <v>79</v>
      </c>
      <c r="C238" s="42"/>
      <c r="D238" s="43"/>
      <c r="E238" s="42"/>
      <c r="F238" s="42"/>
      <c r="G238" s="42"/>
      <c r="H238" s="42"/>
      <c r="I238" s="42"/>
      <c r="J238" s="42"/>
      <c r="K238" s="42"/>
      <c r="L238" s="42"/>
      <c r="M238" s="42"/>
      <c r="N238" s="41"/>
      <c r="O238" s="41"/>
      <c r="P238" s="42"/>
      <c r="Q238" s="45"/>
      <c r="R238" s="45"/>
      <c r="S238" s="42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>
        <f t="shared" si="153"/>
        <v>0</v>
      </c>
      <c r="AO238" s="46">
        <f t="shared" si="154"/>
        <v>0</v>
      </c>
      <c r="AP238" s="42" t="s">
        <v>114</v>
      </c>
      <c r="AQ238" s="46">
        <f>20%*AO238</f>
        <v>0</v>
      </c>
      <c r="AR238" s="46"/>
      <c r="AS238" s="46"/>
      <c r="AT238" s="46"/>
      <c r="AU238" s="47">
        <f t="shared" si="183"/>
        <v>0</v>
      </c>
      <c r="AV238" s="46"/>
      <c r="AW238" s="47">
        <f t="shared" si="168"/>
        <v>0</v>
      </c>
      <c r="AX238" s="42"/>
      <c r="AY238" s="46"/>
      <c r="AZ238" s="46"/>
      <c r="BA238" s="46"/>
      <c r="BB238" s="46"/>
      <c r="BC238" s="47">
        <f t="shared" si="182"/>
        <v>0</v>
      </c>
      <c r="BD238" s="46"/>
      <c r="BE238" s="47">
        <f t="shared" si="184"/>
        <v>0</v>
      </c>
      <c r="BF238" s="42"/>
      <c r="BG238" s="46"/>
      <c r="BH238" s="46"/>
      <c r="BI238" s="46"/>
      <c r="BJ238" s="46"/>
      <c r="BK238" s="46">
        <f t="shared" si="192"/>
        <v>0</v>
      </c>
      <c r="BL238" s="46"/>
      <c r="BM238" s="47">
        <f t="shared" si="169"/>
        <v>0</v>
      </c>
      <c r="BN238" s="42"/>
      <c r="BO238" s="46"/>
      <c r="BP238" s="46"/>
      <c r="BQ238" s="46"/>
      <c r="BR238" s="46"/>
      <c r="BS238" s="47"/>
      <c r="BT238" s="46"/>
      <c r="BU238" s="47">
        <f t="shared" si="173"/>
        <v>0</v>
      </c>
      <c r="BV238" s="42"/>
      <c r="BW238" s="46"/>
      <c r="BX238" s="46"/>
      <c r="BY238" s="46"/>
      <c r="BZ238" s="46"/>
      <c r="CA238" s="47"/>
      <c r="CB238" s="46"/>
      <c r="CC238" s="47">
        <f t="shared" si="174"/>
        <v>0</v>
      </c>
      <c r="CD238" s="42"/>
      <c r="CE238" s="46"/>
      <c r="CF238" s="46"/>
      <c r="CG238" s="46"/>
      <c r="CH238" s="46"/>
      <c r="CI238" s="47"/>
      <c r="CJ238" s="46"/>
      <c r="CK238" s="47">
        <f t="shared" si="175"/>
        <v>0</v>
      </c>
      <c r="CL238" s="46"/>
      <c r="CM238" s="46"/>
      <c r="CN238" s="46"/>
      <c r="CO238" s="46"/>
      <c r="CP238" s="46">
        <f t="shared" si="176"/>
        <v>0</v>
      </c>
      <c r="CQ238" s="46"/>
      <c r="CR238" s="47">
        <f t="shared" si="188"/>
        <v>0</v>
      </c>
      <c r="CS238" s="46"/>
      <c r="CT238" s="46"/>
      <c r="CU238" s="46"/>
      <c r="CV238" s="46"/>
      <c r="CW238" s="47">
        <f t="shared" si="161"/>
        <v>0</v>
      </c>
      <c r="CX238" s="46"/>
      <c r="CY238" s="47">
        <f t="shared" si="162"/>
        <v>0</v>
      </c>
      <c r="CZ238" s="46"/>
      <c r="DA238" s="46"/>
      <c r="DB238" s="46"/>
      <c r="DC238" s="46"/>
      <c r="DD238" s="47"/>
      <c r="DE238" s="46"/>
      <c r="DF238" s="46">
        <f t="shared" si="171"/>
        <v>0</v>
      </c>
      <c r="DG238" s="46"/>
      <c r="DH238" s="46">
        <f t="shared" si="190"/>
        <v>0</v>
      </c>
      <c r="DI238" s="46"/>
      <c r="DJ238" s="46"/>
      <c r="DK238" s="47">
        <f t="shared" si="185"/>
        <v>0</v>
      </c>
      <c r="DL238" s="47">
        <f t="shared" si="155"/>
        <v>0</v>
      </c>
      <c r="DM238" s="46"/>
      <c r="DN238" s="46">
        <f t="shared" si="191"/>
        <v>0</v>
      </c>
      <c r="DO238" s="46"/>
      <c r="DP238" s="46"/>
      <c r="DQ238" s="46"/>
      <c r="DR238" s="46">
        <f t="shared" si="189"/>
        <v>0</v>
      </c>
      <c r="DS238" s="46"/>
      <c r="DT238" s="46">
        <f t="shared" si="166"/>
        <v>0</v>
      </c>
      <c r="DU238" s="103"/>
      <c r="DV238" s="46">
        <f t="shared" si="172"/>
        <v>0</v>
      </c>
      <c r="DW238" s="45"/>
      <c r="DX238" s="47">
        <f t="shared" si="159"/>
        <v>0</v>
      </c>
      <c r="DY238" s="46"/>
      <c r="DZ238" s="46"/>
      <c r="EA238" s="46"/>
      <c r="EB238" s="46"/>
      <c r="EC238" s="46"/>
      <c r="ED238" s="46"/>
      <c r="EE238" s="47">
        <f t="shared" si="181"/>
        <v>0</v>
      </c>
      <c r="EF238" s="46"/>
      <c r="EG238" s="46"/>
      <c r="EH238" s="46"/>
      <c r="EI238" s="46"/>
      <c r="EJ238" s="46"/>
      <c r="EK238" s="47">
        <f t="shared" si="156"/>
        <v>0</v>
      </c>
      <c r="EL238" s="46">
        <f t="shared" si="157"/>
        <v>0</v>
      </c>
      <c r="EM238" s="46"/>
      <c r="EN238" s="46">
        <f t="shared" si="158"/>
        <v>0</v>
      </c>
      <c r="EO238" s="107"/>
      <c r="EP238" s="107"/>
      <c r="EQ238" s="107"/>
      <c r="ER238" s="107"/>
      <c r="ES238" s="107"/>
      <c r="ET238" s="107"/>
      <c r="EU238" s="107"/>
      <c r="EV238" s="107"/>
      <c r="EW238" s="107"/>
      <c r="EX238" s="107"/>
      <c r="EY238" s="107"/>
      <c r="EZ238" s="107"/>
      <c r="FA238" s="107"/>
      <c r="FB238" s="107"/>
      <c r="FC238" s="107"/>
      <c r="FD238" s="107"/>
      <c r="FE238" s="107"/>
      <c r="FF238" s="107"/>
      <c r="FG238" s="107"/>
      <c r="FH238" s="107"/>
      <c r="FI238" s="107"/>
      <c r="FJ238" s="107"/>
      <c r="FK238" s="107"/>
      <c r="FL238" s="107"/>
      <c r="FM238" s="107"/>
      <c r="FN238" s="107"/>
      <c r="FO238" s="107"/>
      <c r="FP238" s="107"/>
      <c r="FQ238" s="107"/>
      <c r="FR238" s="107"/>
      <c r="FS238" s="107"/>
      <c r="FT238" s="107"/>
      <c r="FU238" s="107"/>
      <c r="FV238" s="107"/>
      <c r="FW238" s="107"/>
      <c r="FX238" s="107"/>
      <c r="FY238" s="107"/>
    </row>
    <row r="239" spans="1:181" s="48" customFormat="1" ht="15" customHeight="1" x14ac:dyDescent="0.25">
      <c r="B239" s="41">
        <v>81</v>
      </c>
      <c r="C239" s="42"/>
      <c r="D239" s="43"/>
      <c r="E239" s="42"/>
      <c r="F239" s="42"/>
      <c r="G239" s="42"/>
      <c r="H239" s="42"/>
      <c r="I239" s="42"/>
      <c r="J239" s="42"/>
      <c r="K239" s="42"/>
      <c r="L239" s="42"/>
      <c r="M239" s="42"/>
      <c r="N239" s="41"/>
      <c r="O239" s="41"/>
      <c r="P239" s="42"/>
      <c r="Q239" s="45"/>
      <c r="R239" s="45"/>
      <c r="S239" s="42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>
        <f t="shared" si="153"/>
        <v>0</v>
      </c>
      <c r="AO239" s="46">
        <f t="shared" si="154"/>
        <v>0</v>
      </c>
      <c r="AP239" s="42" t="s">
        <v>102</v>
      </c>
      <c r="AQ239" s="46"/>
      <c r="AR239" s="46"/>
      <c r="AS239" s="46"/>
      <c r="AT239" s="46"/>
      <c r="AU239" s="47">
        <f t="shared" si="183"/>
        <v>0</v>
      </c>
      <c r="AV239" s="46"/>
      <c r="AW239" s="47">
        <f t="shared" si="168"/>
        <v>0</v>
      </c>
      <c r="AX239" s="42" t="s">
        <v>113</v>
      </c>
      <c r="AY239" s="46">
        <f>25%*AQ239</f>
        <v>0</v>
      </c>
      <c r="AZ239" s="46"/>
      <c r="BA239" s="46"/>
      <c r="BB239" s="46"/>
      <c r="BC239" s="47">
        <f t="shared" si="182"/>
        <v>0</v>
      </c>
      <c r="BD239" s="46"/>
      <c r="BE239" s="47">
        <f t="shared" si="184"/>
        <v>0</v>
      </c>
      <c r="BF239" s="42"/>
      <c r="BG239" s="46"/>
      <c r="BH239" s="46"/>
      <c r="BI239" s="46"/>
      <c r="BJ239" s="46"/>
      <c r="BK239" s="46">
        <f t="shared" si="192"/>
        <v>0</v>
      </c>
      <c r="BL239" s="46"/>
      <c r="BM239" s="47">
        <f t="shared" si="169"/>
        <v>0</v>
      </c>
      <c r="BN239" s="42"/>
      <c r="BO239" s="46"/>
      <c r="BP239" s="46"/>
      <c r="BQ239" s="46"/>
      <c r="BR239" s="46"/>
      <c r="BS239" s="47"/>
      <c r="BT239" s="46"/>
      <c r="BU239" s="47">
        <f t="shared" si="173"/>
        <v>0</v>
      </c>
      <c r="BV239" s="42"/>
      <c r="BW239" s="46"/>
      <c r="BX239" s="46"/>
      <c r="BY239" s="46"/>
      <c r="BZ239" s="46"/>
      <c r="CA239" s="47"/>
      <c r="CB239" s="46"/>
      <c r="CC239" s="47">
        <f t="shared" si="174"/>
        <v>0</v>
      </c>
      <c r="CD239" s="42"/>
      <c r="CE239" s="46"/>
      <c r="CF239" s="46"/>
      <c r="CG239" s="46"/>
      <c r="CH239" s="46"/>
      <c r="CI239" s="47"/>
      <c r="CJ239" s="46"/>
      <c r="CK239" s="47">
        <f t="shared" si="175"/>
        <v>0</v>
      </c>
      <c r="CL239" s="46"/>
      <c r="CM239" s="46"/>
      <c r="CN239" s="46"/>
      <c r="CO239" s="46"/>
      <c r="CP239" s="46">
        <f t="shared" si="176"/>
        <v>0</v>
      </c>
      <c r="CQ239" s="46"/>
      <c r="CR239" s="47">
        <f t="shared" si="188"/>
        <v>0</v>
      </c>
      <c r="CS239" s="46"/>
      <c r="CT239" s="46"/>
      <c r="CU239" s="46"/>
      <c r="CV239" s="46"/>
      <c r="CW239" s="47">
        <f t="shared" si="161"/>
        <v>0</v>
      </c>
      <c r="CX239" s="46"/>
      <c r="CY239" s="47">
        <f t="shared" si="162"/>
        <v>0</v>
      </c>
      <c r="CZ239" s="46"/>
      <c r="DA239" s="46"/>
      <c r="DB239" s="46"/>
      <c r="DC239" s="46"/>
      <c r="DD239" s="64">
        <f t="shared" ref="DD239:DD263" si="193">+DB239*DC239</f>
        <v>0</v>
      </c>
      <c r="DE239" s="46"/>
      <c r="DF239" s="46">
        <f t="shared" si="171"/>
        <v>0</v>
      </c>
      <c r="DG239" s="46"/>
      <c r="DH239" s="46">
        <f t="shared" si="190"/>
        <v>0</v>
      </c>
      <c r="DI239" s="46"/>
      <c r="DJ239" s="46"/>
      <c r="DK239" s="47">
        <f t="shared" si="185"/>
        <v>0</v>
      </c>
      <c r="DL239" s="47">
        <f t="shared" si="155"/>
        <v>0</v>
      </c>
      <c r="DM239" s="46"/>
      <c r="DN239" s="46">
        <f t="shared" si="191"/>
        <v>0</v>
      </c>
      <c r="DO239" s="46"/>
      <c r="DP239" s="46">
        <f>10%*AQ239</f>
        <v>0</v>
      </c>
      <c r="DQ239" s="46"/>
      <c r="DR239" s="46">
        <f t="shared" si="189"/>
        <v>0</v>
      </c>
      <c r="DS239" s="46"/>
      <c r="DT239" s="46">
        <f t="shared" si="166"/>
        <v>0</v>
      </c>
      <c r="DU239" s="103"/>
      <c r="DV239" s="46">
        <f t="shared" si="172"/>
        <v>0</v>
      </c>
      <c r="DW239" s="45"/>
      <c r="DX239" s="47">
        <f t="shared" si="159"/>
        <v>0</v>
      </c>
      <c r="DY239" s="46"/>
      <c r="DZ239" s="46"/>
      <c r="EA239" s="47"/>
      <c r="EB239" s="46"/>
      <c r="EC239" s="46"/>
      <c r="ED239" s="46"/>
      <c r="EE239" s="47">
        <f t="shared" si="181"/>
        <v>0</v>
      </c>
      <c r="EF239" s="46"/>
      <c r="EG239" s="46"/>
      <c r="EH239" s="46"/>
      <c r="EI239" s="46"/>
      <c r="EJ239" s="46"/>
      <c r="EK239" s="47">
        <f t="shared" si="156"/>
        <v>0</v>
      </c>
      <c r="EL239" s="46">
        <f t="shared" si="157"/>
        <v>0</v>
      </c>
      <c r="EM239" s="46"/>
      <c r="EN239" s="46">
        <f t="shared" si="158"/>
        <v>0</v>
      </c>
      <c r="EO239" s="107"/>
      <c r="EP239" s="107"/>
      <c r="EQ239" s="107"/>
      <c r="ER239" s="107"/>
      <c r="ES239" s="107"/>
      <c r="ET239" s="107"/>
      <c r="EU239" s="107"/>
      <c r="EV239" s="107"/>
      <c r="EW239" s="107"/>
      <c r="EX239" s="107"/>
      <c r="EY239" s="107"/>
      <c r="EZ239" s="107"/>
      <c r="FA239" s="107"/>
      <c r="FB239" s="107"/>
      <c r="FC239" s="107"/>
      <c r="FD239" s="107"/>
      <c r="FE239" s="107"/>
      <c r="FF239" s="107"/>
      <c r="FG239" s="107"/>
      <c r="FH239" s="107"/>
      <c r="FI239" s="107"/>
      <c r="FJ239" s="107"/>
      <c r="FK239" s="107"/>
      <c r="FL239" s="107"/>
      <c r="FM239" s="107"/>
      <c r="FN239" s="107"/>
      <c r="FO239" s="107"/>
      <c r="FP239" s="107"/>
      <c r="FQ239" s="107"/>
      <c r="FR239" s="107"/>
      <c r="FS239" s="107"/>
      <c r="FT239" s="107"/>
      <c r="FU239" s="107"/>
      <c r="FV239" s="107"/>
      <c r="FW239" s="107"/>
      <c r="FX239" s="107"/>
      <c r="FY239" s="107"/>
    </row>
    <row r="240" spans="1:181" s="48" customFormat="1" ht="15" customHeight="1" x14ac:dyDescent="0.25">
      <c r="B240" s="41">
        <v>82</v>
      </c>
      <c r="C240" s="42"/>
      <c r="D240" s="43"/>
      <c r="E240" s="42"/>
      <c r="F240" s="42"/>
      <c r="G240" s="42"/>
      <c r="H240" s="42"/>
      <c r="I240" s="42"/>
      <c r="J240" s="42"/>
      <c r="K240" s="42"/>
      <c r="L240" s="42"/>
      <c r="M240" s="42"/>
      <c r="N240" s="41"/>
      <c r="O240" s="41"/>
      <c r="P240" s="42"/>
      <c r="Q240" s="45"/>
      <c r="R240" s="45"/>
      <c r="S240" s="42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>
        <f t="shared" si="153"/>
        <v>0</v>
      </c>
      <c r="AO240" s="46">
        <f t="shared" si="154"/>
        <v>0</v>
      </c>
      <c r="AP240" s="42" t="s">
        <v>102</v>
      </c>
      <c r="AQ240" s="46"/>
      <c r="AR240" s="46"/>
      <c r="AS240" s="46"/>
      <c r="AT240" s="46"/>
      <c r="AU240" s="47">
        <f t="shared" si="183"/>
        <v>0</v>
      </c>
      <c r="AV240" s="46"/>
      <c r="AW240" s="47">
        <f t="shared" si="168"/>
        <v>0</v>
      </c>
      <c r="AX240" s="42" t="s">
        <v>113</v>
      </c>
      <c r="AY240" s="46">
        <f>25%*AQ240</f>
        <v>0</v>
      </c>
      <c r="AZ240" s="46"/>
      <c r="BA240" s="46"/>
      <c r="BB240" s="46"/>
      <c r="BC240" s="47">
        <f t="shared" si="182"/>
        <v>0</v>
      </c>
      <c r="BD240" s="46"/>
      <c r="BE240" s="47">
        <f t="shared" si="184"/>
        <v>0</v>
      </c>
      <c r="BF240" s="42"/>
      <c r="BG240" s="46"/>
      <c r="BH240" s="46"/>
      <c r="BI240" s="46"/>
      <c r="BJ240" s="46"/>
      <c r="BK240" s="46">
        <f t="shared" si="192"/>
        <v>0</v>
      </c>
      <c r="BL240" s="46"/>
      <c r="BM240" s="47">
        <f t="shared" si="169"/>
        <v>0</v>
      </c>
      <c r="BN240" s="42"/>
      <c r="BO240" s="46"/>
      <c r="BP240" s="46"/>
      <c r="BQ240" s="46"/>
      <c r="BR240" s="46"/>
      <c r="BS240" s="47"/>
      <c r="BT240" s="46"/>
      <c r="BU240" s="47">
        <f t="shared" si="173"/>
        <v>0</v>
      </c>
      <c r="BV240" s="42"/>
      <c r="BW240" s="46"/>
      <c r="BX240" s="46"/>
      <c r="BY240" s="46"/>
      <c r="BZ240" s="46"/>
      <c r="CA240" s="47"/>
      <c r="CB240" s="46"/>
      <c r="CC240" s="47">
        <f t="shared" si="174"/>
        <v>0</v>
      </c>
      <c r="CD240" s="42"/>
      <c r="CE240" s="46"/>
      <c r="CF240" s="46"/>
      <c r="CG240" s="46"/>
      <c r="CH240" s="46"/>
      <c r="CI240" s="47"/>
      <c r="CJ240" s="46"/>
      <c r="CK240" s="47">
        <f t="shared" si="175"/>
        <v>0</v>
      </c>
      <c r="CL240" s="46"/>
      <c r="CM240" s="46"/>
      <c r="CN240" s="46"/>
      <c r="CO240" s="46"/>
      <c r="CP240" s="46">
        <f t="shared" si="176"/>
        <v>0</v>
      </c>
      <c r="CQ240" s="46"/>
      <c r="CR240" s="47">
        <f t="shared" si="188"/>
        <v>0</v>
      </c>
      <c r="CS240" s="46"/>
      <c r="CT240" s="46"/>
      <c r="CU240" s="46"/>
      <c r="CV240" s="46"/>
      <c r="CW240" s="47">
        <f t="shared" si="161"/>
        <v>0</v>
      </c>
      <c r="CX240" s="46"/>
      <c r="CY240" s="47">
        <f t="shared" si="162"/>
        <v>0</v>
      </c>
      <c r="CZ240" s="46"/>
      <c r="DA240" s="46"/>
      <c r="DB240" s="46"/>
      <c r="DC240" s="46"/>
      <c r="DD240" s="64">
        <f t="shared" si="193"/>
        <v>0</v>
      </c>
      <c r="DE240" s="46"/>
      <c r="DF240" s="46">
        <f t="shared" si="171"/>
        <v>0</v>
      </c>
      <c r="DG240" s="46"/>
      <c r="DH240" s="46">
        <f t="shared" si="190"/>
        <v>0</v>
      </c>
      <c r="DI240" s="46"/>
      <c r="DJ240" s="46"/>
      <c r="DK240" s="47">
        <f t="shared" si="185"/>
        <v>0</v>
      </c>
      <c r="DL240" s="47">
        <f t="shared" si="155"/>
        <v>0</v>
      </c>
      <c r="DM240" s="46"/>
      <c r="DN240" s="46">
        <f t="shared" si="191"/>
        <v>0</v>
      </c>
      <c r="DO240" s="46"/>
      <c r="DP240" s="46">
        <f>10%*AQ240</f>
        <v>0</v>
      </c>
      <c r="DQ240" s="46"/>
      <c r="DR240" s="46">
        <f t="shared" si="189"/>
        <v>0</v>
      </c>
      <c r="DS240" s="46"/>
      <c r="DT240" s="46">
        <f t="shared" si="166"/>
        <v>0</v>
      </c>
      <c r="DU240" s="103"/>
      <c r="DV240" s="46">
        <f t="shared" si="172"/>
        <v>0</v>
      </c>
      <c r="DW240" s="45"/>
      <c r="DX240" s="47">
        <f t="shared" si="159"/>
        <v>0</v>
      </c>
      <c r="DY240" s="46"/>
      <c r="DZ240" s="46"/>
      <c r="EA240" s="46"/>
      <c r="EB240" s="46"/>
      <c r="EC240" s="46"/>
      <c r="ED240" s="46"/>
      <c r="EE240" s="47">
        <f t="shared" si="181"/>
        <v>0</v>
      </c>
      <c r="EF240" s="46"/>
      <c r="EG240" s="46"/>
      <c r="EH240" s="46"/>
      <c r="EI240" s="46"/>
      <c r="EJ240" s="46"/>
      <c r="EK240" s="47">
        <f t="shared" si="156"/>
        <v>0</v>
      </c>
      <c r="EL240" s="46">
        <f t="shared" si="157"/>
        <v>0</v>
      </c>
      <c r="EM240" s="46"/>
      <c r="EN240" s="46">
        <f t="shared" si="158"/>
        <v>0</v>
      </c>
      <c r="EO240" s="107"/>
      <c r="EP240" s="107"/>
      <c r="EQ240" s="107"/>
      <c r="ER240" s="107"/>
      <c r="ES240" s="107"/>
      <c r="ET240" s="107"/>
      <c r="EU240" s="107"/>
      <c r="EV240" s="107"/>
      <c r="EW240" s="107"/>
      <c r="EX240" s="107"/>
      <c r="EY240" s="107"/>
      <c r="EZ240" s="107"/>
      <c r="FA240" s="107"/>
      <c r="FB240" s="107"/>
      <c r="FC240" s="107"/>
      <c r="FD240" s="107"/>
      <c r="FE240" s="107"/>
      <c r="FF240" s="107"/>
      <c r="FG240" s="107"/>
      <c r="FH240" s="107"/>
      <c r="FI240" s="107"/>
      <c r="FJ240" s="107"/>
      <c r="FK240" s="107"/>
      <c r="FL240" s="107"/>
      <c r="FM240" s="107"/>
      <c r="FN240" s="107"/>
      <c r="FO240" s="107"/>
      <c r="FP240" s="107"/>
      <c r="FQ240" s="107"/>
      <c r="FR240" s="107"/>
      <c r="FS240" s="107"/>
      <c r="FT240" s="107"/>
      <c r="FU240" s="107"/>
      <c r="FV240" s="107"/>
      <c r="FW240" s="107"/>
      <c r="FX240" s="107"/>
      <c r="FY240" s="107"/>
    </row>
    <row r="241" spans="1:181" s="48" customFormat="1" ht="15" customHeight="1" x14ac:dyDescent="0.25">
      <c r="B241" s="41">
        <v>88</v>
      </c>
      <c r="C241" s="42"/>
      <c r="D241" s="43"/>
      <c r="E241" s="42"/>
      <c r="F241" s="42"/>
      <c r="G241" s="42"/>
      <c r="H241" s="42"/>
      <c r="I241" s="42"/>
      <c r="J241" s="42"/>
      <c r="K241" s="42"/>
      <c r="L241" s="42"/>
      <c r="M241" s="42"/>
      <c r="N241" s="41"/>
      <c r="O241" s="41"/>
      <c r="P241" s="42"/>
      <c r="Q241" s="45"/>
      <c r="R241" s="45"/>
      <c r="S241" s="42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>
        <f t="shared" si="153"/>
        <v>0</v>
      </c>
      <c r="AO241" s="46">
        <f t="shared" si="154"/>
        <v>0</v>
      </c>
      <c r="AP241" s="42" t="s">
        <v>116</v>
      </c>
      <c r="AQ241" s="46">
        <f t="shared" ref="AQ241:AQ247" si="194">20%*AO241</f>
        <v>0</v>
      </c>
      <c r="AR241" s="46"/>
      <c r="AS241" s="46"/>
      <c r="AT241" s="46"/>
      <c r="AU241" s="47">
        <f t="shared" si="183"/>
        <v>0</v>
      </c>
      <c r="AV241" s="46"/>
      <c r="AW241" s="47">
        <f t="shared" si="168"/>
        <v>0</v>
      </c>
      <c r="AX241" s="42"/>
      <c r="AY241" s="46"/>
      <c r="AZ241" s="46"/>
      <c r="BA241" s="46"/>
      <c r="BB241" s="46"/>
      <c r="BC241" s="47">
        <f t="shared" si="182"/>
        <v>0</v>
      </c>
      <c r="BD241" s="46"/>
      <c r="BE241" s="47">
        <f t="shared" si="184"/>
        <v>0</v>
      </c>
      <c r="BF241" s="42"/>
      <c r="BG241" s="46"/>
      <c r="BH241" s="46"/>
      <c r="BI241" s="46"/>
      <c r="BJ241" s="46"/>
      <c r="BK241" s="46">
        <f t="shared" si="192"/>
        <v>0</v>
      </c>
      <c r="BL241" s="46"/>
      <c r="BM241" s="47">
        <f t="shared" si="169"/>
        <v>0</v>
      </c>
      <c r="BN241" s="42"/>
      <c r="BO241" s="46"/>
      <c r="BP241" s="46"/>
      <c r="BQ241" s="46"/>
      <c r="BR241" s="46"/>
      <c r="BS241" s="46">
        <f t="shared" ref="BS241:BS288" si="195">BQ241*BR241</f>
        <v>0</v>
      </c>
      <c r="BT241" s="46"/>
      <c r="BU241" s="47">
        <f t="shared" si="173"/>
        <v>0</v>
      </c>
      <c r="BV241" s="42"/>
      <c r="BW241" s="46"/>
      <c r="BX241" s="46"/>
      <c r="BY241" s="46"/>
      <c r="BZ241" s="46"/>
      <c r="CA241" s="47"/>
      <c r="CB241" s="46"/>
      <c r="CC241" s="47">
        <f t="shared" si="174"/>
        <v>0</v>
      </c>
      <c r="CD241" s="42"/>
      <c r="CE241" s="46"/>
      <c r="CF241" s="46"/>
      <c r="CG241" s="46"/>
      <c r="CH241" s="46"/>
      <c r="CI241" s="47"/>
      <c r="CJ241" s="46"/>
      <c r="CK241" s="47">
        <f t="shared" si="175"/>
        <v>0</v>
      </c>
      <c r="CL241" s="46"/>
      <c r="CM241" s="46"/>
      <c r="CN241" s="46"/>
      <c r="CO241" s="46"/>
      <c r="CP241" s="46">
        <f t="shared" si="176"/>
        <v>0</v>
      </c>
      <c r="CQ241" s="46"/>
      <c r="CR241" s="47">
        <f t="shared" si="188"/>
        <v>0</v>
      </c>
      <c r="CS241" s="46"/>
      <c r="CT241" s="46"/>
      <c r="CU241" s="46"/>
      <c r="CV241" s="46"/>
      <c r="CW241" s="47">
        <f t="shared" si="161"/>
        <v>0</v>
      </c>
      <c r="CX241" s="46"/>
      <c r="CY241" s="47">
        <f t="shared" si="162"/>
        <v>0</v>
      </c>
      <c r="CZ241" s="46"/>
      <c r="DA241" s="46"/>
      <c r="DB241" s="46"/>
      <c r="DC241" s="46"/>
      <c r="DD241" s="64">
        <f t="shared" si="193"/>
        <v>0</v>
      </c>
      <c r="DE241" s="46"/>
      <c r="DF241" s="46">
        <f t="shared" si="171"/>
        <v>0</v>
      </c>
      <c r="DG241" s="46"/>
      <c r="DH241" s="46">
        <f t="shared" si="190"/>
        <v>0</v>
      </c>
      <c r="DI241" s="46"/>
      <c r="DJ241" s="46"/>
      <c r="DK241" s="47">
        <f t="shared" si="185"/>
        <v>0</v>
      </c>
      <c r="DL241" s="47">
        <f t="shared" si="155"/>
        <v>0</v>
      </c>
      <c r="DM241" s="46"/>
      <c r="DN241" s="46">
        <f t="shared" si="191"/>
        <v>0</v>
      </c>
      <c r="DO241" s="46"/>
      <c r="DP241" s="46">
        <f t="shared" ref="DP241:DP259" si="196">DN241</f>
        <v>0</v>
      </c>
      <c r="DQ241" s="46"/>
      <c r="DR241" s="46">
        <f t="shared" si="189"/>
        <v>0</v>
      </c>
      <c r="DS241" s="46"/>
      <c r="DT241" s="46">
        <f t="shared" si="166"/>
        <v>0</v>
      </c>
      <c r="DU241" s="41"/>
      <c r="DV241" s="46">
        <f t="shared" si="172"/>
        <v>0</v>
      </c>
      <c r="DW241" s="45"/>
      <c r="DX241" s="47">
        <f t="shared" si="159"/>
        <v>0</v>
      </c>
      <c r="DY241" s="46"/>
      <c r="DZ241" s="46"/>
      <c r="EA241" s="47"/>
      <c r="EB241" s="46"/>
      <c r="EC241" s="46"/>
      <c r="ED241" s="46"/>
      <c r="EE241" s="47">
        <f t="shared" si="181"/>
        <v>0</v>
      </c>
      <c r="EF241" s="46"/>
      <c r="EG241" s="46"/>
      <c r="EH241" s="46"/>
      <c r="EI241" s="46"/>
      <c r="EJ241" s="46"/>
      <c r="EK241" s="47">
        <f t="shared" si="156"/>
        <v>0</v>
      </c>
      <c r="EL241" s="46">
        <f t="shared" si="157"/>
        <v>0</v>
      </c>
      <c r="EM241" s="46"/>
      <c r="EN241" s="46">
        <f t="shared" si="158"/>
        <v>0</v>
      </c>
      <c r="EO241" s="107"/>
      <c r="EP241" s="107"/>
      <c r="EQ241" s="107"/>
      <c r="ER241" s="107"/>
      <c r="ES241" s="107"/>
      <c r="ET241" s="107"/>
      <c r="EU241" s="107"/>
      <c r="EV241" s="107"/>
      <c r="EW241" s="107"/>
      <c r="EX241" s="107"/>
      <c r="EY241" s="107"/>
      <c r="EZ241" s="107"/>
      <c r="FA241" s="107"/>
      <c r="FB241" s="107"/>
      <c r="FC241" s="107"/>
      <c r="FD241" s="107"/>
      <c r="FE241" s="107"/>
      <c r="FF241" s="107"/>
      <c r="FG241" s="107"/>
      <c r="FH241" s="107"/>
      <c r="FI241" s="107"/>
      <c r="FJ241" s="107"/>
      <c r="FK241" s="107"/>
      <c r="FL241" s="107"/>
      <c r="FM241" s="107"/>
      <c r="FN241" s="107"/>
      <c r="FO241" s="107"/>
      <c r="FP241" s="107"/>
      <c r="FQ241" s="107"/>
      <c r="FR241" s="107"/>
      <c r="FS241" s="107"/>
      <c r="FT241" s="107"/>
      <c r="FU241" s="107"/>
      <c r="FV241" s="107"/>
      <c r="FW241" s="107"/>
      <c r="FX241" s="107"/>
      <c r="FY241" s="107"/>
    </row>
    <row r="242" spans="1:181" s="48" customFormat="1" ht="15" customHeight="1" x14ac:dyDescent="0.25">
      <c r="B242" s="41">
        <v>89</v>
      </c>
      <c r="C242" s="42"/>
      <c r="D242" s="43"/>
      <c r="E242" s="42"/>
      <c r="F242" s="42"/>
      <c r="G242" s="42"/>
      <c r="H242" s="42"/>
      <c r="I242" s="42"/>
      <c r="J242" s="42"/>
      <c r="K242" s="42"/>
      <c r="L242" s="42"/>
      <c r="M242" s="42"/>
      <c r="N242" s="41"/>
      <c r="O242" s="41"/>
      <c r="P242" s="42"/>
      <c r="Q242" s="45"/>
      <c r="R242" s="45"/>
      <c r="S242" s="42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>
        <f t="shared" si="153"/>
        <v>0</v>
      </c>
      <c r="AO242" s="46">
        <f t="shared" si="154"/>
        <v>0</v>
      </c>
      <c r="AP242" s="42" t="s">
        <v>111</v>
      </c>
      <c r="AQ242" s="46">
        <f t="shared" si="194"/>
        <v>0</v>
      </c>
      <c r="AR242" s="46"/>
      <c r="AS242" s="46"/>
      <c r="AT242" s="46"/>
      <c r="AU242" s="47">
        <f t="shared" si="183"/>
        <v>0</v>
      </c>
      <c r="AV242" s="46"/>
      <c r="AW242" s="47">
        <f t="shared" si="168"/>
        <v>0</v>
      </c>
      <c r="AX242" s="42"/>
      <c r="AY242" s="46"/>
      <c r="AZ242" s="46"/>
      <c r="BA242" s="46"/>
      <c r="BB242" s="46"/>
      <c r="BC242" s="47">
        <f t="shared" si="182"/>
        <v>0</v>
      </c>
      <c r="BD242" s="46"/>
      <c r="BE242" s="47">
        <f t="shared" si="184"/>
        <v>0</v>
      </c>
      <c r="BF242" s="42"/>
      <c r="BG242" s="46"/>
      <c r="BH242" s="46"/>
      <c r="BI242" s="46"/>
      <c r="BJ242" s="46"/>
      <c r="BK242" s="46">
        <f t="shared" si="192"/>
        <v>0</v>
      </c>
      <c r="BL242" s="46"/>
      <c r="BM242" s="47">
        <f t="shared" si="169"/>
        <v>0</v>
      </c>
      <c r="BN242" s="42"/>
      <c r="BO242" s="46"/>
      <c r="BP242" s="46"/>
      <c r="BQ242" s="46"/>
      <c r="BR242" s="46"/>
      <c r="BS242" s="46">
        <f t="shared" si="195"/>
        <v>0</v>
      </c>
      <c r="BT242" s="46"/>
      <c r="BU242" s="47">
        <f t="shared" si="173"/>
        <v>0</v>
      </c>
      <c r="BV242" s="42"/>
      <c r="BW242" s="46"/>
      <c r="BX242" s="46"/>
      <c r="BY242" s="46"/>
      <c r="BZ242" s="46"/>
      <c r="CA242" s="47"/>
      <c r="CB242" s="46"/>
      <c r="CC242" s="47">
        <f t="shared" si="174"/>
        <v>0</v>
      </c>
      <c r="CD242" s="42"/>
      <c r="CE242" s="46"/>
      <c r="CF242" s="46"/>
      <c r="CG242" s="46"/>
      <c r="CH242" s="46"/>
      <c r="CI242" s="47"/>
      <c r="CJ242" s="46"/>
      <c r="CK242" s="47">
        <f t="shared" si="175"/>
        <v>0</v>
      </c>
      <c r="CL242" s="46"/>
      <c r="CM242" s="46"/>
      <c r="CN242" s="46"/>
      <c r="CO242" s="46"/>
      <c r="CP242" s="46">
        <f t="shared" si="176"/>
        <v>0</v>
      </c>
      <c r="CQ242" s="46"/>
      <c r="CR242" s="47">
        <f t="shared" si="188"/>
        <v>0</v>
      </c>
      <c r="CS242" s="46"/>
      <c r="CT242" s="46"/>
      <c r="CU242" s="46"/>
      <c r="CV242" s="46"/>
      <c r="CW242" s="47">
        <f t="shared" si="161"/>
        <v>0</v>
      </c>
      <c r="CX242" s="46"/>
      <c r="CY242" s="47">
        <f t="shared" si="162"/>
        <v>0</v>
      </c>
      <c r="CZ242" s="46"/>
      <c r="DA242" s="46"/>
      <c r="DB242" s="46"/>
      <c r="DC242" s="46"/>
      <c r="DD242" s="64">
        <f t="shared" si="193"/>
        <v>0</v>
      </c>
      <c r="DE242" s="46"/>
      <c r="DF242" s="46">
        <f t="shared" si="171"/>
        <v>0</v>
      </c>
      <c r="DG242" s="46"/>
      <c r="DH242" s="46">
        <f t="shared" si="190"/>
        <v>0</v>
      </c>
      <c r="DI242" s="46"/>
      <c r="DJ242" s="46"/>
      <c r="DK242" s="47">
        <f t="shared" si="185"/>
        <v>0</v>
      </c>
      <c r="DL242" s="47">
        <f t="shared" si="155"/>
        <v>0</v>
      </c>
      <c r="DM242" s="46"/>
      <c r="DN242" s="46">
        <f t="shared" si="191"/>
        <v>0</v>
      </c>
      <c r="DO242" s="46"/>
      <c r="DP242" s="46">
        <f t="shared" si="196"/>
        <v>0</v>
      </c>
      <c r="DQ242" s="46"/>
      <c r="DR242" s="46">
        <f t="shared" si="189"/>
        <v>0</v>
      </c>
      <c r="DS242" s="46"/>
      <c r="DT242" s="46">
        <f t="shared" si="166"/>
        <v>0</v>
      </c>
      <c r="DU242" s="41"/>
      <c r="DV242" s="46">
        <f t="shared" si="172"/>
        <v>0</v>
      </c>
      <c r="DW242" s="45"/>
      <c r="DX242" s="47">
        <f t="shared" si="159"/>
        <v>0</v>
      </c>
      <c r="DY242" s="46"/>
      <c r="DZ242" s="46"/>
      <c r="EA242" s="46"/>
      <c r="EB242" s="46"/>
      <c r="EC242" s="46"/>
      <c r="ED242" s="46"/>
      <c r="EE242" s="47">
        <f t="shared" si="181"/>
        <v>0</v>
      </c>
      <c r="EF242" s="46"/>
      <c r="EG242" s="46"/>
      <c r="EH242" s="46"/>
      <c r="EI242" s="46"/>
      <c r="EJ242" s="46"/>
      <c r="EK242" s="47">
        <f t="shared" si="156"/>
        <v>0</v>
      </c>
      <c r="EL242" s="46">
        <f t="shared" si="157"/>
        <v>0</v>
      </c>
      <c r="EM242" s="46"/>
      <c r="EN242" s="46">
        <f t="shared" si="158"/>
        <v>0</v>
      </c>
      <c r="EO242" s="107"/>
      <c r="EP242" s="107"/>
      <c r="EQ242" s="107"/>
      <c r="ER242" s="107"/>
      <c r="ES242" s="107"/>
      <c r="ET242" s="107"/>
      <c r="EU242" s="107"/>
      <c r="EV242" s="107"/>
      <c r="EW242" s="107"/>
      <c r="EX242" s="107"/>
      <c r="EY242" s="107"/>
      <c r="EZ242" s="107"/>
      <c r="FA242" s="107"/>
      <c r="FB242" s="107"/>
      <c r="FC242" s="107"/>
      <c r="FD242" s="107"/>
      <c r="FE242" s="107"/>
      <c r="FF242" s="107"/>
      <c r="FG242" s="107"/>
      <c r="FH242" s="107"/>
      <c r="FI242" s="107"/>
      <c r="FJ242" s="107"/>
      <c r="FK242" s="107"/>
      <c r="FL242" s="107"/>
      <c r="FM242" s="107"/>
      <c r="FN242" s="107"/>
      <c r="FO242" s="107"/>
      <c r="FP242" s="107"/>
      <c r="FQ242" s="107"/>
      <c r="FR242" s="107"/>
      <c r="FS242" s="107"/>
      <c r="FT242" s="107"/>
      <c r="FU242" s="107"/>
      <c r="FV242" s="107"/>
      <c r="FW242" s="107"/>
      <c r="FX242" s="107"/>
      <c r="FY242" s="107"/>
    </row>
    <row r="243" spans="1:181" s="48" customFormat="1" ht="15" customHeight="1" x14ac:dyDescent="0.25">
      <c r="B243" s="41">
        <v>90</v>
      </c>
      <c r="C243" s="42"/>
      <c r="D243" s="43"/>
      <c r="E243" s="42"/>
      <c r="F243" s="42"/>
      <c r="G243" s="42"/>
      <c r="H243" s="42"/>
      <c r="I243" s="42"/>
      <c r="J243" s="42"/>
      <c r="K243" s="42"/>
      <c r="L243" s="42"/>
      <c r="M243" s="42"/>
      <c r="N243" s="41"/>
      <c r="O243" s="41"/>
      <c r="P243" s="42"/>
      <c r="Q243" s="45"/>
      <c r="R243" s="45"/>
      <c r="S243" s="42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>
        <f t="shared" si="153"/>
        <v>0</v>
      </c>
      <c r="AO243" s="46">
        <f t="shared" si="154"/>
        <v>0</v>
      </c>
      <c r="AP243" s="42" t="s">
        <v>118</v>
      </c>
      <c r="AQ243" s="46">
        <f t="shared" si="194"/>
        <v>0</v>
      </c>
      <c r="AR243" s="46"/>
      <c r="AS243" s="46"/>
      <c r="AT243" s="46"/>
      <c r="AU243" s="47">
        <f t="shared" si="183"/>
        <v>0</v>
      </c>
      <c r="AV243" s="46"/>
      <c r="AW243" s="47">
        <f t="shared" si="168"/>
        <v>0</v>
      </c>
      <c r="AX243" s="42" t="s">
        <v>113</v>
      </c>
      <c r="AY243" s="46">
        <f>25%*AQ243</f>
        <v>0</v>
      </c>
      <c r="AZ243" s="46"/>
      <c r="BA243" s="46"/>
      <c r="BB243" s="46"/>
      <c r="BC243" s="47">
        <f t="shared" si="182"/>
        <v>0</v>
      </c>
      <c r="BD243" s="46"/>
      <c r="BE243" s="47">
        <f t="shared" si="184"/>
        <v>0</v>
      </c>
      <c r="BF243" s="42"/>
      <c r="BG243" s="46"/>
      <c r="BH243" s="46"/>
      <c r="BI243" s="46"/>
      <c r="BJ243" s="46"/>
      <c r="BK243" s="46">
        <f t="shared" si="192"/>
        <v>0</v>
      </c>
      <c r="BL243" s="46"/>
      <c r="BM243" s="47">
        <f t="shared" si="169"/>
        <v>0</v>
      </c>
      <c r="BN243" s="42"/>
      <c r="BO243" s="46"/>
      <c r="BP243" s="46"/>
      <c r="BQ243" s="46"/>
      <c r="BR243" s="46"/>
      <c r="BS243" s="46">
        <f t="shared" si="195"/>
        <v>0</v>
      </c>
      <c r="BT243" s="46"/>
      <c r="BU243" s="47">
        <f t="shared" si="173"/>
        <v>0</v>
      </c>
      <c r="BV243" s="42"/>
      <c r="BW243" s="46"/>
      <c r="BX243" s="46"/>
      <c r="BY243" s="46"/>
      <c r="BZ243" s="46"/>
      <c r="CA243" s="47"/>
      <c r="CB243" s="46"/>
      <c r="CC243" s="47">
        <f t="shared" si="174"/>
        <v>0</v>
      </c>
      <c r="CD243" s="42"/>
      <c r="CE243" s="46"/>
      <c r="CF243" s="46"/>
      <c r="CG243" s="46"/>
      <c r="CH243" s="46"/>
      <c r="CI243" s="47"/>
      <c r="CJ243" s="46"/>
      <c r="CK243" s="47">
        <f t="shared" si="175"/>
        <v>0</v>
      </c>
      <c r="CL243" s="46"/>
      <c r="CM243" s="46"/>
      <c r="CN243" s="46"/>
      <c r="CO243" s="46"/>
      <c r="CP243" s="46">
        <f t="shared" si="176"/>
        <v>0</v>
      </c>
      <c r="CQ243" s="46"/>
      <c r="CR243" s="47">
        <f t="shared" si="188"/>
        <v>0</v>
      </c>
      <c r="CS243" s="46"/>
      <c r="CT243" s="46"/>
      <c r="CU243" s="46"/>
      <c r="CV243" s="46"/>
      <c r="CW243" s="47">
        <f t="shared" si="161"/>
        <v>0</v>
      </c>
      <c r="CX243" s="46"/>
      <c r="CY243" s="47">
        <f t="shared" si="162"/>
        <v>0</v>
      </c>
      <c r="CZ243" s="46"/>
      <c r="DA243" s="46"/>
      <c r="DB243" s="46"/>
      <c r="DC243" s="46"/>
      <c r="DD243" s="64">
        <f t="shared" si="193"/>
        <v>0</v>
      </c>
      <c r="DE243" s="46"/>
      <c r="DF243" s="46">
        <f t="shared" si="171"/>
        <v>0</v>
      </c>
      <c r="DG243" s="46"/>
      <c r="DH243" s="46"/>
      <c r="DI243" s="46"/>
      <c r="DJ243" s="46"/>
      <c r="DK243" s="47">
        <f t="shared" si="185"/>
        <v>0</v>
      </c>
      <c r="DL243" s="47">
        <f t="shared" si="155"/>
        <v>0</v>
      </c>
      <c r="DM243" s="46"/>
      <c r="DN243" s="46"/>
      <c r="DO243" s="46"/>
      <c r="DP243" s="46">
        <f t="shared" si="196"/>
        <v>0</v>
      </c>
      <c r="DQ243" s="46"/>
      <c r="DR243" s="46">
        <f t="shared" si="189"/>
        <v>0</v>
      </c>
      <c r="DS243" s="46"/>
      <c r="DT243" s="46">
        <f t="shared" si="166"/>
        <v>0</v>
      </c>
      <c r="DU243" s="41"/>
      <c r="DV243" s="46">
        <f t="shared" si="172"/>
        <v>0</v>
      </c>
      <c r="DW243" s="45"/>
      <c r="DX243" s="47">
        <f t="shared" si="159"/>
        <v>0</v>
      </c>
      <c r="DY243" s="46"/>
      <c r="DZ243" s="46"/>
      <c r="EA243" s="46"/>
      <c r="EB243" s="46"/>
      <c r="EC243" s="46"/>
      <c r="ED243" s="46"/>
      <c r="EE243" s="47">
        <f t="shared" si="181"/>
        <v>0</v>
      </c>
      <c r="EF243" s="46"/>
      <c r="EG243" s="46"/>
      <c r="EH243" s="46"/>
      <c r="EI243" s="46"/>
      <c r="EJ243" s="46"/>
      <c r="EK243" s="47">
        <f t="shared" si="156"/>
        <v>0</v>
      </c>
      <c r="EL243" s="46">
        <f t="shared" si="157"/>
        <v>0</v>
      </c>
      <c r="EM243" s="46"/>
      <c r="EN243" s="46">
        <f t="shared" si="158"/>
        <v>0</v>
      </c>
      <c r="EO243" s="107"/>
      <c r="EP243" s="107"/>
      <c r="EQ243" s="107"/>
      <c r="ER243" s="107"/>
      <c r="ES243" s="107"/>
      <c r="ET243" s="107"/>
      <c r="EU243" s="107"/>
      <c r="EV243" s="107"/>
      <c r="EW243" s="107"/>
      <c r="EX243" s="107"/>
      <c r="EY243" s="107"/>
      <c r="EZ243" s="107"/>
      <c r="FA243" s="107"/>
      <c r="FB243" s="107"/>
      <c r="FC243" s="107"/>
      <c r="FD243" s="107"/>
      <c r="FE243" s="107"/>
      <c r="FF243" s="107"/>
      <c r="FG243" s="107"/>
      <c r="FH243" s="107"/>
      <c r="FI243" s="107"/>
      <c r="FJ243" s="107"/>
      <c r="FK243" s="107"/>
      <c r="FL243" s="107"/>
      <c r="FM243" s="107"/>
      <c r="FN243" s="107"/>
      <c r="FO243" s="107"/>
      <c r="FP243" s="107"/>
      <c r="FQ243" s="107"/>
      <c r="FR243" s="107"/>
      <c r="FS243" s="107"/>
      <c r="FT243" s="107"/>
      <c r="FU243" s="107"/>
      <c r="FV243" s="107"/>
      <c r="FW243" s="107"/>
      <c r="FX243" s="107"/>
      <c r="FY243" s="107"/>
    </row>
    <row r="244" spans="1:181" ht="15" customHeight="1" x14ac:dyDescent="0.25">
      <c r="B244" s="41">
        <v>91</v>
      </c>
      <c r="C244" s="86"/>
      <c r="D244" s="87"/>
      <c r="E244" s="86"/>
      <c r="F244" s="86"/>
      <c r="G244" s="86"/>
      <c r="H244" s="86"/>
      <c r="I244" s="86"/>
      <c r="J244" s="86"/>
      <c r="K244" s="86"/>
      <c r="L244" s="86"/>
      <c r="M244" s="86"/>
      <c r="N244" s="88"/>
      <c r="O244" s="88"/>
      <c r="P244" s="86"/>
      <c r="Q244" s="89"/>
      <c r="R244" s="89"/>
      <c r="S244" s="42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>
        <f t="shared" si="153"/>
        <v>0</v>
      </c>
      <c r="AO244" s="90">
        <f t="shared" si="154"/>
        <v>0</v>
      </c>
      <c r="AP244" s="86" t="s">
        <v>111</v>
      </c>
      <c r="AQ244" s="46">
        <f t="shared" si="194"/>
        <v>0</v>
      </c>
      <c r="AR244" s="90"/>
      <c r="AS244" s="90"/>
      <c r="AT244" s="90"/>
      <c r="AU244" s="64">
        <f t="shared" si="183"/>
        <v>0</v>
      </c>
      <c r="AV244" s="90"/>
      <c r="AW244" s="64">
        <f t="shared" si="168"/>
        <v>0</v>
      </c>
      <c r="AX244" s="86"/>
      <c r="AY244" s="90"/>
      <c r="AZ244" s="90"/>
      <c r="BA244" s="90"/>
      <c r="BB244" s="90"/>
      <c r="BC244" s="64">
        <f t="shared" si="182"/>
        <v>0</v>
      </c>
      <c r="BD244" s="90"/>
      <c r="BE244" s="47">
        <f t="shared" si="184"/>
        <v>0</v>
      </c>
      <c r="BF244" s="86"/>
      <c r="BG244" s="90"/>
      <c r="BH244" s="90"/>
      <c r="BI244" s="90"/>
      <c r="BJ244" s="90"/>
      <c r="BK244" s="46">
        <f t="shared" si="192"/>
        <v>0</v>
      </c>
      <c r="BL244" s="90"/>
      <c r="BM244" s="64">
        <f t="shared" si="169"/>
        <v>0</v>
      </c>
      <c r="BN244" s="86"/>
      <c r="BO244" s="90"/>
      <c r="BP244" s="90"/>
      <c r="BQ244" s="90"/>
      <c r="BR244" s="90"/>
      <c r="BS244" s="46">
        <f t="shared" si="195"/>
        <v>0</v>
      </c>
      <c r="BT244" s="90"/>
      <c r="BU244" s="64">
        <f t="shared" si="173"/>
        <v>0</v>
      </c>
      <c r="BV244" s="86"/>
      <c r="BW244" s="90"/>
      <c r="BX244" s="90"/>
      <c r="BY244" s="90"/>
      <c r="BZ244" s="90"/>
      <c r="CA244" s="64"/>
      <c r="CB244" s="90"/>
      <c r="CC244" s="64">
        <f t="shared" si="174"/>
        <v>0</v>
      </c>
      <c r="CD244" s="86"/>
      <c r="CE244" s="90"/>
      <c r="CF244" s="90"/>
      <c r="CG244" s="90"/>
      <c r="CH244" s="90"/>
      <c r="CI244" s="64"/>
      <c r="CJ244" s="90"/>
      <c r="CK244" s="64">
        <f t="shared" si="175"/>
        <v>0</v>
      </c>
      <c r="CL244" s="90"/>
      <c r="CM244" s="90"/>
      <c r="CN244" s="90"/>
      <c r="CO244" s="90"/>
      <c r="CP244" s="46">
        <f t="shared" si="176"/>
        <v>0</v>
      </c>
      <c r="CQ244" s="90"/>
      <c r="CR244" s="64">
        <f t="shared" si="188"/>
        <v>0</v>
      </c>
      <c r="CS244" s="90"/>
      <c r="CT244" s="90"/>
      <c r="CU244" s="90"/>
      <c r="CV244" s="90"/>
      <c r="CW244" s="47">
        <f t="shared" si="161"/>
        <v>0</v>
      </c>
      <c r="CX244" s="90"/>
      <c r="CY244" s="47">
        <f t="shared" si="162"/>
        <v>0</v>
      </c>
      <c r="CZ244" s="90"/>
      <c r="DA244" s="90"/>
      <c r="DB244" s="90"/>
      <c r="DC244" s="90"/>
      <c r="DD244" s="64">
        <f t="shared" si="193"/>
        <v>0</v>
      </c>
      <c r="DE244" s="90"/>
      <c r="DF244" s="46">
        <f t="shared" si="171"/>
        <v>0</v>
      </c>
      <c r="DG244" s="90"/>
      <c r="DH244" s="46">
        <f>AQ244/2</f>
        <v>0</v>
      </c>
      <c r="DI244" s="90"/>
      <c r="DJ244" s="90"/>
      <c r="DK244" s="47">
        <f t="shared" si="185"/>
        <v>0</v>
      </c>
      <c r="DL244" s="64">
        <f t="shared" si="155"/>
        <v>0</v>
      </c>
      <c r="DM244" s="90"/>
      <c r="DN244" s="46">
        <f>7.5%*AQ244</f>
        <v>0</v>
      </c>
      <c r="DO244" s="90"/>
      <c r="DP244" s="90">
        <f t="shared" si="196"/>
        <v>0</v>
      </c>
      <c r="DQ244" s="90"/>
      <c r="DR244" s="90">
        <f t="shared" si="189"/>
        <v>0</v>
      </c>
      <c r="DS244" s="90"/>
      <c r="DT244" s="90">
        <f t="shared" si="166"/>
        <v>0</v>
      </c>
      <c r="DU244" s="88"/>
      <c r="DV244" s="90">
        <f t="shared" si="172"/>
        <v>0</v>
      </c>
      <c r="DW244" s="89"/>
      <c r="DX244" s="64">
        <f t="shared" si="159"/>
        <v>0</v>
      </c>
      <c r="DY244" s="90"/>
      <c r="DZ244" s="90"/>
      <c r="EA244" s="90"/>
      <c r="EB244" s="90"/>
      <c r="EC244" s="90"/>
      <c r="ED244" s="90"/>
      <c r="EE244" s="47">
        <f t="shared" si="181"/>
        <v>0</v>
      </c>
      <c r="EF244" s="90"/>
      <c r="EG244" s="90"/>
      <c r="EH244" s="90"/>
      <c r="EI244" s="90"/>
      <c r="EJ244" s="90"/>
      <c r="EK244" s="64">
        <f t="shared" si="156"/>
        <v>0</v>
      </c>
      <c r="EL244" s="90">
        <f t="shared" si="157"/>
        <v>0</v>
      </c>
      <c r="EM244" s="90"/>
      <c r="EN244" s="90">
        <f t="shared" si="158"/>
        <v>0</v>
      </c>
      <c r="EO244" s="110"/>
      <c r="EP244" s="110"/>
      <c r="EQ244" s="110"/>
      <c r="ER244" s="110"/>
      <c r="ES244" s="110"/>
      <c r="ET244" s="110"/>
      <c r="EU244" s="110"/>
      <c r="EV244" s="110"/>
      <c r="EW244" s="110"/>
      <c r="EX244" s="110"/>
      <c r="EY244" s="110"/>
      <c r="EZ244" s="110"/>
      <c r="FA244" s="110"/>
      <c r="FB244" s="110"/>
      <c r="FC244" s="110"/>
      <c r="FD244" s="110"/>
      <c r="FE244" s="110"/>
      <c r="FF244" s="110"/>
      <c r="FG244" s="110"/>
      <c r="FH244" s="110"/>
      <c r="FI244" s="110"/>
      <c r="FJ244" s="110"/>
      <c r="FK244" s="110"/>
      <c r="FL244" s="110"/>
      <c r="FM244" s="110"/>
      <c r="FN244" s="110"/>
      <c r="FO244" s="110"/>
      <c r="FP244" s="110"/>
      <c r="FQ244" s="110"/>
      <c r="FR244" s="110"/>
      <c r="FS244" s="110"/>
      <c r="FT244" s="110"/>
      <c r="FU244" s="110"/>
      <c r="FV244" s="110"/>
      <c r="FW244" s="110"/>
      <c r="FX244" s="110"/>
      <c r="FY244" s="110"/>
    </row>
    <row r="245" spans="1:181" ht="15" customHeight="1" x14ac:dyDescent="0.25">
      <c r="B245" s="41">
        <v>92</v>
      </c>
      <c r="C245" s="86"/>
      <c r="D245" s="87"/>
      <c r="E245" s="86"/>
      <c r="F245" s="86"/>
      <c r="G245" s="86"/>
      <c r="H245" s="86"/>
      <c r="I245" s="86"/>
      <c r="J245" s="86"/>
      <c r="K245" s="86"/>
      <c r="L245" s="86"/>
      <c r="M245" s="86"/>
      <c r="N245" s="88"/>
      <c r="O245" s="88"/>
      <c r="P245" s="86"/>
      <c r="Q245" s="89"/>
      <c r="R245" s="89"/>
      <c r="S245" s="86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>
        <f t="shared" si="153"/>
        <v>0</v>
      </c>
      <c r="AO245" s="90">
        <f t="shared" si="154"/>
        <v>0</v>
      </c>
      <c r="AP245" s="86" t="s">
        <v>111</v>
      </c>
      <c r="AQ245" s="46">
        <f t="shared" si="194"/>
        <v>0</v>
      </c>
      <c r="AR245" s="90"/>
      <c r="AS245" s="90"/>
      <c r="AT245" s="90"/>
      <c r="AU245" s="64">
        <f t="shared" si="183"/>
        <v>0</v>
      </c>
      <c r="AV245" s="90"/>
      <c r="AW245" s="64">
        <f t="shared" si="168"/>
        <v>0</v>
      </c>
      <c r="AX245" s="86"/>
      <c r="AY245" s="90"/>
      <c r="AZ245" s="90"/>
      <c r="BA245" s="90"/>
      <c r="BB245" s="90"/>
      <c r="BC245" s="64">
        <f t="shared" si="182"/>
        <v>0</v>
      </c>
      <c r="BD245" s="90"/>
      <c r="BE245" s="47">
        <f t="shared" si="184"/>
        <v>0</v>
      </c>
      <c r="BF245" s="86"/>
      <c r="BG245" s="90"/>
      <c r="BH245" s="90"/>
      <c r="BI245" s="90"/>
      <c r="BJ245" s="90"/>
      <c r="BK245" s="46">
        <f t="shared" si="192"/>
        <v>0</v>
      </c>
      <c r="BL245" s="90"/>
      <c r="BM245" s="64">
        <f t="shared" si="169"/>
        <v>0</v>
      </c>
      <c r="BN245" s="86"/>
      <c r="BO245" s="90"/>
      <c r="BP245" s="90"/>
      <c r="BQ245" s="90"/>
      <c r="BR245" s="90"/>
      <c r="BS245" s="46">
        <f t="shared" si="195"/>
        <v>0</v>
      </c>
      <c r="BT245" s="90"/>
      <c r="BU245" s="64">
        <f t="shared" si="173"/>
        <v>0</v>
      </c>
      <c r="BV245" s="86"/>
      <c r="BW245" s="90"/>
      <c r="BX245" s="90"/>
      <c r="BY245" s="90"/>
      <c r="BZ245" s="90"/>
      <c r="CA245" s="64"/>
      <c r="CB245" s="90"/>
      <c r="CC245" s="64">
        <f t="shared" si="174"/>
        <v>0</v>
      </c>
      <c r="CD245" s="86"/>
      <c r="CE245" s="90"/>
      <c r="CF245" s="90"/>
      <c r="CG245" s="90"/>
      <c r="CH245" s="90"/>
      <c r="CI245" s="64"/>
      <c r="CJ245" s="90"/>
      <c r="CK245" s="64">
        <f t="shared" si="175"/>
        <v>0</v>
      </c>
      <c r="CL245" s="90"/>
      <c r="CM245" s="90"/>
      <c r="CN245" s="90"/>
      <c r="CO245" s="90"/>
      <c r="CP245" s="46">
        <f t="shared" si="176"/>
        <v>0</v>
      </c>
      <c r="CQ245" s="90"/>
      <c r="CR245" s="64">
        <f t="shared" si="188"/>
        <v>0</v>
      </c>
      <c r="CS245" s="90"/>
      <c r="CT245" s="90"/>
      <c r="CU245" s="90"/>
      <c r="CV245" s="90"/>
      <c r="CW245" s="47">
        <f t="shared" si="161"/>
        <v>0</v>
      </c>
      <c r="CX245" s="90"/>
      <c r="CY245" s="47">
        <f t="shared" si="162"/>
        <v>0</v>
      </c>
      <c r="CZ245" s="90"/>
      <c r="DA245" s="90"/>
      <c r="DB245" s="90"/>
      <c r="DC245" s="90"/>
      <c r="DD245" s="64">
        <f t="shared" si="193"/>
        <v>0</v>
      </c>
      <c r="DE245" s="90"/>
      <c r="DF245" s="46">
        <f t="shared" si="171"/>
        <v>0</v>
      </c>
      <c r="DG245" s="90"/>
      <c r="DH245" s="46">
        <f>AQ245/2</f>
        <v>0</v>
      </c>
      <c r="DI245" s="90"/>
      <c r="DJ245" s="90"/>
      <c r="DK245" s="47">
        <f t="shared" si="185"/>
        <v>0</v>
      </c>
      <c r="DL245" s="64">
        <f t="shared" si="155"/>
        <v>0</v>
      </c>
      <c r="DM245" s="90"/>
      <c r="DN245" s="46">
        <f>7.5%*AQ245</f>
        <v>0</v>
      </c>
      <c r="DO245" s="90"/>
      <c r="DP245" s="90">
        <f t="shared" si="196"/>
        <v>0</v>
      </c>
      <c r="DQ245" s="90"/>
      <c r="DR245" s="90">
        <f t="shared" si="189"/>
        <v>0</v>
      </c>
      <c r="DS245" s="90"/>
      <c r="DT245" s="90">
        <f t="shared" si="166"/>
        <v>0</v>
      </c>
      <c r="DU245" s="88"/>
      <c r="DV245" s="90">
        <f t="shared" si="172"/>
        <v>0</v>
      </c>
      <c r="DW245" s="89"/>
      <c r="DX245" s="64">
        <f t="shared" si="159"/>
        <v>0</v>
      </c>
      <c r="DY245" s="90"/>
      <c r="DZ245" s="90"/>
      <c r="EA245" s="90"/>
      <c r="EB245" s="90"/>
      <c r="EC245" s="90"/>
      <c r="ED245" s="90"/>
      <c r="EE245" s="47">
        <f t="shared" si="181"/>
        <v>0</v>
      </c>
      <c r="EF245" s="90"/>
      <c r="EG245" s="90"/>
      <c r="EH245" s="90"/>
      <c r="EI245" s="90"/>
      <c r="EJ245" s="90"/>
      <c r="EK245" s="64">
        <f t="shared" si="156"/>
        <v>0</v>
      </c>
      <c r="EL245" s="90">
        <f t="shared" si="157"/>
        <v>0</v>
      </c>
      <c r="EM245" s="90"/>
      <c r="EN245" s="90">
        <f t="shared" si="158"/>
        <v>0</v>
      </c>
      <c r="EO245" s="110"/>
      <c r="EP245" s="110"/>
      <c r="EQ245" s="110"/>
      <c r="ER245" s="110"/>
      <c r="ES245" s="110"/>
      <c r="ET245" s="110"/>
      <c r="EU245" s="110"/>
      <c r="EV245" s="110"/>
      <c r="EW245" s="110"/>
      <c r="EX245" s="110"/>
      <c r="EY245" s="110"/>
      <c r="EZ245" s="110"/>
      <c r="FA245" s="110"/>
      <c r="FB245" s="110"/>
      <c r="FC245" s="110"/>
      <c r="FD245" s="110"/>
      <c r="FE245" s="110"/>
      <c r="FF245" s="110"/>
      <c r="FG245" s="110"/>
      <c r="FH245" s="110"/>
      <c r="FI245" s="110"/>
      <c r="FJ245" s="110"/>
      <c r="FK245" s="110"/>
      <c r="FL245" s="110"/>
      <c r="FM245" s="110"/>
      <c r="FN245" s="110"/>
      <c r="FO245" s="110"/>
      <c r="FP245" s="110"/>
      <c r="FQ245" s="110"/>
      <c r="FR245" s="110"/>
      <c r="FS245" s="110"/>
      <c r="FT245" s="110"/>
      <c r="FU245" s="110"/>
      <c r="FV245" s="110"/>
      <c r="FW245" s="110"/>
      <c r="FX245" s="110"/>
      <c r="FY245" s="110"/>
    </row>
    <row r="246" spans="1:181" ht="15" customHeight="1" x14ac:dyDescent="0.25">
      <c r="B246" s="41">
        <v>93</v>
      </c>
      <c r="C246" s="86"/>
      <c r="D246" s="87"/>
      <c r="E246" s="86"/>
      <c r="F246" s="86"/>
      <c r="G246" s="86"/>
      <c r="H246" s="86"/>
      <c r="I246" s="86"/>
      <c r="J246" s="86"/>
      <c r="K246" s="86"/>
      <c r="L246" s="86"/>
      <c r="M246" s="86"/>
      <c r="N246" s="88"/>
      <c r="O246" s="88"/>
      <c r="P246" s="86"/>
      <c r="Q246" s="89"/>
      <c r="R246" s="89"/>
      <c r="S246" s="86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>
        <f t="shared" si="153"/>
        <v>0</v>
      </c>
      <c r="AO246" s="90">
        <f t="shared" si="154"/>
        <v>0</v>
      </c>
      <c r="AP246" s="86" t="s">
        <v>111</v>
      </c>
      <c r="AQ246" s="46">
        <f t="shared" si="194"/>
        <v>0</v>
      </c>
      <c r="AR246" s="90"/>
      <c r="AS246" s="90"/>
      <c r="AT246" s="90"/>
      <c r="AU246" s="64">
        <f t="shared" si="183"/>
        <v>0</v>
      </c>
      <c r="AV246" s="90"/>
      <c r="AW246" s="64">
        <f t="shared" si="168"/>
        <v>0</v>
      </c>
      <c r="AX246" s="86" t="s">
        <v>113</v>
      </c>
      <c r="AY246" s="90">
        <f>25%*AQ246</f>
        <v>0</v>
      </c>
      <c r="AZ246" s="90"/>
      <c r="BA246" s="90"/>
      <c r="BB246" s="90"/>
      <c r="BC246" s="64">
        <f t="shared" si="182"/>
        <v>0</v>
      </c>
      <c r="BD246" s="90"/>
      <c r="BE246" s="47">
        <f t="shared" si="184"/>
        <v>0</v>
      </c>
      <c r="BF246" s="86"/>
      <c r="BG246" s="90"/>
      <c r="BH246" s="90"/>
      <c r="BI246" s="90"/>
      <c r="BJ246" s="90"/>
      <c r="BK246" s="46">
        <f t="shared" si="192"/>
        <v>0</v>
      </c>
      <c r="BL246" s="90"/>
      <c r="BM246" s="64">
        <f t="shared" si="169"/>
        <v>0</v>
      </c>
      <c r="BN246" s="86"/>
      <c r="BO246" s="90"/>
      <c r="BP246" s="90"/>
      <c r="BQ246" s="90"/>
      <c r="BR246" s="90"/>
      <c r="BS246" s="46">
        <f t="shared" si="195"/>
        <v>0</v>
      </c>
      <c r="BT246" s="90"/>
      <c r="BU246" s="64">
        <f t="shared" si="173"/>
        <v>0</v>
      </c>
      <c r="BV246" s="86"/>
      <c r="BW246" s="90"/>
      <c r="BX246" s="90"/>
      <c r="BY246" s="90"/>
      <c r="BZ246" s="90"/>
      <c r="CA246" s="64"/>
      <c r="CB246" s="90"/>
      <c r="CC246" s="64">
        <f t="shared" si="174"/>
        <v>0</v>
      </c>
      <c r="CD246" s="86"/>
      <c r="CE246" s="90"/>
      <c r="CF246" s="90"/>
      <c r="CG246" s="90"/>
      <c r="CH246" s="90"/>
      <c r="CI246" s="64"/>
      <c r="CJ246" s="90"/>
      <c r="CK246" s="64">
        <f t="shared" si="175"/>
        <v>0</v>
      </c>
      <c r="CL246" s="90"/>
      <c r="CM246" s="90"/>
      <c r="CN246" s="90"/>
      <c r="CO246" s="90"/>
      <c r="CP246" s="46">
        <f t="shared" si="176"/>
        <v>0</v>
      </c>
      <c r="CQ246" s="90"/>
      <c r="CR246" s="64">
        <f t="shared" si="188"/>
        <v>0</v>
      </c>
      <c r="CS246" s="90"/>
      <c r="CT246" s="90"/>
      <c r="CU246" s="90"/>
      <c r="CV246" s="90"/>
      <c r="CW246" s="47">
        <f t="shared" si="161"/>
        <v>0</v>
      </c>
      <c r="CX246" s="90"/>
      <c r="CY246" s="47">
        <f t="shared" si="162"/>
        <v>0</v>
      </c>
      <c r="CZ246" s="90"/>
      <c r="DA246" s="90"/>
      <c r="DB246" s="90"/>
      <c r="DC246" s="90"/>
      <c r="DD246" s="64">
        <f t="shared" si="193"/>
        <v>0</v>
      </c>
      <c r="DE246" s="90"/>
      <c r="DF246" s="46">
        <f t="shared" si="171"/>
        <v>0</v>
      </c>
      <c r="DG246" s="90"/>
      <c r="DH246" s="46">
        <f>AQ246/2</f>
        <v>0</v>
      </c>
      <c r="DI246" s="90"/>
      <c r="DJ246" s="90"/>
      <c r="DK246" s="47">
        <f t="shared" si="185"/>
        <v>0</v>
      </c>
      <c r="DL246" s="64">
        <f t="shared" si="155"/>
        <v>0</v>
      </c>
      <c r="DM246" s="90"/>
      <c r="DN246" s="46">
        <f>7.5%*AQ246</f>
        <v>0</v>
      </c>
      <c r="DO246" s="90"/>
      <c r="DP246" s="90">
        <f t="shared" si="196"/>
        <v>0</v>
      </c>
      <c r="DQ246" s="90"/>
      <c r="DR246" s="90">
        <f t="shared" si="189"/>
        <v>0</v>
      </c>
      <c r="DS246" s="90"/>
      <c r="DT246" s="90">
        <f t="shared" si="166"/>
        <v>0</v>
      </c>
      <c r="DU246" s="88"/>
      <c r="DV246" s="90">
        <f t="shared" si="172"/>
        <v>0</v>
      </c>
      <c r="DW246" s="89"/>
      <c r="DX246" s="64">
        <f t="shared" si="159"/>
        <v>0</v>
      </c>
      <c r="DY246" s="90"/>
      <c r="DZ246" s="90"/>
      <c r="EA246" s="90"/>
      <c r="EB246" s="90"/>
      <c r="EC246" s="90"/>
      <c r="ED246" s="90"/>
      <c r="EE246" s="47">
        <f t="shared" si="181"/>
        <v>0</v>
      </c>
      <c r="EF246" s="90"/>
      <c r="EG246" s="90"/>
      <c r="EH246" s="90"/>
      <c r="EI246" s="90"/>
      <c r="EJ246" s="90"/>
      <c r="EK246" s="64">
        <f t="shared" si="156"/>
        <v>0</v>
      </c>
      <c r="EL246" s="90">
        <f t="shared" si="157"/>
        <v>0</v>
      </c>
      <c r="EM246" s="90"/>
      <c r="EN246" s="90">
        <f t="shared" si="158"/>
        <v>0</v>
      </c>
      <c r="EO246" s="110"/>
      <c r="EP246" s="110"/>
      <c r="EQ246" s="110"/>
      <c r="ER246" s="110"/>
      <c r="ES246" s="110"/>
      <c r="ET246" s="110"/>
      <c r="EU246" s="110"/>
      <c r="EV246" s="110"/>
      <c r="EW246" s="110"/>
      <c r="EX246" s="110"/>
      <c r="EY246" s="110"/>
      <c r="EZ246" s="110"/>
      <c r="FA246" s="110"/>
      <c r="FB246" s="110"/>
      <c r="FC246" s="110"/>
      <c r="FD246" s="110"/>
      <c r="FE246" s="110"/>
      <c r="FF246" s="110"/>
      <c r="FG246" s="110"/>
      <c r="FH246" s="110"/>
      <c r="FI246" s="110"/>
      <c r="FJ246" s="110"/>
      <c r="FK246" s="110"/>
      <c r="FL246" s="110"/>
      <c r="FM246" s="110"/>
      <c r="FN246" s="110"/>
      <c r="FO246" s="110"/>
      <c r="FP246" s="110"/>
      <c r="FQ246" s="110"/>
      <c r="FR246" s="110"/>
      <c r="FS246" s="110"/>
      <c r="FT246" s="110"/>
      <c r="FU246" s="110"/>
      <c r="FV246" s="110"/>
      <c r="FW246" s="110"/>
      <c r="FX246" s="110"/>
      <c r="FY246" s="110"/>
    </row>
    <row r="247" spans="1:181" ht="15" customHeight="1" x14ac:dyDescent="0.25">
      <c r="B247" s="41">
        <v>94</v>
      </c>
      <c r="C247" s="86"/>
      <c r="D247" s="87"/>
      <c r="E247" s="86"/>
      <c r="F247" s="86"/>
      <c r="G247" s="86"/>
      <c r="H247" s="86"/>
      <c r="I247" s="86"/>
      <c r="J247" s="86"/>
      <c r="K247" s="86"/>
      <c r="L247" s="86"/>
      <c r="M247" s="86"/>
      <c r="N247" s="88"/>
      <c r="O247" s="88"/>
      <c r="P247" s="86"/>
      <c r="Q247" s="89"/>
      <c r="R247" s="89"/>
      <c r="S247" s="86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>
        <f t="shared" si="153"/>
        <v>0</v>
      </c>
      <c r="AO247" s="90">
        <f t="shared" si="154"/>
        <v>0</v>
      </c>
      <c r="AP247" s="86" t="s">
        <v>118</v>
      </c>
      <c r="AQ247" s="46">
        <f t="shared" si="194"/>
        <v>0</v>
      </c>
      <c r="AR247" s="90"/>
      <c r="AS247" s="90"/>
      <c r="AT247" s="90"/>
      <c r="AU247" s="64">
        <f t="shared" si="183"/>
        <v>0</v>
      </c>
      <c r="AV247" s="90"/>
      <c r="AW247" s="64">
        <f t="shared" si="168"/>
        <v>0</v>
      </c>
      <c r="AX247" s="86" t="s">
        <v>113</v>
      </c>
      <c r="AY247" s="90">
        <f>25%*AQ247</f>
        <v>0</v>
      </c>
      <c r="AZ247" s="90"/>
      <c r="BA247" s="90"/>
      <c r="BB247" s="90"/>
      <c r="BC247" s="64">
        <f t="shared" si="182"/>
        <v>0</v>
      </c>
      <c r="BD247" s="90"/>
      <c r="BE247" s="47">
        <f t="shared" si="184"/>
        <v>0</v>
      </c>
      <c r="BF247" s="86"/>
      <c r="BG247" s="90"/>
      <c r="BH247" s="90"/>
      <c r="BI247" s="90"/>
      <c r="BJ247" s="90"/>
      <c r="BK247" s="46">
        <f t="shared" si="192"/>
        <v>0</v>
      </c>
      <c r="BL247" s="90"/>
      <c r="BM247" s="64">
        <f t="shared" si="169"/>
        <v>0</v>
      </c>
      <c r="BN247" s="86"/>
      <c r="BO247" s="90"/>
      <c r="BP247" s="90"/>
      <c r="BQ247" s="90"/>
      <c r="BR247" s="90"/>
      <c r="BS247" s="46">
        <f t="shared" si="195"/>
        <v>0</v>
      </c>
      <c r="BT247" s="90"/>
      <c r="BU247" s="64">
        <f t="shared" si="173"/>
        <v>0</v>
      </c>
      <c r="BV247" s="86"/>
      <c r="BW247" s="90"/>
      <c r="BX247" s="90"/>
      <c r="BY247" s="90"/>
      <c r="BZ247" s="90"/>
      <c r="CA247" s="64"/>
      <c r="CB247" s="90"/>
      <c r="CC247" s="64">
        <f t="shared" si="174"/>
        <v>0</v>
      </c>
      <c r="CD247" s="86"/>
      <c r="CE247" s="90"/>
      <c r="CF247" s="90"/>
      <c r="CG247" s="90"/>
      <c r="CH247" s="90"/>
      <c r="CI247" s="64"/>
      <c r="CJ247" s="90"/>
      <c r="CK247" s="64">
        <f t="shared" si="175"/>
        <v>0</v>
      </c>
      <c r="CL247" s="90"/>
      <c r="CM247" s="90"/>
      <c r="CN247" s="90"/>
      <c r="CO247" s="90"/>
      <c r="CP247" s="46">
        <f t="shared" si="176"/>
        <v>0</v>
      </c>
      <c r="CQ247" s="90"/>
      <c r="CR247" s="64">
        <f t="shared" si="188"/>
        <v>0</v>
      </c>
      <c r="CS247" s="90"/>
      <c r="CT247" s="90"/>
      <c r="CU247" s="90"/>
      <c r="CV247" s="90"/>
      <c r="CW247" s="47">
        <f t="shared" si="161"/>
        <v>0</v>
      </c>
      <c r="CX247" s="90"/>
      <c r="CY247" s="47">
        <f t="shared" si="162"/>
        <v>0</v>
      </c>
      <c r="CZ247" s="90"/>
      <c r="DA247" s="90"/>
      <c r="DB247" s="90"/>
      <c r="DC247" s="90"/>
      <c r="DD247" s="64">
        <f t="shared" si="193"/>
        <v>0</v>
      </c>
      <c r="DE247" s="90"/>
      <c r="DF247" s="46">
        <f t="shared" si="171"/>
        <v>0</v>
      </c>
      <c r="DG247" s="90"/>
      <c r="DH247" s="46"/>
      <c r="DI247" s="90"/>
      <c r="DJ247" s="90"/>
      <c r="DK247" s="47">
        <f t="shared" si="185"/>
        <v>0</v>
      </c>
      <c r="DL247" s="64">
        <f t="shared" si="155"/>
        <v>0</v>
      </c>
      <c r="DM247" s="90"/>
      <c r="DN247" s="46"/>
      <c r="DO247" s="90"/>
      <c r="DP247" s="90">
        <f t="shared" si="196"/>
        <v>0</v>
      </c>
      <c r="DQ247" s="90"/>
      <c r="DR247" s="90">
        <f t="shared" si="189"/>
        <v>0</v>
      </c>
      <c r="DS247" s="90"/>
      <c r="DT247" s="90">
        <f t="shared" si="166"/>
        <v>0</v>
      </c>
      <c r="DU247" s="88"/>
      <c r="DV247" s="90">
        <f t="shared" si="172"/>
        <v>0</v>
      </c>
      <c r="DW247" s="89"/>
      <c r="DX247" s="64">
        <f t="shared" si="159"/>
        <v>0</v>
      </c>
      <c r="DY247" s="90"/>
      <c r="DZ247" s="90"/>
      <c r="EA247" s="47"/>
      <c r="EB247" s="90"/>
      <c r="EC247" s="90"/>
      <c r="ED247" s="90"/>
      <c r="EE247" s="47">
        <f t="shared" si="181"/>
        <v>0</v>
      </c>
      <c r="EF247" s="90"/>
      <c r="EG247" s="90"/>
      <c r="EH247" s="90"/>
      <c r="EI247" s="90"/>
      <c r="EJ247" s="90"/>
      <c r="EK247" s="64">
        <f t="shared" si="156"/>
        <v>0</v>
      </c>
      <c r="EL247" s="90">
        <f t="shared" si="157"/>
        <v>0</v>
      </c>
      <c r="EM247" s="90"/>
      <c r="EN247" s="90">
        <f t="shared" si="158"/>
        <v>0</v>
      </c>
      <c r="EO247" s="110"/>
      <c r="EP247" s="110"/>
      <c r="EQ247" s="110"/>
      <c r="ER247" s="110"/>
      <c r="ES247" s="110"/>
      <c r="ET247" s="110"/>
      <c r="EU247" s="110"/>
      <c r="EV247" s="110"/>
      <c r="EW247" s="110"/>
      <c r="EX247" s="110"/>
      <c r="EY247" s="110"/>
      <c r="EZ247" s="110"/>
      <c r="FA247" s="110"/>
      <c r="FB247" s="110"/>
      <c r="FC247" s="110"/>
      <c r="FD247" s="110"/>
      <c r="FE247" s="110"/>
      <c r="FF247" s="110"/>
      <c r="FG247" s="110"/>
      <c r="FH247" s="110"/>
      <c r="FI247" s="110"/>
      <c r="FJ247" s="110"/>
      <c r="FK247" s="110"/>
      <c r="FL247" s="110"/>
      <c r="FM247" s="110"/>
      <c r="FN247" s="110"/>
      <c r="FO247" s="110"/>
      <c r="FP247" s="110"/>
      <c r="FQ247" s="110"/>
      <c r="FR247" s="110"/>
      <c r="FS247" s="110"/>
      <c r="FT247" s="110"/>
      <c r="FU247" s="110"/>
      <c r="FV247" s="110"/>
      <c r="FW247" s="110"/>
      <c r="FX247" s="110"/>
      <c r="FY247" s="110"/>
    </row>
    <row r="248" spans="1:181" ht="15" customHeight="1" x14ac:dyDescent="0.25">
      <c r="B248" s="41">
        <v>95</v>
      </c>
      <c r="C248" s="86"/>
      <c r="D248" s="87"/>
      <c r="E248" s="86"/>
      <c r="F248" s="86"/>
      <c r="G248" s="86"/>
      <c r="H248" s="86"/>
      <c r="I248" s="86"/>
      <c r="J248" s="86"/>
      <c r="K248" s="86"/>
      <c r="L248" s="86"/>
      <c r="M248" s="86"/>
      <c r="N248" s="88"/>
      <c r="O248" s="88"/>
      <c r="P248" s="86"/>
      <c r="Q248" s="89"/>
      <c r="R248" s="89"/>
      <c r="S248" s="86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>
        <f t="shared" si="153"/>
        <v>0</v>
      </c>
      <c r="AO248" s="90">
        <f t="shared" si="154"/>
        <v>0</v>
      </c>
      <c r="AP248" s="86" t="s">
        <v>125</v>
      </c>
      <c r="AQ248" s="46"/>
      <c r="AR248" s="90"/>
      <c r="AS248" s="90"/>
      <c r="AT248" s="90"/>
      <c r="AU248" s="64">
        <f t="shared" si="183"/>
        <v>0</v>
      </c>
      <c r="AV248" s="90"/>
      <c r="AW248" s="64">
        <f t="shared" si="168"/>
        <v>0</v>
      </c>
      <c r="AX248" s="86"/>
      <c r="AY248" s="90"/>
      <c r="AZ248" s="90"/>
      <c r="BA248" s="90"/>
      <c r="BB248" s="90"/>
      <c r="BC248" s="64">
        <f t="shared" si="182"/>
        <v>0</v>
      </c>
      <c r="BD248" s="90"/>
      <c r="BE248" s="47">
        <f t="shared" si="184"/>
        <v>0</v>
      </c>
      <c r="BF248" s="86"/>
      <c r="BG248" s="90"/>
      <c r="BH248" s="90"/>
      <c r="BI248" s="90"/>
      <c r="BJ248" s="90"/>
      <c r="BK248" s="46">
        <f t="shared" si="192"/>
        <v>0</v>
      </c>
      <c r="BL248" s="90"/>
      <c r="BM248" s="64">
        <f t="shared" si="169"/>
        <v>0</v>
      </c>
      <c r="BN248" s="86"/>
      <c r="BO248" s="90"/>
      <c r="BP248" s="90"/>
      <c r="BQ248" s="90"/>
      <c r="BR248" s="90"/>
      <c r="BS248" s="46">
        <f t="shared" si="195"/>
        <v>0</v>
      </c>
      <c r="BT248" s="90"/>
      <c r="BU248" s="64">
        <f t="shared" si="173"/>
        <v>0</v>
      </c>
      <c r="BV248" s="86"/>
      <c r="BW248" s="90"/>
      <c r="BX248" s="90"/>
      <c r="BY248" s="90"/>
      <c r="BZ248" s="90"/>
      <c r="CA248" s="64"/>
      <c r="CB248" s="90"/>
      <c r="CC248" s="64">
        <f t="shared" si="174"/>
        <v>0</v>
      </c>
      <c r="CD248" s="86"/>
      <c r="CE248" s="90"/>
      <c r="CF248" s="90"/>
      <c r="CG248" s="90"/>
      <c r="CH248" s="90"/>
      <c r="CI248" s="64"/>
      <c r="CJ248" s="90"/>
      <c r="CK248" s="64">
        <f t="shared" si="175"/>
        <v>0</v>
      </c>
      <c r="CL248" s="90"/>
      <c r="CM248" s="90"/>
      <c r="CN248" s="90"/>
      <c r="CO248" s="90"/>
      <c r="CP248" s="46">
        <f t="shared" si="176"/>
        <v>0</v>
      </c>
      <c r="CQ248" s="90"/>
      <c r="CR248" s="64">
        <f t="shared" si="188"/>
        <v>0</v>
      </c>
      <c r="CS248" s="90"/>
      <c r="CT248" s="90"/>
      <c r="CU248" s="90"/>
      <c r="CV248" s="90"/>
      <c r="CW248" s="47">
        <f t="shared" si="161"/>
        <v>0</v>
      </c>
      <c r="CX248" s="90"/>
      <c r="CY248" s="47">
        <f t="shared" si="162"/>
        <v>0</v>
      </c>
      <c r="CZ248" s="90"/>
      <c r="DA248" s="90"/>
      <c r="DB248" s="90"/>
      <c r="DC248" s="90"/>
      <c r="DD248" s="64">
        <f t="shared" si="193"/>
        <v>0</v>
      </c>
      <c r="DE248" s="90"/>
      <c r="DF248" s="46">
        <f t="shared" si="171"/>
        <v>0</v>
      </c>
      <c r="DG248" s="90"/>
      <c r="DH248" s="46"/>
      <c r="DI248" s="90"/>
      <c r="DJ248" s="90"/>
      <c r="DK248" s="47">
        <f t="shared" si="185"/>
        <v>0</v>
      </c>
      <c r="DL248" s="64">
        <f t="shared" si="155"/>
        <v>0</v>
      </c>
      <c r="DM248" s="90"/>
      <c r="DN248" s="46"/>
      <c r="DO248" s="90"/>
      <c r="DP248" s="90">
        <f t="shared" si="196"/>
        <v>0</v>
      </c>
      <c r="DQ248" s="90"/>
      <c r="DR248" s="90">
        <f t="shared" si="189"/>
        <v>0</v>
      </c>
      <c r="DS248" s="90"/>
      <c r="DT248" s="90">
        <f t="shared" si="166"/>
        <v>0</v>
      </c>
      <c r="DU248" s="88"/>
      <c r="DV248" s="90">
        <f t="shared" si="172"/>
        <v>0</v>
      </c>
      <c r="DW248" s="89"/>
      <c r="DX248" s="64">
        <f t="shared" si="159"/>
        <v>0</v>
      </c>
      <c r="DY248" s="90"/>
      <c r="DZ248" s="90"/>
      <c r="EA248" s="47"/>
      <c r="EB248" s="90"/>
      <c r="EC248" s="90"/>
      <c r="ED248" s="90"/>
      <c r="EE248" s="47">
        <f t="shared" si="181"/>
        <v>0</v>
      </c>
      <c r="EF248" s="90"/>
      <c r="EG248" s="90"/>
      <c r="EH248" s="90"/>
      <c r="EI248" s="90"/>
      <c r="EJ248" s="90"/>
      <c r="EK248" s="64">
        <f t="shared" si="156"/>
        <v>0</v>
      </c>
      <c r="EL248" s="90">
        <f t="shared" si="157"/>
        <v>0</v>
      </c>
      <c r="EM248" s="90"/>
      <c r="EN248" s="90">
        <f t="shared" si="158"/>
        <v>0</v>
      </c>
      <c r="EO248" s="110"/>
      <c r="EP248" s="110"/>
      <c r="EQ248" s="110"/>
      <c r="ER248" s="110"/>
      <c r="ES248" s="110"/>
      <c r="ET248" s="110"/>
      <c r="EU248" s="110"/>
      <c r="EV248" s="110"/>
      <c r="EW248" s="110"/>
      <c r="EX248" s="110"/>
      <c r="EY248" s="110"/>
      <c r="EZ248" s="110"/>
      <c r="FA248" s="110"/>
      <c r="FB248" s="110"/>
      <c r="FC248" s="110"/>
      <c r="FD248" s="110"/>
      <c r="FE248" s="110"/>
      <c r="FF248" s="110"/>
      <c r="FG248" s="110"/>
      <c r="FH248" s="110"/>
      <c r="FI248" s="110"/>
      <c r="FJ248" s="110"/>
      <c r="FK248" s="110"/>
      <c r="FL248" s="110"/>
      <c r="FM248" s="110"/>
      <c r="FN248" s="110"/>
      <c r="FO248" s="110"/>
      <c r="FP248" s="110"/>
      <c r="FQ248" s="110"/>
      <c r="FR248" s="110"/>
      <c r="FS248" s="110"/>
      <c r="FT248" s="110"/>
      <c r="FU248" s="110"/>
      <c r="FV248" s="110"/>
      <c r="FW248" s="110"/>
      <c r="FX248" s="110"/>
      <c r="FY248" s="110"/>
    </row>
    <row r="249" spans="1:181" ht="15" customHeight="1" x14ac:dyDescent="0.25">
      <c r="B249" s="41">
        <v>96</v>
      </c>
      <c r="C249" s="86"/>
      <c r="D249" s="87"/>
      <c r="E249" s="86"/>
      <c r="F249" s="86"/>
      <c r="G249" s="86"/>
      <c r="H249" s="86"/>
      <c r="I249" s="86"/>
      <c r="J249" s="86"/>
      <c r="K249" s="86"/>
      <c r="L249" s="86"/>
      <c r="M249" s="86"/>
      <c r="N249" s="88"/>
      <c r="O249" s="88"/>
      <c r="P249" s="86"/>
      <c r="Q249" s="89"/>
      <c r="R249" s="89"/>
      <c r="S249" s="86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>
        <f t="shared" si="153"/>
        <v>0</v>
      </c>
      <c r="AO249" s="90">
        <f t="shared" si="154"/>
        <v>0</v>
      </c>
      <c r="AP249" s="86" t="s">
        <v>111</v>
      </c>
      <c r="AQ249" s="46">
        <f>20%*AO249</f>
        <v>0</v>
      </c>
      <c r="AR249" s="90"/>
      <c r="AS249" s="90"/>
      <c r="AT249" s="90"/>
      <c r="AU249" s="64">
        <f t="shared" si="183"/>
        <v>0</v>
      </c>
      <c r="AV249" s="90"/>
      <c r="AW249" s="64">
        <f t="shared" si="168"/>
        <v>0</v>
      </c>
      <c r="AX249" s="86" t="s">
        <v>113</v>
      </c>
      <c r="AY249" s="90">
        <f>25%*AQ249</f>
        <v>0</v>
      </c>
      <c r="AZ249" s="90"/>
      <c r="BA249" s="90"/>
      <c r="BB249" s="90"/>
      <c r="BC249" s="64">
        <f t="shared" si="182"/>
        <v>0</v>
      </c>
      <c r="BD249" s="90"/>
      <c r="BE249" s="47">
        <f t="shared" si="184"/>
        <v>0</v>
      </c>
      <c r="BF249" s="86"/>
      <c r="BG249" s="90"/>
      <c r="BH249" s="90"/>
      <c r="BI249" s="90"/>
      <c r="BJ249" s="90"/>
      <c r="BK249" s="46">
        <f t="shared" si="192"/>
        <v>0</v>
      </c>
      <c r="BL249" s="90"/>
      <c r="BM249" s="64">
        <f t="shared" si="169"/>
        <v>0</v>
      </c>
      <c r="BN249" s="86"/>
      <c r="BO249" s="90"/>
      <c r="BP249" s="90"/>
      <c r="BQ249" s="90"/>
      <c r="BR249" s="90"/>
      <c r="BS249" s="46">
        <f t="shared" si="195"/>
        <v>0</v>
      </c>
      <c r="BT249" s="90"/>
      <c r="BU249" s="64">
        <f t="shared" si="173"/>
        <v>0</v>
      </c>
      <c r="BV249" s="86"/>
      <c r="BW249" s="90"/>
      <c r="BX249" s="90"/>
      <c r="BY249" s="90"/>
      <c r="BZ249" s="90"/>
      <c r="CA249" s="64"/>
      <c r="CB249" s="90"/>
      <c r="CC249" s="64">
        <f t="shared" si="174"/>
        <v>0</v>
      </c>
      <c r="CD249" s="86"/>
      <c r="CE249" s="90"/>
      <c r="CF249" s="90"/>
      <c r="CG249" s="90"/>
      <c r="CH249" s="90"/>
      <c r="CI249" s="64"/>
      <c r="CJ249" s="90"/>
      <c r="CK249" s="64">
        <f t="shared" si="175"/>
        <v>0</v>
      </c>
      <c r="CL249" s="90"/>
      <c r="CM249" s="90"/>
      <c r="CN249" s="90"/>
      <c r="CO249" s="90"/>
      <c r="CP249" s="46">
        <f t="shared" si="176"/>
        <v>0</v>
      </c>
      <c r="CQ249" s="90"/>
      <c r="CR249" s="64">
        <f t="shared" si="188"/>
        <v>0</v>
      </c>
      <c r="CS249" s="90"/>
      <c r="CT249" s="90"/>
      <c r="CU249" s="90"/>
      <c r="CV249" s="90"/>
      <c r="CW249" s="47">
        <f t="shared" si="161"/>
        <v>0</v>
      </c>
      <c r="CX249" s="90"/>
      <c r="CY249" s="47">
        <f t="shared" si="162"/>
        <v>0</v>
      </c>
      <c r="CZ249" s="90"/>
      <c r="DA249" s="90"/>
      <c r="DB249" s="90"/>
      <c r="DC249" s="90"/>
      <c r="DD249" s="64">
        <f t="shared" si="193"/>
        <v>0</v>
      </c>
      <c r="DE249" s="90"/>
      <c r="DF249" s="46">
        <f t="shared" si="171"/>
        <v>0</v>
      </c>
      <c r="DG249" s="90"/>
      <c r="DH249" s="46">
        <f t="shared" ref="DH249:DH281" si="197">AQ249/2</f>
        <v>0</v>
      </c>
      <c r="DI249" s="90"/>
      <c r="DJ249" s="90"/>
      <c r="DK249" s="47">
        <f t="shared" si="185"/>
        <v>0</v>
      </c>
      <c r="DL249" s="64">
        <f t="shared" si="155"/>
        <v>0</v>
      </c>
      <c r="DM249" s="90"/>
      <c r="DN249" s="46">
        <f t="shared" ref="DN249:DN281" si="198">7.5%*AQ249</f>
        <v>0</v>
      </c>
      <c r="DO249" s="90"/>
      <c r="DP249" s="90">
        <f t="shared" si="196"/>
        <v>0</v>
      </c>
      <c r="DQ249" s="90"/>
      <c r="DR249" s="90">
        <f t="shared" si="189"/>
        <v>0</v>
      </c>
      <c r="DS249" s="90"/>
      <c r="DT249" s="90">
        <f t="shared" si="166"/>
        <v>0</v>
      </c>
      <c r="DU249" s="88"/>
      <c r="DV249" s="90">
        <f t="shared" si="172"/>
        <v>0</v>
      </c>
      <c r="DW249" s="89"/>
      <c r="DX249" s="64">
        <f t="shared" si="159"/>
        <v>0</v>
      </c>
      <c r="DY249" s="90"/>
      <c r="DZ249" s="90"/>
      <c r="EA249" s="90"/>
      <c r="EB249" s="90"/>
      <c r="EC249" s="90"/>
      <c r="ED249" s="90"/>
      <c r="EE249" s="47">
        <f t="shared" si="181"/>
        <v>0</v>
      </c>
      <c r="EF249" s="90"/>
      <c r="EG249" s="90"/>
      <c r="EH249" s="90"/>
      <c r="EI249" s="90"/>
      <c r="EJ249" s="90"/>
      <c r="EK249" s="64">
        <f t="shared" si="156"/>
        <v>0</v>
      </c>
      <c r="EL249" s="90">
        <f t="shared" si="157"/>
        <v>0</v>
      </c>
      <c r="EM249" s="90"/>
      <c r="EN249" s="90">
        <f t="shared" si="158"/>
        <v>0</v>
      </c>
      <c r="EO249" s="110"/>
      <c r="EP249" s="110"/>
      <c r="EQ249" s="110"/>
      <c r="ER249" s="110"/>
      <c r="ES249" s="110"/>
      <c r="ET249" s="110"/>
      <c r="EU249" s="110"/>
      <c r="EV249" s="110"/>
      <c r="EW249" s="110"/>
      <c r="EX249" s="110"/>
      <c r="EY249" s="110"/>
      <c r="EZ249" s="110"/>
      <c r="FA249" s="110"/>
      <c r="FB249" s="110"/>
      <c r="FC249" s="110"/>
      <c r="FD249" s="110"/>
      <c r="FE249" s="110"/>
      <c r="FF249" s="110"/>
      <c r="FG249" s="110"/>
      <c r="FH249" s="110"/>
      <c r="FI249" s="110"/>
      <c r="FJ249" s="110"/>
      <c r="FK249" s="110"/>
      <c r="FL249" s="110"/>
      <c r="FM249" s="110"/>
      <c r="FN249" s="110"/>
      <c r="FO249" s="110"/>
      <c r="FP249" s="110"/>
      <c r="FQ249" s="110"/>
      <c r="FR249" s="110"/>
      <c r="FS249" s="110"/>
      <c r="FT249" s="110"/>
      <c r="FU249" s="110"/>
      <c r="FV249" s="110"/>
      <c r="FW249" s="110"/>
      <c r="FX249" s="110"/>
      <c r="FY249" s="110"/>
    </row>
    <row r="250" spans="1:181" ht="15" customHeight="1" x14ac:dyDescent="0.25">
      <c r="B250" s="41">
        <v>97</v>
      </c>
      <c r="C250" s="86"/>
      <c r="D250" s="87"/>
      <c r="E250" s="86"/>
      <c r="F250" s="86"/>
      <c r="G250" s="86"/>
      <c r="H250" s="86"/>
      <c r="I250" s="86"/>
      <c r="J250" s="86"/>
      <c r="K250" s="86"/>
      <c r="L250" s="86"/>
      <c r="M250" s="86"/>
      <c r="N250" s="88"/>
      <c r="O250" s="88"/>
      <c r="P250" s="86"/>
      <c r="Q250" s="89"/>
      <c r="R250" s="89"/>
      <c r="S250" s="86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>
        <f t="shared" si="153"/>
        <v>0</v>
      </c>
      <c r="AO250" s="90">
        <f t="shared" si="154"/>
        <v>0</v>
      </c>
      <c r="AP250" s="86" t="s">
        <v>114</v>
      </c>
      <c r="AQ250" s="46">
        <f>20%*AO250</f>
        <v>0</v>
      </c>
      <c r="AR250" s="90"/>
      <c r="AS250" s="90"/>
      <c r="AT250" s="90"/>
      <c r="AU250" s="64">
        <f t="shared" si="183"/>
        <v>0</v>
      </c>
      <c r="AV250" s="90"/>
      <c r="AW250" s="64">
        <f t="shared" si="168"/>
        <v>0</v>
      </c>
      <c r="AX250" s="86"/>
      <c r="AY250" s="90"/>
      <c r="AZ250" s="90"/>
      <c r="BA250" s="90"/>
      <c r="BB250" s="90"/>
      <c r="BC250" s="64">
        <f t="shared" si="182"/>
        <v>0</v>
      </c>
      <c r="BD250" s="90"/>
      <c r="BE250" s="47">
        <f t="shared" si="184"/>
        <v>0</v>
      </c>
      <c r="BF250" s="86"/>
      <c r="BG250" s="90"/>
      <c r="BH250" s="90"/>
      <c r="BI250" s="90"/>
      <c r="BJ250" s="90"/>
      <c r="BK250" s="46">
        <f t="shared" si="192"/>
        <v>0</v>
      </c>
      <c r="BL250" s="90"/>
      <c r="BM250" s="64">
        <f t="shared" si="169"/>
        <v>0</v>
      </c>
      <c r="BN250" s="86"/>
      <c r="BO250" s="90"/>
      <c r="BP250" s="90"/>
      <c r="BQ250" s="90"/>
      <c r="BR250" s="90"/>
      <c r="BS250" s="46">
        <f t="shared" si="195"/>
        <v>0</v>
      </c>
      <c r="BT250" s="90"/>
      <c r="BU250" s="64">
        <f t="shared" si="173"/>
        <v>0</v>
      </c>
      <c r="BV250" s="86"/>
      <c r="BW250" s="90"/>
      <c r="BX250" s="90"/>
      <c r="BY250" s="90"/>
      <c r="BZ250" s="90"/>
      <c r="CA250" s="64"/>
      <c r="CB250" s="90"/>
      <c r="CC250" s="64">
        <f t="shared" si="174"/>
        <v>0</v>
      </c>
      <c r="CD250" s="86"/>
      <c r="CE250" s="90"/>
      <c r="CF250" s="90"/>
      <c r="CG250" s="90"/>
      <c r="CH250" s="90"/>
      <c r="CI250" s="64"/>
      <c r="CJ250" s="90"/>
      <c r="CK250" s="64">
        <f t="shared" si="175"/>
        <v>0</v>
      </c>
      <c r="CL250" s="90"/>
      <c r="CM250" s="90"/>
      <c r="CN250" s="90"/>
      <c r="CO250" s="90"/>
      <c r="CP250" s="46">
        <f t="shared" si="176"/>
        <v>0</v>
      </c>
      <c r="CQ250" s="90"/>
      <c r="CR250" s="64">
        <f t="shared" si="188"/>
        <v>0</v>
      </c>
      <c r="CS250" s="90"/>
      <c r="CT250" s="90"/>
      <c r="CU250" s="90"/>
      <c r="CV250" s="90"/>
      <c r="CW250" s="47">
        <f t="shared" si="161"/>
        <v>0</v>
      </c>
      <c r="CX250" s="90"/>
      <c r="CY250" s="47">
        <f t="shared" si="162"/>
        <v>0</v>
      </c>
      <c r="CZ250" s="90"/>
      <c r="DA250" s="90"/>
      <c r="DB250" s="90"/>
      <c r="DC250" s="90"/>
      <c r="DD250" s="64">
        <f t="shared" si="193"/>
        <v>0</v>
      </c>
      <c r="DE250" s="90"/>
      <c r="DF250" s="46">
        <f t="shared" si="171"/>
        <v>0</v>
      </c>
      <c r="DG250" s="90"/>
      <c r="DH250" s="46">
        <f t="shared" si="197"/>
        <v>0</v>
      </c>
      <c r="DI250" s="90"/>
      <c r="DJ250" s="90"/>
      <c r="DK250" s="64">
        <f t="shared" si="185"/>
        <v>0</v>
      </c>
      <c r="DL250" s="64">
        <f t="shared" si="155"/>
        <v>0</v>
      </c>
      <c r="DM250" s="90"/>
      <c r="DN250" s="46">
        <f t="shared" si="198"/>
        <v>0</v>
      </c>
      <c r="DO250" s="90"/>
      <c r="DP250" s="90">
        <f t="shared" si="196"/>
        <v>0</v>
      </c>
      <c r="DQ250" s="90"/>
      <c r="DR250" s="90">
        <f t="shared" si="189"/>
        <v>0</v>
      </c>
      <c r="DS250" s="90"/>
      <c r="DT250" s="90">
        <f t="shared" si="166"/>
        <v>0</v>
      </c>
      <c r="DU250" s="88"/>
      <c r="DV250" s="90">
        <f t="shared" si="172"/>
        <v>0</v>
      </c>
      <c r="DW250" s="89"/>
      <c r="DX250" s="64">
        <f t="shared" si="159"/>
        <v>0</v>
      </c>
      <c r="DY250" s="90"/>
      <c r="DZ250" s="90"/>
      <c r="EA250" s="90"/>
      <c r="EB250" s="90"/>
      <c r="EC250" s="90"/>
      <c r="ED250" s="90"/>
      <c r="EE250" s="47">
        <f t="shared" si="181"/>
        <v>0</v>
      </c>
      <c r="EF250" s="90"/>
      <c r="EG250" s="90"/>
      <c r="EH250" s="90"/>
      <c r="EI250" s="90"/>
      <c r="EJ250" s="90"/>
      <c r="EK250" s="64">
        <f t="shared" si="156"/>
        <v>0</v>
      </c>
      <c r="EL250" s="90">
        <f t="shared" si="157"/>
        <v>0</v>
      </c>
      <c r="EM250" s="90"/>
      <c r="EN250" s="90">
        <f t="shared" si="158"/>
        <v>0</v>
      </c>
      <c r="EO250" s="110"/>
      <c r="EP250" s="110"/>
      <c r="EQ250" s="110"/>
      <c r="ER250" s="110"/>
      <c r="ES250" s="110"/>
      <c r="ET250" s="110"/>
      <c r="EU250" s="110"/>
      <c r="EV250" s="110"/>
      <c r="EW250" s="110"/>
      <c r="EX250" s="110"/>
      <c r="EY250" s="110"/>
      <c r="EZ250" s="110"/>
      <c r="FA250" s="110"/>
      <c r="FB250" s="110"/>
      <c r="FC250" s="110"/>
      <c r="FD250" s="110"/>
      <c r="FE250" s="110"/>
      <c r="FF250" s="110"/>
      <c r="FG250" s="110"/>
      <c r="FH250" s="110"/>
      <c r="FI250" s="110"/>
      <c r="FJ250" s="110"/>
      <c r="FK250" s="110"/>
      <c r="FL250" s="110"/>
      <c r="FM250" s="110"/>
      <c r="FN250" s="110"/>
      <c r="FO250" s="110"/>
      <c r="FP250" s="110"/>
      <c r="FQ250" s="110"/>
      <c r="FR250" s="110"/>
      <c r="FS250" s="110"/>
      <c r="FT250" s="110"/>
      <c r="FU250" s="110"/>
      <c r="FV250" s="110"/>
      <c r="FW250" s="110"/>
      <c r="FX250" s="110"/>
      <c r="FY250" s="110"/>
    </row>
    <row r="251" spans="1:181" s="48" customFormat="1" ht="15" customHeight="1" x14ac:dyDescent="0.25">
      <c r="A251" s="58"/>
      <c r="B251" s="41">
        <v>98</v>
      </c>
      <c r="C251" s="42"/>
      <c r="D251" s="43"/>
      <c r="E251" s="42"/>
      <c r="F251" s="42"/>
      <c r="G251" s="49"/>
      <c r="H251" s="49"/>
      <c r="I251" s="49"/>
      <c r="J251" s="49"/>
      <c r="K251" s="49"/>
      <c r="L251" s="49"/>
      <c r="M251" s="42"/>
      <c r="N251" s="41"/>
      <c r="O251" s="41"/>
      <c r="P251" s="42"/>
      <c r="Q251" s="45"/>
      <c r="R251" s="45"/>
      <c r="S251" s="42"/>
      <c r="T251" s="46"/>
      <c r="U251" s="46"/>
      <c r="V251" s="46"/>
      <c r="W251" s="46"/>
      <c r="X251" s="46"/>
      <c r="Y251" s="46"/>
      <c r="Z251" s="42"/>
      <c r="AA251" s="42"/>
      <c r="AB251" s="42"/>
      <c r="AC251" s="42"/>
      <c r="AD251" s="42"/>
      <c r="AE251" s="42"/>
      <c r="AF251" s="42"/>
      <c r="AG251" s="42"/>
      <c r="AH251" s="42"/>
      <c r="AI251" s="46"/>
      <c r="AJ251" s="42"/>
      <c r="AK251" s="42"/>
      <c r="AL251" s="42"/>
      <c r="AM251" s="42"/>
      <c r="AN251" s="90">
        <f t="shared" si="153"/>
        <v>0</v>
      </c>
      <c r="AO251" s="90">
        <f t="shared" si="154"/>
        <v>0</v>
      </c>
      <c r="AP251" s="42" t="s">
        <v>102</v>
      </c>
      <c r="AQ251" s="46"/>
      <c r="AR251" s="46"/>
      <c r="AS251" s="42"/>
      <c r="AT251" s="46"/>
      <c r="AU251" s="64">
        <f t="shared" si="183"/>
        <v>0</v>
      </c>
      <c r="AV251" s="47"/>
      <c r="AW251" s="64">
        <f t="shared" si="168"/>
        <v>0</v>
      </c>
      <c r="AX251" s="47" t="s">
        <v>113</v>
      </c>
      <c r="AY251" s="90">
        <f>25%*AQ251</f>
        <v>0</v>
      </c>
      <c r="AZ251" s="47"/>
      <c r="BA251" s="47"/>
      <c r="BB251" s="47"/>
      <c r="BC251" s="64">
        <f t="shared" si="182"/>
        <v>0</v>
      </c>
      <c r="BD251" s="47"/>
      <c r="BE251" s="47">
        <f t="shared" si="184"/>
        <v>0</v>
      </c>
      <c r="BF251" s="47"/>
      <c r="BG251" s="47"/>
      <c r="BH251" s="47"/>
      <c r="BI251" s="47"/>
      <c r="BJ251" s="47"/>
      <c r="BK251" s="46">
        <f t="shared" si="192"/>
        <v>0</v>
      </c>
      <c r="BL251" s="47"/>
      <c r="BM251" s="64">
        <f t="shared" si="169"/>
        <v>0</v>
      </c>
      <c r="BN251" s="47"/>
      <c r="BO251" s="47"/>
      <c r="BP251" s="47"/>
      <c r="BQ251" s="47"/>
      <c r="BR251" s="47"/>
      <c r="BS251" s="46">
        <f t="shared" si="195"/>
        <v>0</v>
      </c>
      <c r="BT251" s="47"/>
      <c r="BU251" s="64">
        <f t="shared" si="173"/>
        <v>0</v>
      </c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6"/>
      <c r="CQ251" s="47"/>
      <c r="CR251" s="64">
        <f t="shared" si="188"/>
        <v>0</v>
      </c>
      <c r="CS251" s="47"/>
      <c r="CT251" s="47"/>
      <c r="CU251" s="47"/>
      <c r="CV251" s="47"/>
      <c r="CW251" s="47">
        <f t="shared" si="161"/>
        <v>0</v>
      </c>
      <c r="CX251" s="46"/>
      <c r="CY251" s="47">
        <f t="shared" si="162"/>
        <v>0</v>
      </c>
      <c r="CZ251" s="47"/>
      <c r="DA251" s="47"/>
      <c r="DB251" s="47"/>
      <c r="DC251" s="47"/>
      <c r="DD251" s="64">
        <f t="shared" si="193"/>
        <v>0</v>
      </c>
      <c r="DE251" s="47"/>
      <c r="DF251" s="46">
        <f t="shared" si="171"/>
        <v>0</v>
      </c>
      <c r="DG251" s="47"/>
      <c r="DH251" s="46">
        <f t="shared" si="197"/>
        <v>0</v>
      </c>
      <c r="DI251" s="47"/>
      <c r="DJ251" s="47"/>
      <c r="DK251" s="64">
        <f t="shared" si="185"/>
        <v>0</v>
      </c>
      <c r="DL251" s="60">
        <f t="shared" si="155"/>
        <v>0</v>
      </c>
      <c r="DM251" s="94"/>
      <c r="DN251" s="46">
        <f t="shared" si="198"/>
        <v>0</v>
      </c>
      <c r="DO251" s="47"/>
      <c r="DP251" s="90">
        <f t="shared" si="196"/>
        <v>0</v>
      </c>
      <c r="DQ251" s="47"/>
      <c r="DR251" s="90">
        <f t="shared" si="189"/>
        <v>0</v>
      </c>
      <c r="DS251" s="47"/>
      <c r="DT251" s="90">
        <f t="shared" si="166"/>
        <v>0</v>
      </c>
      <c r="DU251" s="47"/>
      <c r="DV251" s="90">
        <f t="shared" si="172"/>
        <v>0</v>
      </c>
      <c r="DW251" s="47"/>
      <c r="DX251" s="64">
        <f t="shared" si="159"/>
        <v>0</v>
      </c>
      <c r="DY251" s="91"/>
      <c r="DZ251" s="47"/>
      <c r="EA251" s="47"/>
      <c r="EB251" s="47"/>
      <c r="EC251" s="47"/>
      <c r="ED251" s="47"/>
      <c r="EE251" s="47">
        <f t="shared" si="181"/>
        <v>0</v>
      </c>
      <c r="EF251" s="47"/>
      <c r="EG251" s="47"/>
      <c r="EH251" s="47"/>
      <c r="EI251" s="91"/>
      <c r="EJ251" s="47"/>
      <c r="EK251" s="47">
        <f t="shared" si="156"/>
        <v>0</v>
      </c>
      <c r="EL251" s="46">
        <f t="shared" si="157"/>
        <v>0</v>
      </c>
      <c r="EM251" s="46"/>
      <c r="EN251" s="46">
        <f t="shared" si="158"/>
        <v>0</v>
      </c>
    </row>
    <row r="252" spans="1:181" s="48" customFormat="1" ht="15" customHeight="1" x14ac:dyDescent="0.25">
      <c r="A252" s="58"/>
      <c r="B252" s="41">
        <v>99</v>
      </c>
      <c r="C252" s="42"/>
      <c r="D252" s="43"/>
      <c r="E252" s="42"/>
      <c r="F252" s="42"/>
      <c r="G252" s="49"/>
      <c r="H252" s="49"/>
      <c r="I252" s="49"/>
      <c r="J252" s="49"/>
      <c r="K252" s="49"/>
      <c r="L252" s="49"/>
      <c r="M252" s="42"/>
      <c r="N252" s="41"/>
      <c r="O252" s="41"/>
      <c r="P252" s="42"/>
      <c r="Q252" s="45"/>
      <c r="R252" s="45"/>
      <c r="S252" s="42"/>
      <c r="T252" s="46"/>
      <c r="U252" s="46"/>
      <c r="V252" s="46"/>
      <c r="W252" s="46"/>
      <c r="X252" s="46"/>
      <c r="Y252" s="46"/>
      <c r="Z252" s="42"/>
      <c r="AA252" s="42"/>
      <c r="AB252" s="42"/>
      <c r="AC252" s="42"/>
      <c r="AD252" s="42"/>
      <c r="AE252" s="42"/>
      <c r="AF252" s="42"/>
      <c r="AG252" s="42"/>
      <c r="AH252" s="42"/>
      <c r="AI252" s="46"/>
      <c r="AJ252" s="42"/>
      <c r="AK252" s="42"/>
      <c r="AL252" s="42"/>
      <c r="AM252" s="42"/>
      <c r="AN252" s="90">
        <f t="shared" si="153"/>
        <v>0</v>
      </c>
      <c r="AO252" s="90">
        <f t="shared" si="154"/>
        <v>0</v>
      </c>
      <c r="AP252" s="42" t="s">
        <v>111</v>
      </c>
      <c r="AQ252" s="46">
        <f t="shared" ref="AQ252:AQ260" si="199">20%*AO252</f>
        <v>0</v>
      </c>
      <c r="AR252" s="46"/>
      <c r="AS252" s="42"/>
      <c r="AT252" s="46"/>
      <c r="AU252" s="64">
        <f t="shared" si="183"/>
        <v>0</v>
      </c>
      <c r="AV252" s="47"/>
      <c r="AW252" s="64">
        <f t="shared" si="168"/>
        <v>0</v>
      </c>
      <c r="AX252" s="47"/>
      <c r="AY252" s="90"/>
      <c r="AZ252" s="47"/>
      <c r="BA252" s="47"/>
      <c r="BB252" s="47"/>
      <c r="BC252" s="64">
        <f t="shared" si="182"/>
        <v>0</v>
      </c>
      <c r="BD252" s="47"/>
      <c r="BE252" s="47">
        <f t="shared" si="184"/>
        <v>0</v>
      </c>
      <c r="BF252" s="47"/>
      <c r="BG252" s="47"/>
      <c r="BH252" s="47"/>
      <c r="BI252" s="47"/>
      <c r="BJ252" s="47"/>
      <c r="BK252" s="46">
        <f t="shared" si="192"/>
        <v>0</v>
      </c>
      <c r="BL252" s="47"/>
      <c r="BM252" s="64">
        <f t="shared" si="169"/>
        <v>0</v>
      </c>
      <c r="BN252" s="47"/>
      <c r="BO252" s="47"/>
      <c r="BP252" s="47"/>
      <c r="BQ252" s="47"/>
      <c r="BR252" s="47"/>
      <c r="BS252" s="46">
        <f t="shared" si="195"/>
        <v>0</v>
      </c>
      <c r="BT252" s="47"/>
      <c r="BU252" s="64">
        <f t="shared" si="173"/>
        <v>0</v>
      </c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6"/>
      <c r="CQ252" s="47"/>
      <c r="CR252" s="64">
        <f t="shared" si="188"/>
        <v>0</v>
      </c>
      <c r="CS252" s="47"/>
      <c r="CT252" s="47"/>
      <c r="CU252" s="47"/>
      <c r="CV252" s="47"/>
      <c r="CW252" s="47">
        <f t="shared" si="161"/>
        <v>0</v>
      </c>
      <c r="CX252" s="46"/>
      <c r="CY252" s="47">
        <f t="shared" si="162"/>
        <v>0</v>
      </c>
      <c r="CZ252" s="47"/>
      <c r="DA252" s="47"/>
      <c r="DB252" s="47"/>
      <c r="DC252" s="47"/>
      <c r="DD252" s="64">
        <f t="shared" si="193"/>
        <v>0</v>
      </c>
      <c r="DE252" s="47"/>
      <c r="DF252" s="46">
        <f t="shared" si="171"/>
        <v>0</v>
      </c>
      <c r="DG252" s="47"/>
      <c r="DH252" s="46">
        <f t="shared" si="197"/>
        <v>0</v>
      </c>
      <c r="DI252" s="47"/>
      <c r="DJ252" s="47"/>
      <c r="DK252" s="64">
        <f t="shared" si="185"/>
        <v>0</v>
      </c>
      <c r="DL252" s="60">
        <f t="shared" si="155"/>
        <v>0</v>
      </c>
      <c r="DM252" s="94"/>
      <c r="DN252" s="46">
        <f t="shared" si="198"/>
        <v>0</v>
      </c>
      <c r="DO252" s="47"/>
      <c r="DP252" s="90">
        <f t="shared" si="196"/>
        <v>0</v>
      </c>
      <c r="DQ252" s="47"/>
      <c r="DR252" s="90">
        <f t="shared" si="189"/>
        <v>0</v>
      </c>
      <c r="DS252" s="47"/>
      <c r="DT252" s="90">
        <f t="shared" si="166"/>
        <v>0</v>
      </c>
      <c r="DU252" s="47"/>
      <c r="DV252" s="90">
        <f t="shared" si="172"/>
        <v>0</v>
      </c>
      <c r="DW252" s="47"/>
      <c r="DX252" s="64">
        <f t="shared" si="159"/>
        <v>0</v>
      </c>
      <c r="DY252" s="91"/>
      <c r="DZ252" s="47"/>
      <c r="EA252" s="47"/>
      <c r="EB252" s="47"/>
      <c r="EC252" s="47"/>
      <c r="ED252" s="47"/>
      <c r="EE252" s="47">
        <f t="shared" si="181"/>
        <v>0</v>
      </c>
      <c r="EF252" s="47"/>
      <c r="EG252" s="47"/>
      <c r="EH252" s="47"/>
      <c r="EI252" s="91"/>
      <c r="EJ252" s="47"/>
      <c r="EK252" s="47">
        <f t="shared" si="156"/>
        <v>0</v>
      </c>
      <c r="EL252" s="46">
        <f t="shared" si="157"/>
        <v>0</v>
      </c>
      <c r="EM252" s="46"/>
      <c r="EN252" s="46">
        <f t="shared" si="158"/>
        <v>0</v>
      </c>
    </row>
    <row r="253" spans="1:181" s="48" customFormat="1" ht="15" customHeight="1" x14ac:dyDescent="0.25">
      <c r="A253" s="58"/>
      <c r="B253" s="41">
        <v>100</v>
      </c>
      <c r="C253" s="42"/>
      <c r="D253" s="43"/>
      <c r="E253" s="42"/>
      <c r="F253" s="42"/>
      <c r="G253" s="49"/>
      <c r="H253" s="49"/>
      <c r="I253" s="49"/>
      <c r="J253" s="49"/>
      <c r="K253" s="49"/>
      <c r="L253" s="49"/>
      <c r="M253" s="42"/>
      <c r="N253" s="41"/>
      <c r="O253" s="41"/>
      <c r="P253" s="42"/>
      <c r="Q253" s="45"/>
      <c r="R253" s="45"/>
      <c r="S253" s="42"/>
      <c r="T253" s="46"/>
      <c r="U253" s="46"/>
      <c r="V253" s="46"/>
      <c r="W253" s="46"/>
      <c r="X253" s="46"/>
      <c r="Y253" s="46"/>
      <c r="Z253" s="42"/>
      <c r="AA253" s="42"/>
      <c r="AB253" s="42"/>
      <c r="AC253" s="42"/>
      <c r="AD253" s="42"/>
      <c r="AE253" s="42"/>
      <c r="AF253" s="42"/>
      <c r="AG253" s="42"/>
      <c r="AH253" s="42"/>
      <c r="AI253" s="46"/>
      <c r="AJ253" s="42"/>
      <c r="AK253" s="42"/>
      <c r="AL253" s="42"/>
      <c r="AM253" s="42"/>
      <c r="AN253" s="90">
        <f t="shared" si="153"/>
        <v>0</v>
      </c>
      <c r="AO253" s="90">
        <f t="shared" si="154"/>
        <v>0</v>
      </c>
      <c r="AP253" s="42" t="s">
        <v>120</v>
      </c>
      <c r="AQ253" s="46">
        <f t="shared" si="199"/>
        <v>0</v>
      </c>
      <c r="AR253" s="46"/>
      <c r="AS253" s="42"/>
      <c r="AT253" s="46"/>
      <c r="AU253" s="64">
        <f t="shared" si="183"/>
        <v>0</v>
      </c>
      <c r="AV253" s="47"/>
      <c r="AW253" s="64">
        <f t="shared" si="168"/>
        <v>0</v>
      </c>
      <c r="AX253" s="47"/>
      <c r="AY253" s="90"/>
      <c r="AZ253" s="47"/>
      <c r="BA253" s="47"/>
      <c r="BB253" s="47"/>
      <c r="BC253" s="64">
        <f t="shared" si="182"/>
        <v>0</v>
      </c>
      <c r="BD253" s="47"/>
      <c r="BE253" s="47">
        <f t="shared" si="184"/>
        <v>0</v>
      </c>
      <c r="BF253" s="47"/>
      <c r="BG253" s="47"/>
      <c r="BH253" s="47"/>
      <c r="BI253" s="47"/>
      <c r="BJ253" s="47"/>
      <c r="BK253" s="46">
        <f t="shared" si="192"/>
        <v>0</v>
      </c>
      <c r="BL253" s="47"/>
      <c r="BM253" s="64">
        <f t="shared" si="169"/>
        <v>0</v>
      </c>
      <c r="BN253" s="47"/>
      <c r="BO253" s="47"/>
      <c r="BP253" s="47"/>
      <c r="BQ253" s="47"/>
      <c r="BR253" s="47"/>
      <c r="BS253" s="46">
        <f t="shared" si="195"/>
        <v>0</v>
      </c>
      <c r="BT253" s="47"/>
      <c r="BU253" s="64">
        <f t="shared" si="173"/>
        <v>0</v>
      </c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6"/>
      <c r="CQ253" s="47"/>
      <c r="CR253" s="64">
        <f t="shared" si="188"/>
        <v>0</v>
      </c>
      <c r="CS253" s="47"/>
      <c r="CT253" s="47"/>
      <c r="CU253" s="47"/>
      <c r="CV253" s="47"/>
      <c r="CW253" s="47">
        <f t="shared" si="161"/>
        <v>0</v>
      </c>
      <c r="CX253" s="46"/>
      <c r="CY253" s="47">
        <f t="shared" si="162"/>
        <v>0</v>
      </c>
      <c r="CZ253" s="47"/>
      <c r="DA253" s="47"/>
      <c r="DB253" s="47"/>
      <c r="DC253" s="47"/>
      <c r="DD253" s="64">
        <f t="shared" si="193"/>
        <v>0</v>
      </c>
      <c r="DE253" s="47"/>
      <c r="DF253" s="46">
        <f t="shared" si="171"/>
        <v>0</v>
      </c>
      <c r="DG253" s="47"/>
      <c r="DH253" s="46">
        <f t="shared" si="197"/>
        <v>0</v>
      </c>
      <c r="DI253" s="47"/>
      <c r="DJ253" s="47"/>
      <c r="DK253" s="64">
        <f t="shared" si="185"/>
        <v>0</v>
      </c>
      <c r="DL253" s="60">
        <f t="shared" si="155"/>
        <v>0</v>
      </c>
      <c r="DM253" s="94"/>
      <c r="DN253" s="46">
        <f t="shared" si="198"/>
        <v>0</v>
      </c>
      <c r="DO253" s="47"/>
      <c r="DP253" s="90">
        <f t="shared" si="196"/>
        <v>0</v>
      </c>
      <c r="DQ253" s="47"/>
      <c r="DR253" s="90">
        <f t="shared" si="189"/>
        <v>0</v>
      </c>
      <c r="DS253" s="47"/>
      <c r="DT253" s="90">
        <f t="shared" si="166"/>
        <v>0</v>
      </c>
      <c r="DU253" s="47"/>
      <c r="DV253" s="90">
        <f t="shared" si="172"/>
        <v>0</v>
      </c>
      <c r="DW253" s="47"/>
      <c r="DX253" s="64">
        <f t="shared" si="159"/>
        <v>0</v>
      </c>
      <c r="DY253" s="91"/>
      <c r="DZ253" s="47"/>
      <c r="EA253" s="47"/>
      <c r="EB253" s="47"/>
      <c r="EC253" s="47"/>
      <c r="ED253" s="47"/>
      <c r="EE253" s="47">
        <f t="shared" si="181"/>
        <v>0</v>
      </c>
      <c r="EF253" s="47"/>
      <c r="EG253" s="47"/>
      <c r="EH253" s="47"/>
      <c r="EI253" s="91"/>
      <c r="EJ253" s="47"/>
      <c r="EK253" s="47">
        <f t="shared" si="156"/>
        <v>0</v>
      </c>
      <c r="EL253" s="46">
        <f t="shared" si="157"/>
        <v>0</v>
      </c>
      <c r="EM253" s="46"/>
      <c r="EN253" s="46">
        <f t="shared" si="158"/>
        <v>0</v>
      </c>
    </row>
    <row r="254" spans="1:181" s="48" customFormat="1" ht="15" customHeight="1" x14ac:dyDescent="0.25">
      <c r="A254" s="58"/>
      <c r="B254" s="41">
        <v>101</v>
      </c>
      <c r="C254" s="42"/>
      <c r="D254" s="43"/>
      <c r="E254" s="42"/>
      <c r="F254" s="42"/>
      <c r="G254" s="49"/>
      <c r="H254" s="49"/>
      <c r="I254" s="49"/>
      <c r="J254" s="49"/>
      <c r="K254" s="49"/>
      <c r="L254" s="49"/>
      <c r="M254" s="42"/>
      <c r="N254" s="41"/>
      <c r="O254" s="41"/>
      <c r="P254" s="42"/>
      <c r="Q254" s="45"/>
      <c r="R254" s="45"/>
      <c r="S254" s="42"/>
      <c r="T254" s="46"/>
      <c r="U254" s="46"/>
      <c r="V254" s="46"/>
      <c r="W254" s="46"/>
      <c r="X254" s="46"/>
      <c r="Y254" s="46"/>
      <c r="Z254" s="42"/>
      <c r="AA254" s="42"/>
      <c r="AB254" s="42"/>
      <c r="AC254" s="42"/>
      <c r="AD254" s="42"/>
      <c r="AE254" s="42"/>
      <c r="AF254" s="42"/>
      <c r="AG254" s="42"/>
      <c r="AH254" s="42"/>
      <c r="AI254" s="46"/>
      <c r="AJ254" s="42"/>
      <c r="AK254" s="42"/>
      <c r="AL254" s="42"/>
      <c r="AM254" s="42"/>
      <c r="AN254" s="90">
        <f t="shared" si="153"/>
        <v>0</v>
      </c>
      <c r="AO254" s="90">
        <f t="shared" si="154"/>
        <v>0</v>
      </c>
      <c r="AP254" s="42" t="s">
        <v>112</v>
      </c>
      <c r="AQ254" s="46">
        <f t="shared" si="199"/>
        <v>0</v>
      </c>
      <c r="AR254" s="46"/>
      <c r="AS254" s="42"/>
      <c r="AT254" s="46"/>
      <c r="AU254" s="64">
        <f t="shared" si="183"/>
        <v>0</v>
      </c>
      <c r="AV254" s="47"/>
      <c r="AW254" s="64">
        <f t="shared" si="168"/>
        <v>0</v>
      </c>
      <c r="AX254" s="47"/>
      <c r="AY254" s="90"/>
      <c r="AZ254" s="47"/>
      <c r="BA254" s="47"/>
      <c r="BB254" s="47"/>
      <c r="BC254" s="64">
        <f t="shared" si="182"/>
        <v>0</v>
      </c>
      <c r="BD254" s="47"/>
      <c r="BE254" s="47">
        <f t="shared" si="184"/>
        <v>0</v>
      </c>
      <c r="BF254" s="47"/>
      <c r="BG254" s="47"/>
      <c r="BH254" s="47"/>
      <c r="BI254" s="47"/>
      <c r="BJ254" s="47"/>
      <c r="BK254" s="46">
        <f t="shared" si="192"/>
        <v>0</v>
      </c>
      <c r="BL254" s="47"/>
      <c r="BM254" s="64">
        <f t="shared" si="169"/>
        <v>0</v>
      </c>
      <c r="BN254" s="47"/>
      <c r="BO254" s="47"/>
      <c r="BP254" s="47"/>
      <c r="BQ254" s="47"/>
      <c r="BR254" s="47"/>
      <c r="BS254" s="46">
        <f t="shared" si="195"/>
        <v>0</v>
      </c>
      <c r="BT254" s="47"/>
      <c r="BU254" s="64">
        <f t="shared" si="173"/>
        <v>0</v>
      </c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6"/>
      <c r="CQ254" s="47"/>
      <c r="CR254" s="64">
        <f t="shared" si="188"/>
        <v>0</v>
      </c>
      <c r="CS254" s="47"/>
      <c r="CT254" s="47"/>
      <c r="CU254" s="47"/>
      <c r="CV254" s="47"/>
      <c r="CW254" s="47">
        <f t="shared" si="161"/>
        <v>0</v>
      </c>
      <c r="CX254" s="46"/>
      <c r="CY254" s="47">
        <f t="shared" si="162"/>
        <v>0</v>
      </c>
      <c r="CZ254" s="47"/>
      <c r="DA254" s="47"/>
      <c r="DB254" s="47"/>
      <c r="DC254" s="47"/>
      <c r="DD254" s="64">
        <f t="shared" si="193"/>
        <v>0</v>
      </c>
      <c r="DE254" s="47"/>
      <c r="DF254" s="46">
        <f t="shared" si="171"/>
        <v>0</v>
      </c>
      <c r="DG254" s="47"/>
      <c r="DH254" s="90">
        <f t="shared" si="197"/>
        <v>0</v>
      </c>
      <c r="DI254" s="47"/>
      <c r="DJ254" s="47"/>
      <c r="DK254" s="64">
        <f t="shared" si="185"/>
        <v>0</v>
      </c>
      <c r="DL254" s="60">
        <f t="shared" si="155"/>
        <v>0</v>
      </c>
      <c r="DM254" s="94"/>
      <c r="DN254" s="46">
        <f t="shared" si="198"/>
        <v>0</v>
      </c>
      <c r="DO254" s="47"/>
      <c r="DP254" s="90">
        <f t="shared" si="196"/>
        <v>0</v>
      </c>
      <c r="DQ254" s="47"/>
      <c r="DR254" s="90">
        <f t="shared" si="189"/>
        <v>0</v>
      </c>
      <c r="DS254" s="47"/>
      <c r="DT254" s="90">
        <f t="shared" si="166"/>
        <v>0</v>
      </c>
      <c r="DU254" s="47"/>
      <c r="DV254" s="90">
        <f t="shared" si="172"/>
        <v>0</v>
      </c>
      <c r="DW254" s="47"/>
      <c r="DX254" s="64">
        <f t="shared" si="159"/>
        <v>0</v>
      </c>
      <c r="DY254" s="91"/>
      <c r="DZ254" s="47"/>
      <c r="EA254" s="47"/>
      <c r="EB254" s="47"/>
      <c r="EC254" s="47"/>
      <c r="ED254" s="47"/>
      <c r="EE254" s="47">
        <f t="shared" si="181"/>
        <v>0</v>
      </c>
      <c r="EF254" s="47"/>
      <c r="EG254" s="47"/>
      <c r="EH254" s="47"/>
      <c r="EI254" s="91"/>
      <c r="EJ254" s="47"/>
      <c r="EK254" s="47">
        <f t="shared" si="156"/>
        <v>0</v>
      </c>
      <c r="EL254" s="46">
        <f t="shared" si="157"/>
        <v>0</v>
      </c>
      <c r="EM254" s="46"/>
      <c r="EN254" s="46">
        <f t="shared" si="158"/>
        <v>0</v>
      </c>
    </row>
    <row r="255" spans="1:181" s="48" customFormat="1" ht="15" customHeight="1" x14ac:dyDescent="0.25">
      <c r="A255" s="58"/>
      <c r="B255" s="88"/>
      <c r="C255" s="81" t="s">
        <v>126</v>
      </c>
      <c r="D255" s="43"/>
      <c r="E255" s="42"/>
      <c r="F255" s="42"/>
      <c r="G255" s="49"/>
      <c r="H255" s="49"/>
      <c r="I255" s="49"/>
      <c r="J255" s="49"/>
      <c r="K255" s="49"/>
      <c r="L255" s="49"/>
      <c r="M255" s="42"/>
      <c r="N255" s="41"/>
      <c r="O255" s="41"/>
      <c r="P255" s="42"/>
      <c r="Q255" s="45"/>
      <c r="R255" s="45"/>
      <c r="S255" s="42"/>
      <c r="T255" s="46"/>
      <c r="U255" s="46"/>
      <c r="V255" s="46"/>
      <c r="W255" s="46"/>
      <c r="X255" s="46"/>
      <c r="Y255" s="46"/>
      <c r="Z255" s="42"/>
      <c r="AA255" s="42"/>
      <c r="AB255" s="42"/>
      <c r="AC255" s="42"/>
      <c r="AD255" s="42"/>
      <c r="AE255" s="42"/>
      <c r="AF255" s="42"/>
      <c r="AG255" s="42"/>
      <c r="AH255" s="42"/>
      <c r="AI255" s="46"/>
      <c r="AJ255" s="42"/>
      <c r="AK255" s="42"/>
      <c r="AL255" s="42"/>
      <c r="AM255" s="42"/>
      <c r="AN255" s="90">
        <f t="shared" si="153"/>
        <v>0</v>
      </c>
      <c r="AO255" s="90">
        <f t="shared" si="154"/>
        <v>0</v>
      </c>
      <c r="AP255" s="42" t="s">
        <v>112</v>
      </c>
      <c r="AQ255" s="46">
        <f t="shared" si="199"/>
        <v>0</v>
      </c>
      <c r="AR255" s="46"/>
      <c r="AS255" s="42"/>
      <c r="AT255" s="46"/>
      <c r="AU255" s="64">
        <f t="shared" si="183"/>
        <v>0</v>
      </c>
      <c r="AV255" s="47"/>
      <c r="AW255" s="64">
        <f t="shared" si="168"/>
        <v>0</v>
      </c>
      <c r="AX255" s="47"/>
      <c r="AY255" s="90"/>
      <c r="AZ255" s="47"/>
      <c r="BA255" s="47"/>
      <c r="BB255" s="47"/>
      <c r="BC255" s="64">
        <f t="shared" si="182"/>
        <v>0</v>
      </c>
      <c r="BD255" s="47"/>
      <c r="BE255" s="47">
        <f t="shared" si="184"/>
        <v>0</v>
      </c>
      <c r="BF255" s="47"/>
      <c r="BG255" s="47"/>
      <c r="BH255" s="47"/>
      <c r="BI255" s="47"/>
      <c r="BJ255" s="47"/>
      <c r="BK255" s="46">
        <f t="shared" si="192"/>
        <v>0</v>
      </c>
      <c r="BL255" s="47"/>
      <c r="BM255" s="64">
        <f t="shared" si="169"/>
        <v>0</v>
      </c>
      <c r="BN255" s="47"/>
      <c r="BO255" s="47"/>
      <c r="BP255" s="47"/>
      <c r="BQ255" s="47"/>
      <c r="BR255" s="47"/>
      <c r="BS255" s="46">
        <f t="shared" si="195"/>
        <v>0</v>
      </c>
      <c r="BT255" s="47"/>
      <c r="BU255" s="64">
        <f t="shared" si="173"/>
        <v>0</v>
      </c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6"/>
      <c r="CQ255" s="47"/>
      <c r="CR255" s="64">
        <f t="shared" si="188"/>
        <v>0</v>
      </c>
      <c r="CS255" s="47"/>
      <c r="CT255" s="47"/>
      <c r="CU255" s="47"/>
      <c r="CV255" s="47"/>
      <c r="CW255" s="47">
        <f t="shared" si="161"/>
        <v>0</v>
      </c>
      <c r="CX255" s="46"/>
      <c r="CY255" s="47">
        <f t="shared" si="162"/>
        <v>0</v>
      </c>
      <c r="CZ255" s="47"/>
      <c r="DA255" s="47"/>
      <c r="DB255" s="47"/>
      <c r="DC255" s="47"/>
      <c r="DD255" s="64">
        <f t="shared" si="193"/>
        <v>0</v>
      </c>
      <c r="DE255" s="47"/>
      <c r="DF255" s="46">
        <f t="shared" si="171"/>
        <v>0</v>
      </c>
      <c r="DG255" s="47"/>
      <c r="DH255" s="90">
        <f t="shared" si="197"/>
        <v>0</v>
      </c>
      <c r="DI255" s="47"/>
      <c r="DJ255" s="47"/>
      <c r="DK255" s="64">
        <f t="shared" si="185"/>
        <v>0</v>
      </c>
      <c r="DL255" s="60">
        <f t="shared" si="155"/>
        <v>0</v>
      </c>
      <c r="DM255" s="94"/>
      <c r="DN255" s="46">
        <f t="shared" si="198"/>
        <v>0</v>
      </c>
      <c r="DO255" s="47"/>
      <c r="DP255" s="90">
        <f t="shared" si="196"/>
        <v>0</v>
      </c>
      <c r="DQ255" s="47"/>
      <c r="DR255" s="90">
        <f t="shared" si="189"/>
        <v>0</v>
      </c>
      <c r="DS255" s="47"/>
      <c r="DT255" s="90">
        <f t="shared" si="166"/>
        <v>0</v>
      </c>
      <c r="DU255" s="47"/>
      <c r="DV255" s="90">
        <f t="shared" si="172"/>
        <v>0</v>
      </c>
      <c r="DW255" s="47"/>
      <c r="DX255" s="64">
        <f t="shared" si="159"/>
        <v>0</v>
      </c>
      <c r="DY255" s="91"/>
      <c r="DZ255" s="47"/>
      <c r="EA255" s="47"/>
      <c r="EB255" s="47"/>
      <c r="EC255" s="47"/>
      <c r="ED255" s="47"/>
      <c r="EE255" s="47">
        <f t="shared" si="181"/>
        <v>0</v>
      </c>
      <c r="EF255" s="47"/>
      <c r="EG255" s="47"/>
      <c r="EH255" s="47"/>
      <c r="EI255" s="91"/>
      <c r="EJ255" s="47"/>
      <c r="EK255" s="47">
        <f t="shared" si="156"/>
        <v>0</v>
      </c>
      <c r="EL255" s="46">
        <f t="shared" si="157"/>
        <v>0</v>
      </c>
      <c r="EM255" s="46"/>
      <c r="EN255" s="46">
        <f t="shared" si="158"/>
        <v>0</v>
      </c>
    </row>
    <row r="256" spans="1:181" s="48" customFormat="1" ht="15" customHeight="1" x14ac:dyDescent="0.25">
      <c r="A256" s="58"/>
      <c r="B256" s="88">
        <v>1</v>
      </c>
      <c r="C256" s="42"/>
      <c r="D256" s="43"/>
      <c r="E256" s="42"/>
      <c r="F256" s="42"/>
      <c r="G256" s="49"/>
      <c r="H256" s="49"/>
      <c r="I256" s="49"/>
      <c r="J256" s="49"/>
      <c r="K256" s="49"/>
      <c r="L256" s="49"/>
      <c r="M256" s="42"/>
      <c r="N256" s="41"/>
      <c r="O256" s="41"/>
      <c r="P256" s="42"/>
      <c r="Q256" s="45"/>
      <c r="R256" s="45"/>
      <c r="S256" s="42"/>
      <c r="T256" s="46"/>
      <c r="U256" s="46"/>
      <c r="V256" s="46"/>
      <c r="W256" s="46"/>
      <c r="X256" s="46"/>
      <c r="Y256" s="46"/>
      <c r="Z256" s="42"/>
      <c r="AA256" s="42"/>
      <c r="AB256" s="42"/>
      <c r="AC256" s="42"/>
      <c r="AD256" s="42"/>
      <c r="AE256" s="42"/>
      <c r="AF256" s="42"/>
      <c r="AG256" s="42"/>
      <c r="AH256" s="42"/>
      <c r="AI256" s="46"/>
      <c r="AJ256" s="42"/>
      <c r="AK256" s="42"/>
      <c r="AL256" s="42"/>
      <c r="AM256" s="42"/>
      <c r="AN256" s="46">
        <f t="shared" si="153"/>
        <v>0</v>
      </c>
      <c r="AO256" s="46">
        <f t="shared" si="154"/>
        <v>0</v>
      </c>
      <c r="AP256" s="42" t="s">
        <v>111</v>
      </c>
      <c r="AQ256" s="46">
        <f t="shared" si="199"/>
        <v>0</v>
      </c>
      <c r="AR256" s="46"/>
      <c r="AS256" s="42"/>
      <c r="AT256" s="46"/>
      <c r="AU256" s="47">
        <f t="shared" si="183"/>
        <v>0</v>
      </c>
      <c r="AV256" s="47"/>
      <c r="AW256" s="47">
        <f t="shared" si="168"/>
        <v>0</v>
      </c>
      <c r="AX256" s="47" t="s">
        <v>113</v>
      </c>
      <c r="AY256" s="46">
        <f>25%*AQ256</f>
        <v>0</v>
      </c>
      <c r="AZ256" s="47"/>
      <c r="BA256" s="47"/>
      <c r="BB256" s="47"/>
      <c r="BC256" s="47">
        <f t="shared" si="182"/>
        <v>0</v>
      </c>
      <c r="BD256" s="47"/>
      <c r="BE256" s="47">
        <f t="shared" si="184"/>
        <v>0</v>
      </c>
      <c r="BF256" s="47"/>
      <c r="BG256" s="47"/>
      <c r="BH256" s="47"/>
      <c r="BI256" s="47"/>
      <c r="BJ256" s="47"/>
      <c r="BK256" s="46">
        <f t="shared" si="192"/>
        <v>0</v>
      </c>
      <c r="BL256" s="47"/>
      <c r="BM256" s="47">
        <f t="shared" si="169"/>
        <v>0</v>
      </c>
      <c r="BN256" s="47"/>
      <c r="BO256" s="47"/>
      <c r="BP256" s="47"/>
      <c r="BQ256" s="47"/>
      <c r="BR256" s="47"/>
      <c r="BS256" s="46">
        <f t="shared" si="195"/>
        <v>0</v>
      </c>
      <c r="BT256" s="47"/>
      <c r="BU256" s="47">
        <f t="shared" si="173"/>
        <v>0</v>
      </c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6"/>
      <c r="CQ256" s="47"/>
      <c r="CR256" s="47">
        <f t="shared" si="188"/>
        <v>0</v>
      </c>
      <c r="CS256" s="47"/>
      <c r="CT256" s="47"/>
      <c r="CU256" s="47"/>
      <c r="CV256" s="47"/>
      <c r="CW256" s="47">
        <f t="shared" si="161"/>
        <v>0</v>
      </c>
      <c r="CX256" s="46"/>
      <c r="CY256" s="47">
        <f t="shared" si="162"/>
        <v>0</v>
      </c>
      <c r="CZ256" s="47"/>
      <c r="DA256" s="47"/>
      <c r="DB256" s="47"/>
      <c r="DC256" s="47"/>
      <c r="DD256" s="64">
        <f t="shared" si="193"/>
        <v>0</v>
      </c>
      <c r="DE256" s="47"/>
      <c r="DF256" s="46">
        <f t="shared" si="171"/>
        <v>0</v>
      </c>
      <c r="DG256" s="47"/>
      <c r="DH256" s="90">
        <f t="shared" si="197"/>
        <v>0</v>
      </c>
      <c r="DI256" s="47"/>
      <c r="DJ256" s="47"/>
      <c r="DK256" s="47">
        <f t="shared" si="185"/>
        <v>0</v>
      </c>
      <c r="DL256" s="60">
        <f t="shared" si="155"/>
        <v>0</v>
      </c>
      <c r="DM256" s="94"/>
      <c r="DN256" s="46">
        <f t="shared" si="198"/>
        <v>0</v>
      </c>
      <c r="DO256" s="47"/>
      <c r="DP256" s="90">
        <f t="shared" si="196"/>
        <v>0</v>
      </c>
      <c r="DQ256" s="47"/>
      <c r="DR256" s="46">
        <f t="shared" si="189"/>
        <v>0</v>
      </c>
      <c r="DS256" s="47"/>
      <c r="DT256" s="46">
        <f t="shared" si="166"/>
        <v>0</v>
      </c>
      <c r="DU256" s="47"/>
      <c r="DV256" s="46">
        <f t="shared" si="172"/>
        <v>0</v>
      </c>
      <c r="DW256" s="47"/>
      <c r="DX256" s="47">
        <f t="shared" si="159"/>
        <v>0</v>
      </c>
      <c r="DY256" s="91"/>
      <c r="DZ256" s="47"/>
      <c r="EA256" s="47"/>
      <c r="EB256" s="47"/>
      <c r="EC256" s="47"/>
      <c r="ED256" s="47"/>
      <c r="EE256" s="47">
        <f t="shared" si="181"/>
        <v>0</v>
      </c>
      <c r="EF256" s="47"/>
      <c r="EG256" s="47"/>
      <c r="EH256" s="47"/>
      <c r="EI256" s="91"/>
      <c r="EJ256" s="47"/>
      <c r="EK256" s="47">
        <f t="shared" si="156"/>
        <v>0</v>
      </c>
      <c r="EL256" s="46">
        <f t="shared" si="157"/>
        <v>0</v>
      </c>
      <c r="EM256" s="46"/>
      <c r="EN256" s="46">
        <f t="shared" si="158"/>
        <v>0</v>
      </c>
    </row>
    <row r="257" spans="1:147" s="48" customFormat="1" ht="14.25" customHeight="1" x14ac:dyDescent="0.25">
      <c r="A257" s="58"/>
      <c r="B257" s="88">
        <v>2</v>
      </c>
      <c r="C257" s="42"/>
      <c r="D257" s="43"/>
      <c r="E257" s="42"/>
      <c r="F257" s="42"/>
      <c r="G257" s="49"/>
      <c r="H257" s="49"/>
      <c r="I257" s="49"/>
      <c r="J257" s="49"/>
      <c r="K257" s="49"/>
      <c r="L257" s="49"/>
      <c r="M257" s="42"/>
      <c r="N257" s="41"/>
      <c r="O257" s="41"/>
      <c r="P257" s="42"/>
      <c r="Q257" s="45"/>
      <c r="R257" s="45"/>
      <c r="S257" s="42"/>
      <c r="T257" s="46"/>
      <c r="U257" s="46"/>
      <c r="V257" s="46"/>
      <c r="W257" s="46"/>
      <c r="X257" s="46"/>
      <c r="Y257" s="46"/>
      <c r="Z257" s="42"/>
      <c r="AA257" s="42"/>
      <c r="AB257" s="42"/>
      <c r="AC257" s="42"/>
      <c r="AD257" s="42"/>
      <c r="AE257" s="42"/>
      <c r="AF257" s="42"/>
      <c r="AG257" s="42"/>
      <c r="AH257" s="42"/>
      <c r="AI257" s="46"/>
      <c r="AJ257" s="42"/>
      <c r="AK257" s="42"/>
      <c r="AL257" s="42"/>
      <c r="AM257" s="42"/>
      <c r="AN257" s="46">
        <f t="shared" si="153"/>
        <v>0</v>
      </c>
      <c r="AO257" s="46">
        <f t="shared" si="154"/>
        <v>0</v>
      </c>
      <c r="AP257" s="42" t="s">
        <v>111</v>
      </c>
      <c r="AQ257" s="46">
        <f t="shared" si="199"/>
        <v>0</v>
      </c>
      <c r="AR257" s="46"/>
      <c r="AS257" s="42"/>
      <c r="AT257" s="46"/>
      <c r="AU257" s="47">
        <f t="shared" si="183"/>
        <v>0</v>
      </c>
      <c r="AV257" s="47"/>
      <c r="AW257" s="47">
        <f t="shared" si="168"/>
        <v>0</v>
      </c>
      <c r="AX257" s="47" t="s">
        <v>113</v>
      </c>
      <c r="AY257" s="46">
        <f>25%*AQ257</f>
        <v>0</v>
      </c>
      <c r="AZ257" s="47"/>
      <c r="BA257" s="47"/>
      <c r="BB257" s="47"/>
      <c r="BC257" s="47">
        <f t="shared" si="182"/>
        <v>0</v>
      </c>
      <c r="BD257" s="47"/>
      <c r="BE257" s="47">
        <f t="shared" si="184"/>
        <v>0</v>
      </c>
      <c r="BF257" s="47"/>
      <c r="BG257" s="47"/>
      <c r="BH257" s="47"/>
      <c r="BI257" s="47"/>
      <c r="BJ257" s="47"/>
      <c r="BK257" s="46">
        <f t="shared" si="192"/>
        <v>0</v>
      </c>
      <c r="BL257" s="47"/>
      <c r="BM257" s="47">
        <f t="shared" si="169"/>
        <v>0</v>
      </c>
      <c r="BN257" s="47"/>
      <c r="BO257" s="47"/>
      <c r="BP257" s="47"/>
      <c r="BQ257" s="47"/>
      <c r="BR257" s="47"/>
      <c r="BS257" s="46">
        <f t="shared" si="195"/>
        <v>0</v>
      </c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6"/>
      <c r="CQ257" s="47"/>
      <c r="CR257" s="47">
        <f t="shared" si="188"/>
        <v>0</v>
      </c>
      <c r="CS257" s="47"/>
      <c r="CT257" s="47"/>
      <c r="CU257" s="47"/>
      <c r="CV257" s="47"/>
      <c r="CW257" s="47">
        <f t="shared" si="161"/>
        <v>0</v>
      </c>
      <c r="CX257" s="46"/>
      <c r="CY257" s="47">
        <f t="shared" si="162"/>
        <v>0</v>
      </c>
      <c r="CZ257" s="47"/>
      <c r="DA257" s="47"/>
      <c r="DB257" s="47"/>
      <c r="DC257" s="47"/>
      <c r="DD257" s="64">
        <f t="shared" si="193"/>
        <v>0</v>
      </c>
      <c r="DE257" s="47"/>
      <c r="DF257" s="46">
        <f t="shared" si="171"/>
        <v>0</v>
      </c>
      <c r="DG257" s="47"/>
      <c r="DH257" s="90">
        <f t="shared" si="197"/>
        <v>0</v>
      </c>
      <c r="DI257" s="47"/>
      <c r="DJ257" s="47"/>
      <c r="DK257" s="47">
        <f t="shared" si="185"/>
        <v>0</v>
      </c>
      <c r="DL257" s="60">
        <f t="shared" si="155"/>
        <v>0</v>
      </c>
      <c r="DM257" s="94"/>
      <c r="DN257" s="46">
        <f t="shared" si="198"/>
        <v>0</v>
      </c>
      <c r="DO257" s="47"/>
      <c r="DP257" s="90">
        <f t="shared" si="196"/>
        <v>0</v>
      </c>
      <c r="DQ257" s="47"/>
      <c r="DR257" s="46">
        <f t="shared" si="189"/>
        <v>0</v>
      </c>
      <c r="DS257" s="47"/>
      <c r="DT257" s="46">
        <f t="shared" si="166"/>
        <v>0</v>
      </c>
      <c r="DU257" s="47"/>
      <c r="DV257" s="46">
        <f t="shared" si="172"/>
        <v>0</v>
      </c>
      <c r="DW257" s="47"/>
      <c r="DX257" s="47">
        <f t="shared" si="159"/>
        <v>0</v>
      </c>
      <c r="DY257" s="91"/>
      <c r="DZ257" s="47"/>
      <c r="EA257" s="47"/>
      <c r="EB257" s="47"/>
      <c r="EC257" s="47"/>
      <c r="ED257" s="47"/>
      <c r="EE257" s="47">
        <f t="shared" si="181"/>
        <v>0</v>
      </c>
      <c r="EF257" s="47"/>
      <c r="EG257" s="47"/>
      <c r="EH257" s="47"/>
      <c r="EI257" s="91"/>
      <c r="EJ257" s="47"/>
      <c r="EK257" s="47">
        <f t="shared" si="156"/>
        <v>0</v>
      </c>
      <c r="EL257" s="46">
        <f t="shared" si="157"/>
        <v>0</v>
      </c>
      <c r="EM257" s="46"/>
      <c r="EN257" s="46">
        <f t="shared" si="158"/>
        <v>0</v>
      </c>
    </row>
    <row r="258" spans="1:147" s="48" customFormat="1" ht="15" customHeight="1" x14ac:dyDescent="0.25">
      <c r="A258" s="58"/>
      <c r="B258" s="88">
        <v>3</v>
      </c>
      <c r="C258" s="42"/>
      <c r="D258" s="43"/>
      <c r="E258" s="42"/>
      <c r="F258" s="42"/>
      <c r="G258" s="49"/>
      <c r="H258" s="49"/>
      <c r="I258" s="49"/>
      <c r="J258" s="49"/>
      <c r="K258" s="49"/>
      <c r="L258" s="49"/>
      <c r="M258" s="42"/>
      <c r="N258" s="41"/>
      <c r="O258" s="41"/>
      <c r="P258" s="42"/>
      <c r="Q258" s="45"/>
      <c r="R258" s="45"/>
      <c r="S258" s="42"/>
      <c r="T258" s="46"/>
      <c r="U258" s="46"/>
      <c r="V258" s="46"/>
      <c r="W258" s="46"/>
      <c r="X258" s="46"/>
      <c r="Y258" s="46"/>
      <c r="Z258" s="42"/>
      <c r="AA258" s="42"/>
      <c r="AB258" s="42"/>
      <c r="AC258" s="42"/>
      <c r="AD258" s="42"/>
      <c r="AE258" s="42"/>
      <c r="AF258" s="42"/>
      <c r="AG258" s="42"/>
      <c r="AH258" s="42"/>
      <c r="AI258" s="46"/>
      <c r="AJ258" s="42"/>
      <c r="AK258" s="42"/>
      <c r="AL258" s="42"/>
      <c r="AM258" s="42"/>
      <c r="AN258" s="46">
        <f t="shared" si="153"/>
        <v>0</v>
      </c>
      <c r="AO258" s="46">
        <f t="shared" si="154"/>
        <v>0</v>
      </c>
      <c r="AP258" s="42" t="s">
        <v>111</v>
      </c>
      <c r="AQ258" s="46">
        <f t="shared" si="199"/>
        <v>0</v>
      </c>
      <c r="AR258" s="46"/>
      <c r="AS258" s="42"/>
      <c r="AT258" s="46"/>
      <c r="AU258" s="47">
        <f t="shared" si="183"/>
        <v>0</v>
      </c>
      <c r="AV258" s="47"/>
      <c r="AW258" s="47">
        <f t="shared" si="168"/>
        <v>0</v>
      </c>
      <c r="AX258" s="47"/>
      <c r="AY258" s="46"/>
      <c r="AZ258" s="47"/>
      <c r="BA258" s="47"/>
      <c r="BB258" s="47"/>
      <c r="BC258" s="47">
        <f t="shared" si="182"/>
        <v>0</v>
      </c>
      <c r="BD258" s="47"/>
      <c r="BE258" s="47">
        <f t="shared" si="184"/>
        <v>0</v>
      </c>
      <c r="BF258" s="47"/>
      <c r="BG258" s="47"/>
      <c r="BH258" s="47"/>
      <c r="BI258" s="47"/>
      <c r="BJ258" s="47"/>
      <c r="BK258" s="46">
        <f t="shared" si="192"/>
        <v>0</v>
      </c>
      <c r="BL258" s="47"/>
      <c r="BM258" s="47">
        <f t="shared" si="169"/>
        <v>0</v>
      </c>
      <c r="BN258" s="47"/>
      <c r="BO258" s="47"/>
      <c r="BP258" s="47"/>
      <c r="BQ258" s="47"/>
      <c r="BR258" s="47"/>
      <c r="BS258" s="46">
        <f t="shared" si="195"/>
        <v>0</v>
      </c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6"/>
      <c r="CQ258" s="47"/>
      <c r="CR258" s="47">
        <f t="shared" si="188"/>
        <v>0</v>
      </c>
      <c r="CS258" s="47"/>
      <c r="CT258" s="47"/>
      <c r="CU258" s="47"/>
      <c r="CV258" s="47"/>
      <c r="CW258" s="47">
        <f t="shared" si="161"/>
        <v>0</v>
      </c>
      <c r="CX258" s="46"/>
      <c r="CY258" s="47">
        <f t="shared" si="162"/>
        <v>0</v>
      </c>
      <c r="CZ258" s="47"/>
      <c r="DA258" s="47"/>
      <c r="DB258" s="47"/>
      <c r="DC258" s="47"/>
      <c r="DD258" s="47">
        <f t="shared" si="193"/>
        <v>0</v>
      </c>
      <c r="DE258" s="47"/>
      <c r="DF258" s="46">
        <f>DA258+DD258+DE258</f>
        <v>0</v>
      </c>
      <c r="DG258" s="47"/>
      <c r="DH258" s="90">
        <f t="shared" si="197"/>
        <v>0</v>
      </c>
      <c r="DI258" s="47"/>
      <c r="DJ258" s="47"/>
      <c r="DK258" s="47">
        <f t="shared" si="185"/>
        <v>0</v>
      </c>
      <c r="DL258" s="60">
        <f t="shared" si="155"/>
        <v>0</v>
      </c>
      <c r="DM258" s="94"/>
      <c r="DN258" s="46">
        <f t="shared" si="198"/>
        <v>0</v>
      </c>
      <c r="DO258" s="47"/>
      <c r="DP258" s="90">
        <f t="shared" si="196"/>
        <v>0</v>
      </c>
      <c r="DQ258" s="47"/>
      <c r="DR258" s="46">
        <f t="shared" si="189"/>
        <v>0</v>
      </c>
      <c r="DS258" s="47"/>
      <c r="DT258" s="46">
        <f t="shared" si="166"/>
        <v>0</v>
      </c>
      <c r="DU258" s="47"/>
      <c r="DV258" s="46">
        <f t="shared" si="172"/>
        <v>0</v>
      </c>
      <c r="DW258" s="47"/>
      <c r="DX258" s="47">
        <f t="shared" si="159"/>
        <v>0</v>
      </c>
      <c r="DY258" s="91"/>
      <c r="DZ258" s="47"/>
      <c r="EA258" s="47"/>
      <c r="EB258" s="47"/>
      <c r="EC258" s="47"/>
      <c r="ED258" s="47"/>
      <c r="EE258" s="47">
        <f t="shared" si="181"/>
        <v>0</v>
      </c>
      <c r="EF258" s="47"/>
      <c r="EG258" s="47"/>
      <c r="EH258" s="47"/>
      <c r="EI258" s="91"/>
      <c r="EJ258" s="47"/>
      <c r="EK258" s="47">
        <f t="shared" si="156"/>
        <v>0</v>
      </c>
      <c r="EL258" s="46">
        <f t="shared" si="157"/>
        <v>0</v>
      </c>
      <c r="EM258" s="46"/>
      <c r="EN258" s="46">
        <f t="shared" si="158"/>
        <v>0</v>
      </c>
    </row>
    <row r="259" spans="1:147" s="48" customFormat="1" ht="15" customHeight="1" x14ac:dyDescent="0.25">
      <c r="A259" s="58"/>
      <c r="B259" s="88">
        <v>4</v>
      </c>
      <c r="C259" s="42"/>
      <c r="D259" s="43"/>
      <c r="E259" s="42"/>
      <c r="F259" s="42"/>
      <c r="G259" s="49"/>
      <c r="H259" s="49"/>
      <c r="I259" s="49"/>
      <c r="J259" s="49"/>
      <c r="K259" s="49"/>
      <c r="L259" s="49"/>
      <c r="M259" s="42"/>
      <c r="N259" s="41"/>
      <c r="O259" s="41"/>
      <c r="P259" s="42"/>
      <c r="Q259" s="45"/>
      <c r="R259" s="45"/>
      <c r="S259" s="42"/>
      <c r="T259" s="46"/>
      <c r="U259" s="46"/>
      <c r="V259" s="46"/>
      <c r="W259" s="46"/>
      <c r="X259" s="46"/>
      <c r="Y259" s="46"/>
      <c r="Z259" s="42"/>
      <c r="AA259" s="42"/>
      <c r="AB259" s="42"/>
      <c r="AC259" s="42"/>
      <c r="AD259" s="42"/>
      <c r="AE259" s="42"/>
      <c r="AF259" s="42"/>
      <c r="AG259" s="42"/>
      <c r="AH259" s="42"/>
      <c r="AI259" s="46"/>
      <c r="AJ259" s="42"/>
      <c r="AK259" s="42"/>
      <c r="AL259" s="42"/>
      <c r="AM259" s="42"/>
      <c r="AN259" s="90">
        <f t="shared" si="153"/>
        <v>0</v>
      </c>
      <c r="AO259" s="90">
        <f t="shared" si="154"/>
        <v>0</v>
      </c>
      <c r="AP259" s="42" t="s">
        <v>111</v>
      </c>
      <c r="AQ259" s="46">
        <f t="shared" si="199"/>
        <v>0</v>
      </c>
      <c r="AR259" s="46"/>
      <c r="AS259" s="42"/>
      <c r="AT259" s="46"/>
      <c r="AU259" s="64">
        <f t="shared" si="183"/>
        <v>0</v>
      </c>
      <c r="AV259" s="47"/>
      <c r="AW259" s="64">
        <f t="shared" si="168"/>
        <v>0</v>
      </c>
      <c r="AX259" s="47" t="s">
        <v>113</v>
      </c>
      <c r="AY259" s="46">
        <f>25%*AQ259</f>
        <v>0</v>
      </c>
      <c r="AZ259" s="47"/>
      <c r="BA259" s="47"/>
      <c r="BB259" s="47"/>
      <c r="BC259" s="47">
        <f t="shared" si="182"/>
        <v>0</v>
      </c>
      <c r="BD259" s="47"/>
      <c r="BE259" s="47">
        <f t="shared" si="184"/>
        <v>0</v>
      </c>
      <c r="BF259" s="47"/>
      <c r="BG259" s="47"/>
      <c r="BH259" s="47"/>
      <c r="BI259" s="47"/>
      <c r="BJ259" s="47"/>
      <c r="BK259" s="46">
        <f t="shared" si="192"/>
        <v>0</v>
      </c>
      <c r="BL259" s="47"/>
      <c r="BM259" s="64">
        <f t="shared" si="169"/>
        <v>0</v>
      </c>
      <c r="BN259" s="47"/>
      <c r="BO259" s="47"/>
      <c r="BP259" s="47"/>
      <c r="BQ259" s="47"/>
      <c r="BR259" s="47"/>
      <c r="BS259" s="46">
        <f t="shared" si="195"/>
        <v>0</v>
      </c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6"/>
      <c r="CQ259" s="47"/>
      <c r="CR259" s="64">
        <f t="shared" si="188"/>
        <v>0</v>
      </c>
      <c r="CS259" s="47"/>
      <c r="CT259" s="47"/>
      <c r="CU259" s="47"/>
      <c r="CV259" s="47"/>
      <c r="CW259" s="47">
        <f t="shared" si="161"/>
        <v>0</v>
      </c>
      <c r="CX259" s="46"/>
      <c r="CY259" s="47">
        <f t="shared" si="162"/>
        <v>0</v>
      </c>
      <c r="CZ259" s="47"/>
      <c r="DA259" s="47"/>
      <c r="DB259" s="47"/>
      <c r="DC259" s="47"/>
      <c r="DD259" s="64">
        <f t="shared" si="193"/>
        <v>0</v>
      </c>
      <c r="DE259" s="47"/>
      <c r="DF259" s="46">
        <f>DC259</f>
        <v>0</v>
      </c>
      <c r="DG259" s="47"/>
      <c r="DH259" s="90">
        <f t="shared" si="197"/>
        <v>0</v>
      </c>
      <c r="DI259" s="47"/>
      <c r="DJ259" s="47"/>
      <c r="DK259" s="64">
        <f t="shared" si="185"/>
        <v>0</v>
      </c>
      <c r="DL259" s="60">
        <f t="shared" si="155"/>
        <v>0</v>
      </c>
      <c r="DM259" s="94"/>
      <c r="DN259" s="46">
        <f t="shared" si="198"/>
        <v>0</v>
      </c>
      <c r="DO259" s="47"/>
      <c r="DP259" s="90">
        <f t="shared" si="196"/>
        <v>0</v>
      </c>
      <c r="DQ259" s="47"/>
      <c r="DR259" s="90">
        <f t="shared" si="189"/>
        <v>0</v>
      </c>
      <c r="DS259" s="47"/>
      <c r="DT259" s="46">
        <f t="shared" si="166"/>
        <v>0</v>
      </c>
      <c r="DU259" s="47"/>
      <c r="DV259" s="46">
        <f t="shared" si="172"/>
        <v>0</v>
      </c>
      <c r="DW259" s="47"/>
      <c r="DX259" s="64">
        <f t="shared" si="159"/>
        <v>0</v>
      </c>
      <c r="DY259" s="91"/>
      <c r="DZ259" s="47"/>
      <c r="EA259" s="47"/>
      <c r="EB259" s="47"/>
      <c r="EC259" s="47"/>
      <c r="ED259" s="47"/>
      <c r="EE259" s="47">
        <f t="shared" si="181"/>
        <v>0</v>
      </c>
      <c r="EF259" s="47"/>
      <c r="EG259" s="47"/>
      <c r="EH259" s="47"/>
      <c r="EI259" s="91"/>
      <c r="EJ259" s="47"/>
      <c r="EK259" s="47">
        <f t="shared" si="156"/>
        <v>0</v>
      </c>
      <c r="EL259" s="46">
        <f t="shared" si="157"/>
        <v>0</v>
      </c>
      <c r="EM259" s="46"/>
      <c r="EN259" s="46">
        <f t="shared" si="158"/>
        <v>0</v>
      </c>
    </row>
    <row r="260" spans="1:147" s="48" customFormat="1" ht="15" customHeight="1" x14ac:dyDescent="0.25">
      <c r="A260" s="58"/>
      <c r="B260" s="88">
        <v>5</v>
      </c>
      <c r="C260" s="42"/>
      <c r="D260" s="43"/>
      <c r="E260" s="42"/>
      <c r="F260" s="42"/>
      <c r="G260" s="49"/>
      <c r="H260" s="49"/>
      <c r="I260" s="49"/>
      <c r="J260" s="49"/>
      <c r="K260" s="49"/>
      <c r="L260" s="49"/>
      <c r="M260" s="42"/>
      <c r="N260" s="41"/>
      <c r="O260" s="41"/>
      <c r="P260" s="42"/>
      <c r="Q260" s="45"/>
      <c r="R260" s="45"/>
      <c r="S260" s="42"/>
      <c r="T260" s="46"/>
      <c r="U260" s="46"/>
      <c r="V260" s="46"/>
      <c r="W260" s="46"/>
      <c r="X260" s="46"/>
      <c r="Y260" s="46"/>
      <c r="Z260" s="42"/>
      <c r="AA260" s="42"/>
      <c r="AB260" s="42"/>
      <c r="AC260" s="42"/>
      <c r="AD260" s="42"/>
      <c r="AE260" s="42"/>
      <c r="AF260" s="42"/>
      <c r="AG260" s="42"/>
      <c r="AH260" s="42"/>
      <c r="AI260" s="46"/>
      <c r="AJ260" s="42"/>
      <c r="AK260" s="42"/>
      <c r="AL260" s="42"/>
      <c r="AM260" s="42"/>
      <c r="AN260" s="90">
        <f t="shared" si="153"/>
        <v>0</v>
      </c>
      <c r="AO260" s="90">
        <f t="shared" si="154"/>
        <v>0</v>
      </c>
      <c r="AP260" s="42" t="s">
        <v>114</v>
      </c>
      <c r="AQ260" s="46">
        <f t="shared" si="199"/>
        <v>0</v>
      </c>
      <c r="AR260" s="46"/>
      <c r="AS260" s="42"/>
      <c r="AT260" s="46"/>
      <c r="AU260" s="64">
        <f t="shared" si="183"/>
        <v>0</v>
      </c>
      <c r="AV260" s="47"/>
      <c r="AW260" s="64">
        <f t="shared" si="168"/>
        <v>0</v>
      </c>
      <c r="AX260" s="47"/>
      <c r="AY260" s="46"/>
      <c r="AZ260" s="47"/>
      <c r="BA260" s="47"/>
      <c r="BB260" s="47"/>
      <c r="BC260" s="47">
        <f t="shared" si="182"/>
        <v>0</v>
      </c>
      <c r="BD260" s="47"/>
      <c r="BE260" s="47">
        <f t="shared" si="184"/>
        <v>0</v>
      </c>
      <c r="BF260" s="47"/>
      <c r="BG260" s="47"/>
      <c r="BH260" s="47"/>
      <c r="BI260" s="47"/>
      <c r="BJ260" s="47"/>
      <c r="BK260" s="46">
        <f t="shared" si="192"/>
        <v>0</v>
      </c>
      <c r="BL260" s="47"/>
      <c r="BM260" s="64">
        <f t="shared" si="169"/>
        <v>0</v>
      </c>
      <c r="BN260" s="47"/>
      <c r="BO260" s="47"/>
      <c r="BP260" s="47"/>
      <c r="BQ260" s="47"/>
      <c r="BR260" s="47"/>
      <c r="BS260" s="46">
        <f t="shared" si="195"/>
        <v>0</v>
      </c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6"/>
      <c r="CQ260" s="47"/>
      <c r="CR260" s="64">
        <f t="shared" si="188"/>
        <v>0</v>
      </c>
      <c r="CS260" s="47"/>
      <c r="CT260" s="47"/>
      <c r="CU260" s="47"/>
      <c r="CV260" s="47"/>
      <c r="CW260" s="47">
        <f t="shared" si="161"/>
        <v>0</v>
      </c>
      <c r="CX260" s="46"/>
      <c r="CY260" s="47">
        <f t="shared" si="162"/>
        <v>0</v>
      </c>
      <c r="CZ260" s="47"/>
      <c r="DA260" s="47"/>
      <c r="DB260" s="47"/>
      <c r="DC260" s="47"/>
      <c r="DD260" s="64">
        <f t="shared" si="193"/>
        <v>0</v>
      </c>
      <c r="DE260" s="47"/>
      <c r="DF260" s="46">
        <f>DC260</f>
        <v>0</v>
      </c>
      <c r="DG260" s="47"/>
      <c r="DH260" s="90">
        <f t="shared" si="197"/>
        <v>0</v>
      </c>
      <c r="DI260" s="47"/>
      <c r="DJ260" s="47"/>
      <c r="DK260" s="64">
        <f t="shared" si="185"/>
        <v>0</v>
      </c>
      <c r="DL260" s="60">
        <f t="shared" si="155"/>
        <v>0</v>
      </c>
      <c r="DM260" s="94"/>
      <c r="DN260" s="46">
        <f t="shared" si="198"/>
        <v>0</v>
      </c>
      <c r="DO260" s="47"/>
      <c r="DP260" s="46"/>
      <c r="DQ260" s="47"/>
      <c r="DR260" s="90">
        <f t="shared" si="189"/>
        <v>0</v>
      </c>
      <c r="DS260" s="47"/>
      <c r="DT260" s="46">
        <f t="shared" si="166"/>
        <v>0</v>
      </c>
      <c r="DU260" s="47"/>
      <c r="DV260" s="46">
        <f t="shared" si="172"/>
        <v>0</v>
      </c>
      <c r="DW260" s="47"/>
      <c r="DX260" s="64">
        <f t="shared" si="159"/>
        <v>0</v>
      </c>
      <c r="DY260" s="91"/>
      <c r="DZ260" s="47"/>
      <c r="EA260" s="47"/>
      <c r="EB260" s="47"/>
      <c r="EC260" s="47"/>
      <c r="ED260" s="47"/>
      <c r="EE260" s="47">
        <f t="shared" si="181"/>
        <v>0</v>
      </c>
      <c r="EF260" s="47"/>
      <c r="EG260" s="47"/>
      <c r="EH260" s="47"/>
      <c r="EI260" s="91"/>
      <c r="EJ260" s="47"/>
      <c r="EK260" s="47">
        <f t="shared" si="156"/>
        <v>0</v>
      </c>
      <c r="EL260" s="46">
        <f t="shared" si="157"/>
        <v>0</v>
      </c>
      <c r="EM260" s="46"/>
      <c r="EN260" s="46">
        <f t="shared" si="158"/>
        <v>0</v>
      </c>
    </row>
    <row r="261" spans="1:147" s="48" customFormat="1" ht="15" customHeight="1" x14ac:dyDescent="0.25">
      <c r="B261" s="88">
        <v>6</v>
      </c>
      <c r="C261" s="42"/>
      <c r="D261" s="43"/>
      <c r="E261" s="42"/>
      <c r="F261" s="42"/>
      <c r="G261" s="42"/>
      <c r="H261" s="42"/>
      <c r="I261" s="42"/>
      <c r="J261" s="42"/>
      <c r="K261" s="42"/>
      <c r="L261" s="42"/>
      <c r="M261" s="42"/>
      <c r="N261" s="41"/>
      <c r="O261" s="41"/>
      <c r="P261" s="42"/>
      <c r="Q261" s="45"/>
      <c r="R261" s="45"/>
      <c r="S261" s="42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>
        <f t="shared" ref="AN261:AN324" si="200">+X261+Y261+Z261+AA261+AB261+AC261+AD261+AE261+AF261+AG261+AH261+AI261+AJ261+AL261+AM261</f>
        <v>0</v>
      </c>
      <c r="AO261" s="47">
        <f t="shared" ref="AO261:AO324" si="201">+T261-AN261</f>
        <v>0</v>
      </c>
      <c r="AP261" s="42" t="s">
        <v>102</v>
      </c>
      <c r="AQ261" s="46"/>
      <c r="AR261" s="46"/>
      <c r="AS261" s="46"/>
      <c r="AT261" s="46"/>
      <c r="AU261" s="47">
        <f t="shared" si="183"/>
        <v>0</v>
      </c>
      <c r="AV261" s="46"/>
      <c r="AW261" s="47">
        <f t="shared" si="168"/>
        <v>0</v>
      </c>
      <c r="AX261" s="42" t="s">
        <v>113</v>
      </c>
      <c r="AY261" s="46">
        <f>25%*AQ261</f>
        <v>0</v>
      </c>
      <c r="AZ261" s="46"/>
      <c r="BA261" s="46"/>
      <c r="BB261" s="46"/>
      <c r="BC261" s="47">
        <f t="shared" si="182"/>
        <v>0</v>
      </c>
      <c r="BD261" s="46"/>
      <c r="BE261" s="47">
        <f t="shared" si="184"/>
        <v>0</v>
      </c>
      <c r="BF261" s="42"/>
      <c r="BG261" s="46"/>
      <c r="BH261" s="46"/>
      <c r="BI261" s="46"/>
      <c r="BJ261" s="46"/>
      <c r="BK261" s="46">
        <f t="shared" si="192"/>
        <v>0</v>
      </c>
      <c r="BL261" s="46"/>
      <c r="BM261" s="47">
        <f t="shared" si="169"/>
        <v>0</v>
      </c>
      <c r="BN261" s="42"/>
      <c r="BO261" s="46"/>
      <c r="BP261" s="46"/>
      <c r="BQ261" s="46"/>
      <c r="BR261" s="46"/>
      <c r="BS261" s="46">
        <f t="shared" si="195"/>
        <v>0</v>
      </c>
      <c r="BT261" s="46"/>
      <c r="BU261" s="47">
        <f>+BO261+BP261+BS261+BT261</f>
        <v>0</v>
      </c>
      <c r="BV261" s="42"/>
      <c r="BW261" s="46"/>
      <c r="BX261" s="46"/>
      <c r="BY261" s="46"/>
      <c r="BZ261" s="46"/>
      <c r="CA261" s="47">
        <f>+BY261*BZ261</f>
        <v>0</v>
      </c>
      <c r="CB261" s="46"/>
      <c r="CC261" s="47">
        <f>+BW261+BX261+CA261+CB261</f>
        <v>0</v>
      </c>
      <c r="CD261" s="42"/>
      <c r="CE261" s="46"/>
      <c r="CF261" s="46"/>
      <c r="CG261" s="46"/>
      <c r="CH261" s="46"/>
      <c r="CI261" s="47">
        <f>+CG261*CH261</f>
        <v>0</v>
      </c>
      <c r="CJ261" s="46"/>
      <c r="CK261" s="47">
        <f>+CE261+CF261+CI261+CJ261</f>
        <v>0</v>
      </c>
      <c r="CL261" s="46"/>
      <c r="CM261" s="46"/>
      <c r="CN261" s="46"/>
      <c r="CO261" s="46"/>
      <c r="CP261" s="46">
        <f>CN261*CO261</f>
        <v>0</v>
      </c>
      <c r="CQ261" s="46"/>
      <c r="CR261" s="47">
        <f t="shared" si="188"/>
        <v>0</v>
      </c>
      <c r="CS261" s="46"/>
      <c r="CT261" s="46"/>
      <c r="CU261" s="46"/>
      <c r="CV261" s="46"/>
      <c r="CW261" s="47">
        <f t="shared" si="161"/>
        <v>0</v>
      </c>
      <c r="CX261" s="46"/>
      <c r="CY261" s="47">
        <f t="shared" si="162"/>
        <v>0</v>
      </c>
      <c r="CZ261" s="46"/>
      <c r="DA261" s="46"/>
      <c r="DB261" s="46"/>
      <c r="DC261" s="46"/>
      <c r="DD261" s="64">
        <f t="shared" si="193"/>
        <v>0</v>
      </c>
      <c r="DE261" s="46"/>
      <c r="DF261" s="46">
        <f>DC261</f>
        <v>0</v>
      </c>
      <c r="DG261" s="46"/>
      <c r="DH261" s="46">
        <f t="shared" si="197"/>
        <v>0</v>
      </c>
      <c r="DI261" s="46"/>
      <c r="DJ261" s="46"/>
      <c r="DK261" s="47">
        <f t="shared" si="185"/>
        <v>0</v>
      </c>
      <c r="DL261" s="60">
        <f t="shared" ref="DL261:DL324" si="202">+DH261+DK261</f>
        <v>0</v>
      </c>
      <c r="DM261" s="46"/>
      <c r="DN261" s="46">
        <f t="shared" si="198"/>
        <v>0</v>
      </c>
      <c r="DO261" s="46"/>
      <c r="DP261" s="46">
        <f t="shared" ref="DP261:DP271" si="203">10%*AQ261</f>
        <v>0</v>
      </c>
      <c r="DQ261" s="46"/>
      <c r="DR261" s="46">
        <f t="shared" si="189"/>
        <v>0</v>
      </c>
      <c r="DS261" s="50"/>
      <c r="DT261" s="46">
        <f t="shared" si="166"/>
        <v>0</v>
      </c>
      <c r="DU261" s="46"/>
      <c r="DV261" s="46">
        <f t="shared" si="172"/>
        <v>0</v>
      </c>
      <c r="DW261" s="46"/>
      <c r="DX261" s="47">
        <f t="shared" si="159"/>
        <v>0</v>
      </c>
      <c r="DY261" s="46"/>
      <c r="DZ261" s="46"/>
      <c r="EA261" s="46"/>
      <c r="EB261" s="46"/>
      <c r="EC261" s="46"/>
      <c r="ED261" s="46"/>
      <c r="EE261" s="47">
        <f t="shared" si="181"/>
        <v>0</v>
      </c>
      <c r="EF261" s="46"/>
      <c r="EG261" s="46"/>
      <c r="EH261" s="46"/>
      <c r="EI261" s="46"/>
      <c r="EJ261" s="46"/>
      <c r="EK261" s="47">
        <f t="shared" ref="EK261:EK324" si="204">+EG261+EH261+EI261+EJ261</f>
        <v>0</v>
      </c>
      <c r="EL261" s="46">
        <f t="shared" ref="EL261:EL324" si="205">+AO261-EE261-EK261</f>
        <v>0</v>
      </c>
      <c r="EM261" s="46"/>
      <c r="EN261" s="46">
        <f t="shared" ref="EN261:EN324" si="206">EL261+EM261</f>
        <v>0</v>
      </c>
    </row>
    <row r="262" spans="1:147" s="48" customFormat="1" ht="15" customHeight="1" x14ac:dyDescent="0.25">
      <c r="A262" s="58"/>
      <c r="B262" s="88">
        <v>7</v>
      </c>
      <c r="C262" s="42"/>
      <c r="D262" s="43"/>
      <c r="E262" s="42"/>
      <c r="F262" s="42"/>
      <c r="G262" s="49"/>
      <c r="H262" s="49"/>
      <c r="I262" s="49"/>
      <c r="J262" s="49"/>
      <c r="K262" s="49"/>
      <c r="L262" s="49"/>
      <c r="M262" s="42"/>
      <c r="N262" s="41"/>
      <c r="O262" s="41"/>
      <c r="P262" s="42"/>
      <c r="Q262" s="45"/>
      <c r="R262" s="45"/>
      <c r="S262" s="42"/>
      <c r="T262" s="46"/>
      <c r="U262" s="46"/>
      <c r="V262" s="46"/>
      <c r="W262" s="46"/>
      <c r="X262" s="46"/>
      <c r="Y262" s="46"/>
      <c r="Z262" s="42"/>
      <c r="AA262" s="42"/>
      <c r="AB262" s="42"/>
      <c r="AC262" s="42"/>
      <c r="AD262" s="42"/>
      <c r="AE262" s="42"/>
      <c r="AF262" s="42"/>
      <c r="AG262" s="42"/>
      <c r="AH262" s="42"/>
      <c r="AI262" s="46"/>
      <c r="AJ262" s="42"/>
      <c r="AK262" s="42"/>
      <c r="AL262" s="42"/>
      <c r="AM262" s="42"/>
      <c r="AN262" s="90">
        <f t="shared" si="200"/>
        <v>0</v>
      </c>
      <c r="AO262" s="90">
        <f t="shared" si="201"/>
        <v>0</v>
      </c>
      <c r="AP262" s="42" t="s">
        <v>111</v>
      </c>
      <c r="AQ262" s="46">
        <f t="shared" ref="AQ262:AQ282" si="207">20%*AO262</f>
        <v>0</v>
      </c>
      <c r="AR262" s="46"/>
      <c r="AS262" s="42"/>
      <c r="AT262" s="46"/>
      <c r="AU262" s="64">
        <f t="shared" si="183"/>
        <v>0</v>
      </c>
      <c r="AV262" s="47"/>
      <c r="AW262" s="64">
        <f t="shared" si="168"/>
        <v>0</v>
      </c>
      <c r="AX262" s="47" t="s">
        <v>113</v>
      </c>
      <c r="AY262" s="46">
        <f>25%*AQ262</f>
        <v>0</v>
      </c>
      <c r="AZ262" s="47"/>
      <c r="BA262" s="47"/>
      <c r="BB262" s="47"/>
      <c r="BC262" s="47">
        <f t="shared" si="182"/>
        <v>0</v>
      </c>
      <c r="BD262" s="47"/>
      <c r="BE262" s="47">
        <f t="shared" si="184"/>
        <v>0</v>
      </c>
      <c r="BF262" s="47"/>
      <c r="BG262" s="47"/>
      <c r="BH262" s="47"/>
      <c r="BI262" s="47"/>
      <c r="BJ262" s="47"/>
      <c r="BK262" s="46">
        <f t="shared" si="192"/>
        <v>0</v>
      </c>
      <c r="BL262" s="47"/>
      <c r="BM262" s="64">
        <f t="shared" si="169"/>
        <v>0</v>
      </c>
      <c r="BN262" s="47"/>
      <c r="BO262" s="47"/>
      <c r="BP262" s="47"/>
      <c r="BQ262" s="47"/>
      <c r="BR262" s="47"/>
      <c r="BS262" s="46">
        <f t="shared" si="195"/>
        <v>0</v>
      </c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6"/>
      <c r="CQ262" s="47"/>
      <c r="CR262" s="64">
        <f t="shared" si="188"/>
        <v>0</v>
      </c>
      <c r="CS262" s="47"/>
      <c r="CT262" s="47"/>
      <c r="CU262" s="47"/>
      <c r="CV262" s="47"/>
      <c r="CW262" s="47">
        <f t="shared" si="161"/>
        <v>0</v>
      </c>
      <c r="CX262" s="46"/>
      <c r="CY262" s="47">
        <f t="shared" si="162"/>
        <v>0</v>
      </c>
      <c r="CZ262" s="47"/>
      <c r="DA262" s="47"/>
      <c r="DB262" s="47"/>
      <c r="DC262" s="47"/>
      <c r="DD262" s="64">
        <f t="shared" si="193"/>
        <v>0</v>
      </c>
      <c r="DE262" s="47"/>
      <c r="DF262" s="46">
        <f>DC262</f>
        <v>0</v>
      </c>
      <c r="DG262" s="47"/>
      <c r="DH262" s="46">
        <f t="shared" si="197"/>
        <v>0</v>
      </c>
      <c r="DI262" s="47"/>
      <c r="DJ262" s="47"/>
      <c r="DK262" s="64">
        <f t="shared" si="185"/>
        <v>0</v>
      </c>
      <c r="DL262" s="60">
        <f t="shared" si="202"/>
        <v>0</v>
      </c>
      <c r="DM262" s="94"/>
      <c r="DN262" s="46">
        <f t="shared" si="198"/>
        <v>0</v>
      </c>
      <c r="DO262" s="47"/>
      <c r="DP262" s="46">
        <f t="shared" si="203"/>
        <v>0</v>
      </c>
      <c r="DQ262" s="47"/>
      <c r="DR262" s="90">
        <f t="shared" si="189"/>
        <v>0</v>
      </c>
      <c r="DS262" s="47"/>
      <c r="DT262" s="46">
        <f t="shared" si="166"/>
        <v>0</v>
      </c>
      <c r="DU262" s="47"/>
      <c r="DV262" s="46">
        <f t="shared" si="172"/>
        <v>0</v>
      </c>
      <c r="DW262" s="47"/>
      <c r="DX262" s="64">
        <f t="shared" si="159"/>
        <v>0</v>
      </c>
      <c r="DY262" s="91"/>
      <c r="DZ262" s="47"/>
      <c r="EA262" s="47"/>
      <c r="EB262" s="47"/>
      <c r="EC262" s="47"/>
      <c r="ED262" s="47"/>
      <c r="EE262" s="47">
        <f t="shared" si="181"/>
        <v>0</v>
      </c>
      <c r="EF262" s="47"/>
      <c r="EG262" s="47"/>
      <c r="EH262" s="47"/>
      <c r="EI262" s="91"/>
      <c r="EJ262" s="47"/>
      <c r="EK262" s="47">
        <f t="shared" si="204"/>
        <v>0</v>
      </c>
      <c r="EL262" s="46">
        <f t="shared" si="205"/>
        <v>0</v>
      </c>
      <c r="EM262" s="46"/>
      <c r="EN262" s="46">
        <f t="shared" si="206"/>
        <v>0</v>
      </c>
    </row>
    <row r="263" spans="1:147" s="48" customFormat="1" ht="15" customHeight="1" x14ac:dyDescent="0.25">
      <c r="A263" s="58"/>
      <c r="B263" s="88">
        <v>8</v>
      </c>
      <c r="C263" s="42"/>
      <c r="D263" s="43"/>
      <c r="E263" s="42"/>
      <c r="F263" s="42"/>
      <c r="G263" s="49"/>
      <c r="H263" s="49"/>
      <c r="I263" s="49"/>
      <c r="J263" s="49"/>
      <c r="K263" s="49"/>
      <c r="L263" s="49"/>
      <c r="M263" s="42"/>
      <c r="N263" s="41"/>
      <c r="O263" s="41"/>
      <c r="P263" s="44"/>
      <c r="Q263" s="45"/>
      <c r="R263" s="45"/>
      <c r="S263" s="42"/>
      <c r="T263" s="46"/>
      <c r="U263" s="46"/>
      <c r="V263" s="46"/>
      <c r="W263" s="46"/>
      <c r="X263" s="46"/>
      <c r="Y263" s="46"/>
      <c r="Z263" s="42"/>
      <c r="AA263" s="42"/>
      <c r="AB263" s="42"/>
      <c r="AC263" s="42"/>
      <c r="AD263" s="42"/>
      <c r="AE263" s="42"/>
      <c r="AF263" s="42"/>
      <c r="AG263" s="42"/>
      <c r="AH263" s="42"/>
      <c r="AI263" s="46"/>
      <c r="AJ263" s="42"/>
      <c r="AK263" s="42"/>
      <c r="AL263" s="42"/>
      <c r="AM263" s="42"/>
      <c r="AN263" s="46">
        <f t="shared" si="200"/>
        <v>0</v>
      </c>
      <c r="AO263" s="46">
        <f t="shared" si="201"/>
        <v>0</v>
      </c>
      <c r="AP263" s="42" t="s">
        <v>111</v>
      </c>
      <c r="AQ263" s="46">
        <f t="shared" si="207"/>
        <v>0</v>
      </c>
      <c r="AR263" s="46"/>
      <c r="AS263" s="42"/>
      <c r="AT263" s="46"/>
      <c r="AU263" s="47">
        <f t="shared" si="183"/>
        <v>0</v>
      </c>
      <c r="AV263" s="47"/>
      <c r="AW263" s="47">
        <f t="shared" si="168"/>
        <v>0</v>
      </c>
      <c r="AX263" s="47" t="s">
        <v>113</v>
      </c>
      <c r="AY263" s="46">
        <f>25%*AQ263</f>
        <v>0</v>
      </c>
      <c r="AZ263" s="47"/>
      <c r="BA263" s="47"/>
      <c r="BB263" s="47"/>
      <c r="BC263" s="47">
        <f t="shared" si="182"/>
        <v>0</v>
      </c>
      <c r="BD263" s="47"/>
      <c r="BE263" s="47">
        <f t="shared" si="184"/>
        <v>0</v>
      </c>
      <c r="BF263" s="47"/>
      <c r="BG263" s="47"/>
      <c r="BH263" s="47"/>
      <c r="BI263" s="47"/>
      <c r="BJ263" s="47"/>
      <c r="BK263" s="46">
        <f t="shared" si="192"/>
        <v>0</v>
      </c>
      <c r="BL263" s="47"/>
      <c r="BM263" s="47">
        <f t="shared" si="169"/>
        <v>0</v>
      </c>
      <c r="BN263" s="47"/>
      <c r="BO263" s="47"/>
      <c r="BP263" s="47"/>
      <c r="BQ263" s="47"/>
      <c r="BR263" s="47"/>
      <c r="BS263" s="46">
        <f t="shared" si="195"/>
        <v>0</v>
      </c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6"/>
      <c r="CQ263" s="47"/>
      <c r="CR263" s="47">
        <f t="shared" si="188"/>
        <v>0</v>
      </c>
      <c r="CS263" s="47"/>
      <c r="CT263" s="47"/>
      <c r="CU263" s="47"/>
      <c r="CV263" s="47"/>
      <c r="CW263" s="47">
        <f t="shared" si="161"/>
        <v>0</v>
      </c>
      <c r="CX263" s="46"/>
      <c r="CY263" s="47">
        <f t="shared" si="162"/>
        <v>0</v>
      </c>
      <c r="CZ263" s="47"/>
      <c r="DA263" s="47"/>
      <c r="DB263" s="47"/>
      <c r="DC263" s="47"/>
      <c r="DD263" s="47">
        <f t="shared" si="193"/>
        <v>0</v>
      </c>
      <c r="DE263" s="47"/>
      <c r="DF263" s="46"/>
      <c r="DG263" s="47"/>
      <c r="DH263" s="46">
        <f t="shared" si="197"/>
        <v>0</v>
      </c>
      <c r="DI263" s="47"/>
      <c r="DJ263" s="47"/>
      <c r="DK263" s="47">
        <f t="shared" si="185"/>
        <v>0</v>
      </c>
      <c r="DL263" s="60">
        <f t="shared" si="202"/>
        <v>0</v>
      </c>
      <c r="DM263" s="94"/>
      <c r="DN263" s="46">
        <f t="shared" si="198"/>
        <v>0</v>
      </c>
      <c r="DO263" s="47"/>
      <c r="DP263" s="46">
        <f t="shared" si="203"/>
        <v>0</v>
      </c>
      <c r="DQ263" s="47"/>
      <c r="DR263" s="46">
        <f t="shared" si="189"/>
        <v>0</v>
      </c>
      <c r="DS263" s="47"/>
      <c r="DT263" s="46">
        <f t="shared" si="166"/>
        <v>0</v>
      </c>
      <c r="DU263" s="47"/>
      <c r="DV263" s="46">
        <f t="shared" si="172"/>
        <v>0</v>
      </c>
      <c r="DW263" s="47"/>
      <c r="DX263" s="47">
        <f t="shared" si="159"/>
        <v>0</v>
      </c>
      <c r="DY263" s="91"/>
      <c r="DZ263" s="47"/>
      <c r="EA263" s="47"/>
      <c r="EB263" s="47"/>
      <c r="EC263" s="47"/>
      <c r="ED263" s="47"/>
      <c r="EE263" s="47">
        <f t="shared" si="181"/>
        <v>0</v>
      </c>
      <c r="EF263" s="47"/>
      <c r="EG263" s="47"/>
      <c r="EH263" s="47"/>
      <c r="EI263" s="91"/>
      <c r="EJ263" s="47"/>
      <c r="EK263" s="47">
        <f t="shared" si="204"/>
        <v>0</v>
      </c>
      <c r="EL263" s="46">
        <f t="shared" si="205"/>
        <v>0</v>
      </c>
      <c r="EM263" s="46"/>
      <c r="EN263" s="46">
        <f t="shared" si="206"/>
        <v>0</v>
      </c>
    </row>
    <row r="264" spans="1:147" s="48" customFormat="1" ht="15" customHeight="1" x14ac:dyDescent="0.25">
      <c r="A264" s="58"/>
      <c r="B264" s="88">
        <v>9</v>
      </c>
      <c r="C264" s="42"/>
      <c r="D264" s="43"/>
      <c r="E264" s="42"/>
      <c r="F264" s="42"/>
      <c r="G264" s="49"/>
      <c r="H264" s="49"/>
      <c r="I264" s="49"/>
      <c r="J264" s="49"/>
      <c r="K264" s="49"/>
      <c r="L264" s="49"/>
      <c r="M264" s="42"/>
      <c r="N264" s="41"/>
      <c r="O264" s="41"/>
      <c r="P264" s="42"/>
      <c r="Q264" s="45"/>
      <c r="R264" s="45"/>
      <c r="S264" s="42"/>
      <c r="T264" s="46"/>
      <c r="U264" s="46"/>
      <c r="V264" s="46"/>
      <c r="W264" s="46"/>
      <c r="X264" s="46"/>
      <c r="Y264" s="46"/>
      <c r="Z264" s="42"/>
      <c r="AA264" s="42"/>
      <c r="AB264" s="42"/>
      <c r="AC264" s="42"/>
      <c r="AD264" s="42"/>
      <c r="AE264" s="42"/>
      <c r="AF264" s="42"/>
      <c r="AG264" s="42"/>
      <c r="AH264" s="42"/>
      <c r="AI264" s="46"/>
      <c r="AJ264" s="42"/>
      <c r="AK264" s="42"/>
      <c r="AL264" s="42"/>
      <c r="AM264" s="42"/>
      <c r="AN264" s="46">
        <f t="shared" si="200"/>
        <v>0</v>
      </c>
      <c r="AO264" s="46">
        <f t="shared" si="201"/>
        <v>0</v>
      </c>
      <c r="AP264" s="42" t="s">
        <v>111</v>
      </c>
      <c r="AQ264" s="46">
        <f t="shared" si="207"/>
        <v>0</v>
      </c>
      <c r="AR264" s="46"/>
      <c r="AS264" s="42"/>
      <c r="AT264" s="46"/>
      <c r="AU264" s="47">
        <f t="shared" si="183"/>
        <v>0</v>
      </c>
      <c r="AV264" s="47"/>
      <c r="AW264" s="47">
        <f t="shared" si="168"/>
        <v>0</v>
      </c>
      <c r="AX264" s="47" t="s">
        <v>113</v>
      </c>
      <c r="AY264" s="46">
        <f>25%*AQ264</f>
        <v>0</v>
      </c>
      <c r="AZ264" s="47"/>
      <c r="BA264" s="47"/>
      <c r="BB264" s="47"/>
      <c r="BC264" s="47">
        <f t="shared" si="182"/>
        <v>0</v>
      </c>
      <c r="BD264" s="47"/>
      <c r="BE264" s="47">
        <f t="shared" si="184"/>
        <v>0</v>
      </c>
      <c r="BF264" s="47"/>
      <c r="BG264" s="47"/>
      <c r="BH264" s="47"/>
      <c r="BI264" s="47"/>
      <c r="BJ264" s="47"/>
      <c r="BK264" s="46">
        <f t="shared" si="192"/>
        <v>0</v>
      </c>
      <c r="BL264" s="47"/>
      <c r="BM264" s="47">
        <f t="shared" si="169"/>
        <v>0</v>
      </c>
      <c r="BN264" s="47"/>
      <c r="BO264" s="47"/>
      <c r="BP264" s="47"/>
      <c r="BQ264" s="47"/>
      <c r="BR264" s="47"/>
      <c r="BS264" s="46">
        <f t="shared" si="195"/>
        <v>0</v>
      </c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6"/>
      <c r="CQ264" s="47"/>
      <c r="CR264" s="47">
        <f t="shared" si="188"/>
        <v>0</v>
      </c>
      <c r="CS264" s="47"/>
      <c r="CT264" s="47"/>
      <c r="CU264" s="47"/>
      <c r="CV264" s="47"/>
      <c r="CW264" s="47">
        <f t="shared" si="161"/>
        <v>0</v>
      </c>
      <c r="CX264" s="46"/>
      <c r="CY264" s="47">
        <f t="shared" si="162"/>
        <v>0</v>
      </c>
      <c r="CZ264" s="47"/>
      <c r="DA264" s="47"/>
      <c r="DB264" s="47"/>
      <c r="DC264" s="47"/>
      <c r="DD264" s="47"/>
      <c r="DE264" s="47"/>
      <c r="DF264" s="46"/>
      <c r="DG264" s="47"/>
      <c r="DH264" s="46">
        <f t="shared" si="197"/>
        <v>0</v>
      </c>
      <c r="DI264" s="47"/>
      <c r="DJ264" s="47"/>
      <c r="DK264" s="47">
        <f t="shared" si="185"/>
        <v>0</v>
      </c>
      <c r="DL264" s="60">
        <f t="shared" si="202"/>
        <v>0</v>
      </c>
      <c r="DM264" s="94"/>
      <c r="DN264" s="46">
        <f t="shared" si="198"/>
        <v>0</v>
      </c>
      <c r="DO264" s="47"/>
      <c r="DP264" s="46">
        <f t="shared" si="203"/>
        <v>0</v>
      </c>
      <c r="DQ264" s="47"/>
      <c r="DR264" s="46">
        <f t="shared" si="189"/>
        <v>0</v>
      </c>
      <c r="DS264" s="47"/>
      <c r="DT264" s="46">
        <f t="shared" si="166"/>
        <v>0</v>
      </c>
      <c r="DU264" s="47"/>
      <c r="DV264" s="46">
        <f t="shared" si="172"/>
        <v>0</v>
      </c>
      <c r="DW264" s="47"/>
      <c r="DX264" s="47">
        <f t="shared" si="159"/>
        <v>0</v>
      </c>
      <c r="DY264" s="91"/>
      <c r="DZ264" s="47"/>
      <c r="EA264" s="47"/>
      <c r="EB264" s="47"/>
      <c r="EC264" s="47"/>
      <c r="ED264" s="47"/>
      <c r="EE264" s="47">
        <f t="shared" si="181"/>
        <v>0</v>
      </c>
      <c r="EF264" s="47"/>
      <c r="EG264" s="47"/>
      <c r="EH264" s="47"/>
      <c r="EI264" s="91"/>
      <c r="EJ264" s="47"/>
      <c r="EK264" s="47">
        <f t="shared" si="204"/>
        <v>0</v>
      </c>
      <c r="EL264" s="46">
        <f t="shared" si="205"/>
        <v>0</v>
      </c>
      <c r="EM264" s="46"/>
      <c r="EN264" s="46">
        <f t="shared" si="206"/>
        <v>0</v>
      </c>
    </row>
    <row r="265" spans="1:147" s="48" customFormat="1" ht="15" customHeight="1" x14ac:dyDescent="0.25">
      <c r="A265" s="58"/>
      <c r="B265" s="88">
        <v>10</v>
      </c>
      <c r="C265" s="42"/>
      <c r="D265" s="43"/>
      <c r="E265" s="42"/>
      <c r="F265" s="42"/>
      <c r="G265" s="49"/>
      <c r="H265" s="49"/>
      <c r="I265" s="49"/>
      <c r="J265" s="49"/>
      <c r="K265" s="49"/>
      <c r="L265" s="49"/>
      <c r="M265" s="42"/>
      <c r="N265" s="41"/>
      <c r="O265" s="41"/>
      <c r="P265" s="42"/>
      <c r="Q265" s="45"/>
      <c r="R265" s="45"/>
      <c r="S265" s="42"/>
      <c r="T265" s="46"/>
      <c r="U265" s="46"/>
      <c r="V265" s="46"/>
      <c r="W265" s="46"/>
      <c r="X265" s="46"/>
      <c r="Y265" s="46"/>
      <c r="Z265" s="42"/>
      <c r="AA265" s="42"/>
      <c r="AB265" s="42"/>
      <c r="AC265" s="42"/>
      <c r="AD265" s="42"/>
      <c r="AE265" s="42"/>
      <c r="AF265" s="42"/>
      <c r="AG265" s="42"/>
      <c r="AH265" s="42"/>
      <c r="AI265" s="46"/>
      <c r="AJ265" s="42"/>
      <c r="AK265" s="42"/>
      <c r="AL265" s="42"/>
      <c r="AM265" s="42"/>
      <c r="AN265" s="90">
        <f t="shared" si="200"/>
        <v>0</v>
      </c>
      <c r="AO265" s="90">
        <f t="shared" si="201"/>
        <v>0</v>
      </c>
      <c r="AP265" s="42" t="s">
        <v>111</v>
      </c>
      <c r="AQ265" s="46">
        <f t="shared" si="207"/>
        <v>0</v>
      </c>
      <c r="AR265" s="46"/>
      <c r="AS265" s="42"/>
      <c r="AT265" s="46"/>
      <c r="AU265" s="64">
        <f t="shared" si="183"/>
        <v>0</v>
      </c>
      <c r="AV265" s="47"/>
      <c r="AW265" s="64">
        <f t="shared" si="168"/>
        <v>0</v>
      </c>
      <c r="AX265" s="47"/>
      <c r="AY265" s="46"/>
      <c r="AZ265" s="47"/>
      <c r="BA265" s="47"/>
      <c r="BB265" s="47"/>
      <c r="BC265" s="47">
        <f t="shared" si="182"/>
        <v>0</v>
      </c>
      <c r="BD265" s="47"/>
      <c r="BE265" s="47">
        <f t="shared" si="184"/>
        <v>0</v>
      </c>
      <c r="BF265" s="47"/>
      <c r="BG265" s="47"/>
      <c r="BH265" s="47"/>
      <c r="BI265" s="47"/>
      <c r="BJ265" s="47"/>
      <c r="BK265" s="46">
        <f t="shared" si="192"/>
        <v>0</v>
      </c>
      <c r="BL265" s="47"/>
      <c r="BM265" s="64">
        <f t="shared" si="169"/>
        <v>0</v>
      </c>
      <c r="BN265" s="47"/>
      <c r="BO265" s="47"/>
      <c r="BP265" s="47"/>
      <c r="BQ265" s="47"/>
      <c r="BR265" s="47"/>
      <c r="BS265" s="46">
        <f t="shared" si="195"/>
        <v>0</v>
      </c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6"/>
      <c r="CQ265" s="47"/>
      <c r="CR265" s="64">
        <f t="shared" si="188"/>
        <v>0</v>
      </c>
      <c r="CS265" s="47"/>
      <c r="CT265" s="47"/>
      <c r="CU265" s="47"/>
      <c r="CV265" s="47"/>
      <c r="CW265" s="47">
        <f t="shared" si="161"/>
        <v>0</v>
      </c>
      <c r="CX265" s="46"/>
      <c r="CY265" s="47">
        <f t="shared" si="162"/>
        <v>0</v>
      </c>
      <c r="CZ265" s="47"/>
      <c r="DA265" s="47"/>
      <c r="DB265" s="47"/>
      <c r="DC265" s="47"/>
      <c r="DD265" s="47"/>
      <c r="DE265" s="47"/>
      <c r="DF265" s="46"/>
      <c r="DG265" s="47"/>
      <c r="DH265" s="46">
        <f t="shared" si="197"/>
        <v>0</v>
      </c>
      <c r="DI265" s="46"/>
      <c r="DJ265" s="47"/>
      <c r="DK265" s="64">
        <f t="shared" si="185"/>
        <v>0</v>
      </c>
      <c r="DL265" s="60">
        <f t="shared" si="202"/>
        <v>0</v>
      </c>
      <c r="DM265" s="94"/>
      <c r="DN265" s="46">
        <f t="shared" si="198"/>
        <v>0</v>
      </c>
      <c r="DO265" s="47"/>
      <c r="DP265" s="46">
        <f t="shared" si="203"/>
        <v>0</v>
      </c>
      <c r="DQ265" s="47"/>
      <c r="DR265" s="90">
        <f t="shared" si="189"/>
        <v>0</v>
      </c>
      <c r="DS265" s="47"/>
      <c r="DT265" s="46">
        <f t="shared" si="166"/>
        <v>0</v>
      </c>
      <c r="DU265" s="47"/>
      <c r="DV265" s="46">
        <f t="shared" si="172"/>
        <v>0</v>
      </c>
      <c r="DW265" s="47"/>
      <c r="DX265" s="64">
        <f t="shared" ref="DX265:DX287" si="208">+DN265+DP265+DR265+DT265+DV265</f>
        <v>0</v>
      </c>
      <c r="DY265" s="91"/>
      <c r="DZ265" s="47"/>
      <c r="EA265" s="47"/>
      <c r="EB265" s="47"/>
      <c r="EC265" s="47"/>
      <c r="ED265" s="47"/>
      <c r="EE265" s="47">
        <f t="shared" si="181"/>
        <v>0</v>
      </c>
      <c r="EF265" s="47"/>
      <c r="EG265" s="47"/>
      <c r="EH265" s="47"/>
      <c r="EI265" s="91"/>
      <c r="EJ265" s="47"/>
      <c r="EK265" s="47">
        <f t="shared" si="204"/>
        <v>0</v>
      </c>
      <c r="EL265" s="46">
        <f t="shared" si="205"/>
        <v>0</v>
      </c>
      <c r="EM265" s="46"/>
      <c r="EN265" s="46">
        <f t="shared" si="206"/>
        <v>0</v>
      </c>
    </row>
    <row r="266" spans="1:147" s="48" customFormat="1" ht="15" customHeight="1" x14ac:dyDescent="0.25">
      <c r="A266" s="58"/>
      <c r="B266" s="88">
        <v>11</v>
      </c>
      <c r="C266" s="42"/>
      <c r="D266" s="43"/>
      <c r="E266" s="42"/>
      <c r="F266" s="42"/>
      <c r="G266" s="49"/>
      <c r="H266" s="49"/>
      <c r="I266" s="49"/>
      <c r="J266" s="49"/>
      <c r="K266" s="49"/>
      <c r="L266" s="49"/>
      <c r="M266" s="42"/>
      <c r="N266" s="41"/>
      <c r="O266" s="41"/>
      <c r="P266" s="42"/>
      <c r="Q266" s="45"/>
      <c r="R266" s="45"/>
      <c r="S266" s="42"/>
      <c r="T266" s="46"/>
      <c r="U266" s="46"/>
      <c r="V266" s="46"/>
      <c r="W266" s="46"/>
      <c r="X266" s="46"/>
      <c r="Y266" s="46"/>
      <c r="Z266" s="42"/>
      <c r="AA266" s="42"/>
      <c r="AB266" s="42"/>
      <c r="AC266" s="42"/>
      <c r="AD266" s="42"/>
      <c r="AE266" s="42"/>
      <c r="AF266" s="42"/>
      <c r="AG266" s="42"/>
      <c r="AH266" s="42"/>
      <c r="AI266" s="46"/>
      <c r="AJ266" s="42"/>
      <c r="AK266" s="42"/>
      <c r="AL266" s="42"/>
      <c r="AM266" s="42"/>
      <c r="AN266" s="90">
        <f t="shared" si="200"/>
        <v>0</v>
      </c>
      <c r="AO266" s="90">
        <f t="shared" si="201"/>
        <v>0</v>
      </c>
      <c r="AP266" s="42" t="s">
        <v>111</v>
      </c>
      <c r="AQ266" s="46">
        <f t="shared" si="207"/>
        <v>0</v>
      </c>
      <c r="AR266" s="46"/>
      <c r="AS266" s="42"/>
      <c r="AT266" s="46"/>
      <c r="AU266" s="64">
        <f t="shared" si="183"/>
        <v>0</v>
      </c>
      <c r="AV266" s="47"/>
      <c r="AW266" s="64">
        <f t="shared" si="168"/>
        <v>0</v>
      </c>
      <c r="AX266" s="47" t="s">
        <v>113</v>
      </c>
      <c r="AY266" s="46">
        <f>25%*AQ266</f>
        <v>0</v>
      </c>
      <c r="AZ266" s="47"/>
      <c r="BA266" s="47"/>
      <c r="BB266" s="47"/>
      <c r="BC266" s="47">
        <f t="shared" si="182"/>
        <v>0</v>
      </c>
      <c r="BD266" s="47"/>
      <c r="BE266" s="47">
        <f t="shared" si="184"/>
        <v>0</v>
      </c>
      <c r="BF266" s="47"/>
      <c r="BG266" s="47"/>
      <c r="BH266" s="47"/>
      <c r="BI266" s="47"/>
      <c r="BJ266" s="47"/>
      <c r="BK266" s="46">
        <f t="shared" si="192"/>
        <v>0</v>
      </c>
      <c r="BL266" s="47"/>
      <c r="BM266" s="64">
        <f t="shared" si="169"/>
        <v>0</v>
      </c>
      <c r="BN266" s="47"/>
      <c r="BO266" s="47"/>
      <c r="BP266" s="47"/>
      <c r="BQ266" s="47"/>
      <c r="BR266" s="47"/>
      <c r="BS266" s="46">
        <f t="shared" si="195"/>
        <v>0</v>
      </c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6"/>
      <c r="CQ266" s="47"/>
      <c r="CR266" s="64">
        <f t="shared" si="188"/>
        <v>0</v>
      </c>
      <c r="CS266" s="47"/>
      <c r="CT266" s="47"/>
      <c r="CU266" s="47"/>
      <c r="CV266" s="47"/>
      <c r="CW266" s="47">
        <f t="shared" ref="CW266" si="209">CU266*CV266</f>
        <v>0</v>
      </c>
      <c r="CX266" s="46"/>
      <c r="CY266" s="47">
        <f t="shared" ref="CY266:CY325" si="210">+CT266+CW266+CX266</f>
        <v>0</v>
      </c>
      <c r="CZ266" s="47"/>
      <c r="DA266" s="47"/>
      <c r="DB266" s="47"/>
      <c r="DC266" s="47"/>
      <c r="DD266" s="47"/>
      <c r="DE266" s="47"/>
      <c r="DF266" s="46"/>
      <c r="DG266" s="47"/>
      <c r="DH266" s="46">
        <f t="shared" si="197"/>
        <v>0</v>
      </c>
      <c r="DI266" s="47"/>
      <c r="DJ266" s="47"/>
      <c r="DK266" s="64">
        <f t="shared" si="185"/>
        <v>0</v>
      </c>
      <c r="DL266" s="60">
        <f t="shared" si="202"/>
        <v>0</v>
      </c>
      <c r="DM266" s="94"/>
      <c r="DN266" s="46">
        <f t="shared" si="198"/>
        <v>0</v>
      </c>
      <c r="DO266" s="47"/>
      <c r="DP266" s="90">
        <f t="shared" si="203"/>
        <v>0</v>
      </c>
      <c r="DQ266" s="47"/>
      <c r="DR266" s="90">
        <f t="shared" si="189"/>
        <v>0</v>
      </c>
      <c r="DS266" s="47"/>
      <c r="DT266" s="46">
        <f t="shared" si="166"/>
        <v>0</v>
      </c>
      <c r="DU266" s="47"/>
      <c r="DV266" s="46">
        <f t="shared" si="172"/>
        <v>0</v>
      </c>
      <c r="DW266" s="47"/>
      <c r="DX266" s="64">
        <f t="shared" si="208"/>
        <v>0</v>
      </c>
      <c r="DY266" s="91"/>
      <c r="DZ266" s="47"/>
      <c r="EA266" s="47"/>
      <c r="EB266" s="47"/>
      <c r="EC266" s="47"/>
      <c r="ED266" s="47"/>
      <c r="EE266" s="47">
        <f t="shared" si="181"/>
        <v>0</v>
      </c>
      <c r="EF266" s="47"/>
      <c r="EG266" s="47"/>
      <c r="EH266" s="47"/>
      <c r="EI266" s="91"/>
      <c r="EJ266" s="47"/>
      <c r="EK266" s="47">
        <f t="shared" si="204"/>
        <v>0</v>
      </c>
      <c r="EL266" s="46">
        <f t="shared" si="205"/>
        <v>0</v>
      </c>
      <c r="EM266" s="46"/>
      <c r="EN266" s="46">
        <f t="shared" si="206"/>
        <v>0</v>
      </c>
    </row>
    <row r="267" spans="1:147" s="80" customFormat="1" ht="15" customHeight="1" x14ac:dyDescent="0.25">
      <c r="B267" s="88">
        <v>12</v>
      </c>
      <c r="C267" s="42"/>
      <c r="D267" s="43"/>
      <c r="E267" s="42"/>
      <c r="F267" s="42"/>
      <c r="G267" s="42"/>
      <c r="H267" s="42"/>
      <c r="I267" s="42"/>
      <c r="J267" s="42"/>
      <c r="K267" s="42"/>
      <c r="L267" s="42"/>
      <c r="M267" s="42"/>
      <c r="N267" s="41"/>
      <c r="O267" s="41"/>
      <c r="P267" s="42"/>
      <c r="Q267" s="45"/>
      <c r="R267" s="45"/>
      <c r="S267" s="42"/>
      <c r="T267" s="46"/>
      <c r="U267" s="46"/>
      <c r="V267" s="46"/>
      <c r="W267" s="46"/>
      <c r="X267" s="46"/>
      <c r="Y267" s="46"/>
      <c r="Z267" s="42"/>
      <c r="AA267" s="42"/>
      <c r="AB267" s="42"/>
      <c r="AC267" s="42"/>
      <c r="AD267" s="42"/>
      <c r="AE267" s="42"/>
      <c r="AF267" s="42"/>
      <c r="AG267" s="42"/>
      <c r="AH267" s="42"/>
      <c r="AI267" s="46"/>
      <c r="AJ267" s="42"/>
      <c r="AK267" s="42"/>
      <c r="AL267" s="42"/>
      <c r="AM267" s="42"/>
      <c r="AN267" s="90">
        <f t="shared" si="200"/>
        <v>0</v>
      </c>
      <c r="AO267" s="90">
        <f t="shared" si="201"/>
        <v>0</v>
      </c>
      <c r="AP267" s="42" t="s">
        <v>111</v>
      </c>
      <c r="AQ267" s="46">
        <f t="shared" si="207"/>
        <v>0</v>
      </c>
      <c r="AR267" s="46"/>
      <c r="AS267" s="42"/>
      <c r="AT267" s="46"/>
      <c r="AU267" s="64">
        <f t="shared" si="183"/>
        <v>0</v>
      </c>
      <c r="AV267" s="47"/>
      <c r="AW267" s="64">
        <f t="shared" si="168"/>
        <v>0</v>
      </c>
      <c r="AX267" s="47" t="s">
        <v>113</v>
      </c>
      <c r="AY267" s="46">
        <f>25%*AQ267</f>
        <v>0</v>
      </c>
      <c r="AZ267" s="47"/>
      <c r="BA267" s="47"/>
      <c r="BB267" s="47"/>
      <c r="BC267" s="47">
        <f t="shared" si="182"/>
        <v>0</v>
      </c>
      <c r="BD267" s="47"/>
      <c r="BE267" s="47">
        <f t="shared" si="184"/>
        <v>0</v>
      </c>
      <c r="BF267" s="47"/>
      <c r="BG267" s="47"/>
      <c r="BH267" s="47"/>
      <c r="BI267" s="47"/>
      <c r="BJ267" s="47"/>
      <c r="BK267" s="46">
        <f t="shared" si="192"/>
        <v>0</v>
      </c>
      <c r="BL267" s="47"/>
      <c r="BM267" s="64">
        <f t="shared" si="169"/>
        <v>0</v>
      </c>
      <c r="BN267" s="47"/>
      <c r="BO267" s="47"/>
      <c r="BP267" s="47"/>
      <c r="BQ267" s="47"/>
      <c r="BR267" s="47"/>
      <c r="BS267" s="46">
        <f t="shared" si="195"/>
        <v>0</v>
      </c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6"/>
      <c r="CQ267" s="47"/>
      <c r="CR267" s="64">
        <f t="shared" si="188"/>
        <v>0</v>
      </c>
      <c r="CS267" s="47"/>
      <c r="CT267" s="47"/>
      <c r="CU267" s="47"/>
      <c r="CV267" s="47"/>
      <c r="CW267" s="47"/>
      <c r="CX267" s="46"/>
      <c r="CY267" s="47">
        <f t="shared" si="210"/>
        <v>0</v>
      </c>
      <c r="CZ267" s="47"/>
      <c r="DA267" s="47"/>
      <c r="DB267" s="47"/>
      <c r="DC267" s="47"/>
      <c r="DD267" s="47"/>
      <c r="DE267" s="47"/>
      <c r="DF267" s="46"/>
      <c r="DG267" s="47"/>
      <c r="DH267" s="46">
        <f t="shared" si="197"/>
        <v>0</v>
      </c>
      <c r="DI267" s="47"/>
      <c r="DJ267" s="47"/>
      <c r="DK267" s="64">
        <f t="shared" si="185"/>
        <v>0</v>
      </c>
      <c r="DL267" s="60">
        <f t="shared" si="202"/>
        <v>0</v>
      </c>
      <c r="DM267" s="94"/>
      <c r="DN267" s="46">
        <f t="shared" si="198"/>
        <v>0</v>
      </c>
      <c r="DO267" s="47"/>
      <c r="DP267" s="90">
        <f t="shared" si="203"/>
        <v>0</v>
      </c>
      <c r="DQ267" s="47"/>
      <c r="DR267" s="90">
        <f t="shared" si="189"/>
        <v>0</v>
      </c>
      <c r="DS267" s="47"/>
      <c r="DT267" s="46">
        <f t="shared" si="166"/>
        <v>0</v>
      </c>
      <c r="DU267" s="47"/>
      <c r="DV267" s="46">
        <f t="shared" si="172"/>
        <v>0</v>
      </c>
      <c r="DW267" s="47"/>
      <c r="DX267" s="64">
        <f t="shared" si="208"/>
        <v>0</v>
      </c>
      <c r="DY267" s="91"/>
      <c r="DZ267" s="47"/>
      <c r="EA267" s="47"/>
      <c r="EB267" s="47"/>
      <c r="EC267" s="47"/>
      <c r="ED267" s="47"/>
      <c r="EE267" s="47">
        <f t="shared" si="181"/>
        <v>0</v>
      </c>
      <c r="EF267" s="47"/>
      <c r="EG267" s="47"/>
      <c r="EH267" s="47"/>
      <c r="EI267" s="91"/>
      <c r="EJ267" s="47"/>
      <c r="EK267" s="47">
        <f t="shared" si="204"/>
        <v>0</v>
      </c>
      <c r="EL267" s="46">
        <f t="shared" si="205"/>
        <v>0</v>
      </c>
      <c r="EM267" s="46"/>
      <c r="EN267" s="46">
        <f t="shared" si="206"/>
        <v>0</v>
      </c>
    </row>
    <row r="268" spans="1:147" s="48" customFormat="1" ht="15" customHeight="1" x14ac:dyDescent="0.25">
      <c r="A268" s="58"/>
      <c r="B268" s="88">
        <v>13</v>
      </c>
      <c r="C268" s="42"/>
      <c r="D268" s="43"/>
      <c r="E268" s="42"/>
      <c r="F268" s="42"/>
      <c r="G268" s="49"/>
      <c r="H268" s="49"/>
      <c r="I268" s="49"/>
      <c r="J268" s="49"/>
      <c r="K268" s="49"/>
      <c r="L268" s="49"/>
      <c r="M268" s="42"/>
      <c r="N268" s="41"/>
      <c r="O268" s="41"/>
      <c r="P268" s="42"/>
      <c r="Q268" s="45"/>
      <c r="R268" s="45"/>
      <c r="S268" s="42"/>
      <c r="T268" s="46"/>
      <c r="U268" s="46"/>
      <c r="V268" s="46"/>
      <c r="W268" s="46"/>
      <c r="X268" s="46"/>
      <c r="Y268" s="46"/>
      <c r="Z268" s="42"/>
      <c r="AA268" s="42"/>
      <c r="AB268" s="42"/>
      <c r="AC268" s="42"/>
      <c r="AD268" s="42"/>
      <c r="AE268" s="42"/>
      <c r="AF268" s="42"/>
      <c r="AG268" s="42"/>
      <c r="AH268" s="42"/>
      <c r="AI268" s="46"/>
      <c r="AJ268" s="42"/>
      <c r="AK268" s="42"/>
      <c r="AL268" s="42"/>
      <c r="AM268" s="42"/>
      <c r="AN268" s="90">
        <f t="shared" si="200"/>
        <v>0</v>
      </c>
      <c r="AO268" s="90">
        <f t="shared" si="201"/>
        <v>0</v>
      </c>
      <c r="AP268" s="42" t="s">
        <v>111</v>
      </c>
      <c r="AQ268" s="46">
        <f t="shared" si="207"/>
        <v>0</v>
      </c>
      <c r="AR268" s="46"/>
      <c r="AS268" s="42"/>
      <c r="AT268" s="46"/>
      <c r="AU268" s="64">
        <f t="shared" si="183"/>
        <v>0</v>
      </c>
      <c r="AV268" s="47"/>
      <c r="AW268" s="64">
        <f t="shared" si="168"/>
        <v>0</v>
      </c>
      <c r="AX268" s="47" t="s">
        <v>113</v>
      </c>
      <c r="AY268" s="46">
        <f>25%*AQ268</f>
        <v>0</v>
      </c>
      <c r="AZ268" s="47"/>
      <c r="BA268" s="47"/>
      <c r="BB268" s="47"/>
      <c r="BC268" s="47">
        <f t="shared" si="182"/>
        <v>0</v>
      </c>
      <c r="BD268" s="47"/>
      <c r="BE268" s="47">
        <f t="shared" si="184"/>
        <v>0</v>
      </c>
      <c r="BF268" s="47"/>
      <c r="BG268" s="47"/>
      <c r="BH268" s="47"/>
      <c r="BI268" s="47"/>
      <c r="BJ268" s="47"/>
      <c r="BK268" s="46">
        <f t="shared" si="192"/>
        <v>0</v>
      </c>
      <c r="BL268" s="47"/>
      <c r="BM268" s="64">
        <f t="shared" si="169"/>
        <v>0</v>
      </c>
      <c r="BN268" s="47"/>
      <c r="BO268" s="47"/>
      <c r="BP268" s="47"/>
      <c r="BQ268" s="47"/>
      <c r="BR268" s="47"/>
      <c r="BS268" s="46">
        <f t="shared" si="195"/>
        <v>0</v>
      </c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6">
        <f>CN268*CO268</f>
        <v>0</v>
      </c>
      <c r="CQ268" s="47"/>
      <c r="CR268" s="64">
        <f t="shared" si="188"/>
        <v>0</v>
      </c>
      <c r="CS268" s="47"/>
      <c r="CT268" s="47"/>
      <c r="CU268" s="47"/>
      <c r="CV268" s="47"/>
      <c r="CW268" s="47">
        <f t="shared" ref="CW268:CW274" si="211">CU268*CV268</f>
        <v>0</v>
      </c>
      <c r="CX268" s="46"/>
      <c r="CY268" s="47">
        <f t="shared" si="210"/>
        <v>0</v>
      </c>
      <c r="CZ268" s="47"/>
      <c r="DA268" s="47"/>
      <c r="DB268" s="47"/>
      <c r="DC268" s="47"/>
      <c r="DD268" s="47"/>
      <c r="DE268" s="47"/>
      <c r="DF268" s="46"/>
      <c r="DG268" s="47"/>
      <c r="DH268" s="46">
        <f t="shared" si="197"/>
        <v>0</v>
      </c>
      <c r="DI268" s="47"/>
      <c r="DJ268" s="47"/>
      <c r="DK268" s="64">
        <f t="shared" si="185"/>
        <v>0</v>
      </c>
      <c r="DL268" s="60">
        <f t="shared" si="202"/>
        <v>0</v>
      </c>
      <c r="DM268" s="94"/>
      <c r="DN268" s="46">
        <f t="shared" si="198"/>
        <v>0</v>
      </c>
      <c r="DO268" s="47"/>
      <c r="DP268" s="90">
        <f t="shared" si="203"/>
        <v>0</v>
      </c>
      <c r="DQ268" s="47"/>
      <c r="DR268" s="90">
        <f t="shared" si="189"/>
        <v>0</v>
      </c>
      <c r="DS268" s="47"/>
      <c r="DT268" s="46">
        <f t="shared" si="166"/>
        <v>0</v>
      </c>
      <c r="DU268" s="47"/>
      <c r="DV268" s="46">
        <f t="shared" si="172"/>
        <v>0</v>
      </c>
      <c r="DW268" s="47"/>
      <c r="DX268" s="64">
        <f t="shared" si="208"/>
        <v>0</v>
      </c>
      <c r="DY268" s="91"/>
      <c r="DZ268" s="47"/>
      <c r="EA268" s="47"/>
      <c r="EB268" s="47"/>
      <c r="EC268" s="47"/>
      <c r="ED268" s="47"/>
      <c r="EE268" s="47">
        <f t="shared" si="181"/>
        <v>0</v>
      </c>
      <c r="EF268" s="47"/>
      <c r="EG268" s="47"/>
      <c r="EH268" s="47"/>
      <c r="EI268" s="91"/>
      <c r="EJ268" s="47"/>
      <c r="EK268" s="47">
        <f t="shared" si="204"/>
        <v>0</v>
      </c>
      <c r="EL268" s="46">
        <f t="shared" si="205"/>
        <v>0</v>
      </c>
      <c r="EM268" s="46"/>
      <c r="EN268" s="46">
        <f t="shared" si="206"/>
        <v>0</v>
      </c>
    </row>
    <row r="269" spans="1:147" s="48" customFormat="1" ht="15" customHeight="1" x14ac:dyDescent="0.25">
      <c r="A269" s="58"/>
      <c r="B269" s="88">
        <v>14</v>
      </c>
      <c r="C269" s="42"/>
      <c r="D269" s="43"/>
      <c r="E269" s="42"/>
      <c r="F269" s="42"/>
      <c r="G269" s="49"/>
      <c r="H269" s="49"/>
      <c r="I269" s="49"/>
      <c r="J269" s="49"/>
      <c r="K269" s="49"/>
      <c r="L269" s="49"/>
      <c r="M269" s="42"/>
      <c r="N269" s="41"/>
      <c r="O269" s="41"/>
      <c r="P269" s="42"/>
      <c r="Q269" s="45"/>
      <c r="R269" s="45"/>
      <c r="S269" s="42"/>
      <c r="T269" s="46"/>
      <c r="U269" s="46"/>
      <c r="V269" s="46"/>
      <c r="W269" s="46"/>
      <c r="X269" s="46"/>
      <c r="Y269" s="46"/>
      <c r="Z269" s="42"/>
      <c r="AA269" s="42"/>
      <c r="AB269" s="42"/>
      <c r="AC269" s="42"/>
      <c r="AD269" s="42"/>
      <c r="AE269" s="42"/>
      <c r="AF269" s="42"/>
      <c r="AG269" s="42"/>
      <c r="AH269" s="42"/>
      <c r="AI269" s="46"/>
      <c r="AJ269" s="42"/>
      <c r="AK269" s="42"/>
      <c r="AL269" s="42"/>
      <c r="AM269" s="42"/>
      <c r="AN269" s="90">
        <f t="shared" si="200"/>
        <v>0</v>
      </c>
      <c r="AO269" s="90">
        <f t="shared" si="201"/>
        <v>0</v>
      </c>
      <c r="AP269" s="42" t="s">
        <v>111</v>
      </c>
      <c r="AQ269" s="46">
        <f t="shared" si="207"/>
        <v>0</v>
      </c>
      <c r="AR269" s="46"/>
      <c r="AS269" s="42"/>
      <c r="AT269" s="46"/>
      <c r="AU269" s="64">
        <f t="shared" si="183"/>
        <v>0</v>
      </c>
      <c r="AV269" s="47"/>
      <c r="AW269" s="64">
        <f t="shared" si="168"/>
        <v>0</v>
      </c>
      <c r="AX269" s="47" t="s">
        <v>113</v>
      </c>
      <c r="AY269" s="46">
        <f>25%*AQ269</f>
        <v>0</v>
      </c>
      <c r="AZ269" s="47"/>
      <c r="BA269" s="47"/>
      <c r="BB269" s="47"/>
      <c r="BC269" s="47">
        <f t="shared" si="182"/>
        <v>0</v>
      </c>
      <c r="BD269" s="47"/>
      <c r="BE269" s="47">
        <f t="shared" si="184"/>
        <v>0</v>
      </c>
      <c r="BF269" s="47"/>
      <c r="BG269" s="47"/>
      <c r="BH269" s="47"/>
      <c r="BI269" s="47"/>
      <c r="BJ269" s="47"/>
      <c r="BK269" s="46">
        <f t="shared" si="192"/>
        <v>0</v>
      </c>
      <c r="BL269" s="47"/>
      <c r="BM269" s="64">
        <f t="shared" si="169"/>
        <v>0</v>
      </c>
      <c r="BN269" s="47"/>
      <c r="BO269" s="47"/>
      <c r="BP269" s="47"/>
      <c r="BQ269" s="47"/>
      <c r="BR269" s="47"/>
      <c r="BS269" s="46">
        <f t="shared" si="195"/>
        <v>0</v>
      </c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6"/>
      <c r="CQ269" s="47"/>
      <c r="CR269" s="64">
        <f t="shared" si="188"/>
        <v>0</v>
      </c>
      <c r="CS269" s="47"/>
      <c r="CT269" s="47"/>
      <c r="CU269" s="47"/>
      <c r="CV269" s="47"/>
      <c r="CW269" s="47">
        <f t="shared" si="211"/>
        <v>0</v>
      </c>
      <c r="CX269" s="46"/>
      <c r="CY269" s="47">
        <f t="shared" si="210"/>
        <v>0</v>
      </c>
      <c r="CZ269" s="47"/>
      <c r="DA269" s="47"/>
      <c r="DB269" s="47"/>
      <c r="DC269" s="47"/>
      <c r="DD269" s="47"/>
      <c r="DE269" s="47"/>
      <c r="DF269" s="46"/>
      <c r="DG269" s="47"/>
      <c r="DH269" s="46">
        <f t="shared" si="197"/>
        <v>0</v>
      </c>
      <c r="DI269" s="47"/>
      <c r="DJ269" s="47"/>
      <c r="DK269" s="64">
        <f t="shared" si="185"/>
        <v>0</v>
      </c>
      <c r="DL269" s="60">
        <f t="shared" si="202"/>
        <v>0</v>
      </c>
      <c r="DM269" s="94"/>
      <c r="DN269" s="46">
        <f t="shared" si="198"/>
        <v>0</v>
      </c>
      <c r="DO269" s="47"/>
      <c r="DP269" s="90">
        <f t="shared" si="203"/>
        <v>0</v>
      </c>
      <c r="DQ269" s="47"/>
      <c r="DR269" s="90">
        <f t="shared" si="189"/>
        <v>0</v>
      </c>
      <c r="DS269" s="47"/>
      <c r="DT269" s="46">
        <f t="shared" si="166"/>
        <v>0</v>
      </c>
      <c r="DU269" s="47"/>
      <c r="DV269" s="46">
        <f t="shared" si="172"/>
        <v>0</v>
      </c>
      <c r="DW269" s="47"/>
      <c r="DX269" s="64">
        <f t="shared" si="208"/>
        <v>0</v>
      </c>
      <c r="DY269" s="91"/>
      <c r="DZ269" s="47"/>
      <c r="EA269" s="47"/>
      <c r="EB269" s="47"/>
      <c r="EC269" s="47"/>
      <c r="ED269" s="47"/>
      <c r="EE269" s="47">
        <f t="shared" si="181"/>
        <v>0</v>
      </c>
      <c r="EF269" s="47"/>
      <c r="EG269" s="47"/>
      <c r="EH269" s="47"/>
      <c r="EI269" s="91"/>
      <c r="EJ269" s="47"/>
      <c r="EK269" s="47">
        <f t="shared" si="204"/>
        <v>0</v>
      </c>
      <c r="EL269" s="46">
        <f t="shared" si="205"/>
        <v>0</v>
      </c>
      <c r="EM269" s="46"/>
      <c r="EN269" s="46">
        <f t="shared" si="206"/>
        <v>0</v>
      </c>
    </row>
    <row r="270" spans="1:147" s="48" customFormat="1" ht="15" customHeight="1" x14ac:dyDescent="0.25">
      <c r="A270" s="58"/>
      <c r="B270" s="88">
        <v>15</v>
      </c>
      <c r="C270" s="42"/>
      <c r="D270" s="43"/>
      <c r="E270" s="42"/>
      <c r="F270" s="42"/>
      <c r="G270" s="49"/>
      <c r="H270" s="49"/>
      <c r="I270" s="49"/>
      <c r="J270" s="49"/>
      <c r="K270" s="49"/>
      <c r="L270" s="49"/>
      <c r="M270" s="42"/>
      <c r="N270" s="41"/>
      <c r="O270" s="41"/>
      <c r="P270" s="42"/>
      <c r="Q270" s="45"/>
      <c r="R270" s="45"/>
      <c r="S270" s="42"/>
      <c r="T270" s="46"/>
      <c r="U270" s="46"/>
      <c r="V270" s="46"/>
      <c r="W270" s="46"/>
      <c r="X270" s="46"/>
      <c r="Y270" s="46"/>
      <c r="Z270" s="42"/>
      <c r="AA270" s="42"/>
      <c r="AB270" s="42"/>
      <c r="AC270" s="42"/>
      <c r="AD270" s="42"/>
      <c r="AE270" s="42"/>
      <c r="AF270" s="42"/>
      <c r="AG270" s="42"/>
      <c r="AH270" s="42"/>
      <c r="AI270" s="46"/>
      <c r="AJ270" s="42"/>
      <c r="AK270" s="42"/>
      <c r="AL270" s="42"/>
      <c r="AM270" s="42"/>
      <c r="AN270" s="90">
        <f t="shared" si="200"/>
        <v>0</v>
      </c>
      <c r="AO270" s="90">
        <f t="shared" si="201"/>
        <v>0</v>
      </c>
      <c r="AP270" s="42" t="s">
        <v>111</v>
      </c>
      <c r="AQ270" s="46">
        <f t="shared" si="207"/>
        <v>0</v>
      </c>
      <c r="AR270" s="46"/>
      <c r="AS270" s="42"/>
      <c r="AT270" s="46"/>
      <c r="AU270" s="64">
        <f t="shared" si="183"/>
        <v>0</v>
      </c>
      <c r="AV270" s="47"/>
      <c r="AW270" s="64">
        <f t="shared" si="168"/>
        <v>0</v>
      </c>
      <c r="AX270" s="47"/>
      <c r="AY270" s="90"/>
      <c r="AZ270" s="47"/>
      <c r="BA270" s="47"/>
      <c r="BB270" s="47"/>
      <c r="BC270" s="47">
        <f t="shared" si="182"/>
        <v>0</v>
      </c>
      <c r="BD270" s="47"/>
      <c r="BE270" s="47">
        <f t="shared" si="184"/>
        <v>0</v>
      </c>
      <c r="BF270" s="47"/>
      <c r="BG270" s="47"/>
      <c r="BH270" s="47"/>
      <c r="BI270" s="47"/>
      <c r="BJ270" s="47"/>
      <c r="BK270" s="46">
        <f t="shared" si="192"/>
        <v>0</v>
      </c>
      <c r="BL270" s="47"/>
      <c r="BM270" s="64">
        <f t="shared" si="169"/>
        <v>0</v>
      </c>
      <c r="BN270" s="47"/>
      <c r="BO270" s="47"/>
      <c r="BP270" s="47"/>
      <c r="BQ270" s="47"/>
      <c r="BR270" s="47"/>
      <c r="BS270" s="46">
        <f t="shared" si="195"/>
        <v>0</v>
      </c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6"/>
      <c r="CQ270" s="47"/>
      <c r="CR270" s="64">
        <f t="shared" si="188"/>
        <v>0</v>
      </c>
      <c r="CS270" s="47"/>
      <c r="CT270" s="47"/>
      <c r="CU270" s="47"/>
      <c r="CV270" s="47"/>
      <c r="CW270" s="47">
        <f t="shared" si="211"/>
        <v>0</v>
      </c>
      <c r="CX270" s="46"/>
      <c r="CY270" s="47">
        <f t="shared" si="210"/>
        <v>0</v>
      </c>
      <c r="CZ270" s="47"/>
      <c r="DA270" s="47"/>
      <c r="DB270" s="47"/>
      <c r="DC270" s="47"/>
      <c r="DD270" s="47"/>
      <c r="DE270" s="47"/>
      <c r="DF270" s="46"/>
      <c r="DG270" s="47"/>
      <c r="DH270" s="46">
        <f t="shared" si="197"/>
        <v>0</v>
      </c>
      <c r="DI270" s="47"/>
      <c r="DJ270" s="47"/>
      <c r="DK270" s="64">
        <f t="shared" si="185"/>
        <v>0</v>
      </c>
      <c r="DL270" s="60">
        <f t="shared" si="202"/>
        <v>0</v>
      </c>
      <c r="DM270" s="94"/>
      <c r="DN270" s="46">
        <f t="shared" si="198"/>
        <v>0</v>
      </c>
      <c r="DO270" s="47"/>
      <c r="DP270" s="90">
        <f t="shared" si="203"/>
        <v>0</v>
      </c>
      <c r="DQ270" s="47"/>
      <c r="DR270" s="90">
        <f t="shared" si="189"/>
        <v>0</v>
      </c>
      <c r="DS270" s="47"/>
      <c r="DT270" s="46">
        <f t="shared" si="166"/>
        <v>0</v>
      </c>
      <c r="DU270" s="47"/>
      <c r="DV270" s="46">
        <f t="shared" si="172"/>
        <v>0</v>
      </c>
      <c r="DW270" s="47"/>
      <c r="DX270" s="64">
        <f t="shared" si="208"/>
        <v>0</v>
      </c>
      <c r="DY270" s="91"/>
      <c r="DZ270" s="47"/>
      <c r="EA270" s="47"/>
      <c r="EB270" s="47"/>
      <c r="EC270" s="47"/>
      <c r="ED270" s="47"/>
      <c r="EE270" s="47">
        <f t="shared" si="181"/>
        <v>0</v>
      </c>
      <c r="EF270" s="47"/>
      <c r="EG270" s="47"/>
      <c r="EH270" s="47"/>
      <c r="EI270" s="91"/>
      <c r="EJ270" s="47"/>
      <c r="EK270" s="47">
        <f t="shared" si="204"/>
        <v>0</v>
      </c>
      <c r="EL270" s="46">
        <f t="shared" si="205"/>
        <v>0</v>
      </c>
      <c r="EM270" s="46"/>
      <c r="EN270" s="46">
        <f t="shared" si="206"/>
        <v>0</v>
      </c>
      <c r="EQ270" s="48" t="s">
        <v>117</v>
      </c>
    </row>
    <row r="271" spans="1:147" s="48" customFormat="1" ht="15" customHeight="1" x14ac:dyDescent="0.25">
      <c r="A271" s="58"/>
      <c r="B271" s="88">
        <v>16</v>
      </c>
      <c r="C271" s="42"/>
      <c r="D271" s="43"/>
      <c r="E271" s="42"/>
      <c r="F271" s="42"/>
      <c r="G271" s="49"/>
      <c r="H271" s="49"/>
      <c r="I271" s="49"/>
      <c r="J271" s="49"/>
      <c r="K271" s="49"/>
      <c r="L271" s="49"/>
      <c r="M271" s="42"/>
      <c r="N271" s="41"/>
      <c r="O271" s="41"/>
      <c r="P271" s="42"/>
      <c r="Q271" s="45"/>
      <c r="R271" s="45"/>
      <c r="S271" s="42"/>
      <c r="T271" s="46"/>
      <c r="U271" s="46"/>
      <c r="V271" s="46"/>
      <c r="W271" s="46"/>
      <c r="X271" s="46"/>
      <c r="Y271" s="46"/>
      <c r="Z271" s="42"/>
      <c r="AA271" s="42"/>
      <c r="AB271" s="42"/>
      <c r="AC271" s="42"/>
      <c r="AD271" s="42"/>
      <c r="AE271" s="42"/>
      <c r="AF271" s="42"/>
      <c r="AG271" s="42"/>
      <c r="AH271" s="42"/>
      <c r="AI271" s="46"/>
      <c r="AJ271" s="42"/>
      <c r="AK271" s="42"/>
      <c r="AL271" s="42"/>
      <c r="AM271" s="42"/>
      <c r="AN271" s="90">
        <f t="shared" si="200"/>
        <v>0</v>
      </c>
      <c r="AO271" s="90">
        <f t="shared" si="201"/>
        <v>0</v>
      </c>
      <c r="AP271" s="42" t="s">
        <v>111</v>
      </c>
      <c r="AQ271" s="46">
        <f t="shared" si="207"/>
        <v>0</v>
      </c>
      <c r="AR271" s="46"/>
      <c r="AS271" s="42"/>
      <c r="AT271" s="46"/>
      <c r="AU271" s="64">
        <f t="shared" si="183"/>
        <v>0</v>
      </c>
      <c r="AV271" s="47"/>
      <c r="AW271" s="64">
        <f t="shared" si="168"/>
        <v>0</v>
      </c>
      <c r="AX271" s="47"/>
      <c r="AY271" s="90"/>
      <c r="AZ271" s="47"/>
      <c r="BA271" s="47"/>
      <c r="BB271" s="47"/>
      <c r="BC271" s="47">
        <f t="shared" si="182"/>
        <v>0</v>
      </c>
      <c r="BD271" s="47"/>
      <c r="BE271" s="47">
        <f t="shared" si="184"/>
        <v>0</v>
      </c>
      <c r="BF271" s="47"/>
      <c r="BG271" s="47"/>
      <c r="BH271" s="47"/>
      <c r="BI271" s="47"/>
      <c r="BJ271" s="47"/>
      <c r="BK271" s="46">
        <f t="shared" si="192"/>
        <v>0</v>
      </c>
      <c r="BL271" s="47"/>
      <c r="BM271" s="64">
        <f t="shared" si="169"/>
        <v>0</v>
      </c>
      <c r="BN271" s="47"/>
      <c r="BO271" s="47"/>
      <c r="BP271" s="47"/>
      <c r="BQ271" s="47"/>
      <c r="BR271" s="47"/>
      <c r="BS271" s="46">
        <f t="shared" si="195"/>
        <v>0</v>
      </c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6"/>
      <c r="CQ271" s="47"/>
      <c r="CR271" s="64">
        <f t="shared" si="188"/>
        <v>0</v>
      </c>
      <c r="CS271" s="47"/>
      <c r="CT271" s="47"/>
      <c r="CU271" s="47"/>
      <c r="CV271" s="47"/>
      <c r="CW271" s="47">
        <f t="shared" si="211"/>
        <v>0</v>
      </c>
      <c r="CX271" s="46"/>
      <c r="CY271" s="47">
        <f t="shared" si="210"/>
        <v>0</v>
      </c>
      <c r="CZ271" s="47"/>
      <c r="DA271" s="47"/>
      <c r="DB271" s="47"/>
      <c r="DC271" s="47"/>
      <c r="DD271" s="47"/>
      <c r="DE271" s="47"/>
      <c r="DF271" s="46"/>
      <c r="DG271" s="47"/>
      <c r="DH271" s="46">
        <f t="shared" si="197"/>
        <v>0</v>
      </c>
      <c r="DI271" s="47"/>
      <c r="DJ271" s="47"/>
      <c r="DK271" s="64">
        <f t="shared" si="185"/>
        <v>0</v>
      </c>
      <c r="DL271" s="60">
        <f t="shared" si="202"/>
        <v>0</v>
      </c>
      <c r="DM271" s="94"/>
      <c r="DN271" s="46">
        <f t="shared" si="198"/>
        <v>0</v>
      </c>
      <c r="DO271" s="47"/>
      <c r="DP271" s="90">
        <f t="shared" si="203"/>
        <v>0</v>
      </c>
      <c r="DQ271" s="47"/>
      <c r="DR271" s="90">
        <f t="shared" si="189"/>
        <v>0</v>
      </c>
      <c r="DS271" s="47"/>
      <c r="DT271" s="46">
        <f t="shared" ref="DT271:DT334" si="212">75%*DP271</f>
        <v>0</v>
      </c>
      <c r="DU271" s="47"/>
      <c r="DV271" s="46">
        <f t="shared" si="172"/>
        <v>0</v>
      </c>
      <c r="DW271" s="47"/>
      <c r="DX271" s="64">
        <f t="shared" si="208"/>
        <v>0</v>
      </c>
      <c r="DY271" s="91"/>
      <c r="DZ271" s="47"/>
      <c r="EA271" s="47"/>
      <c r="EB271" s="47"/>
      <c r="EC271" s="47"/>
      <c r="ED271" s="47"/>
      <c r="EE271" s="47">
        <f t="shared" si="181"/>
        <v>0</v>
      </c>
      <c r="EF271" s="47"/>
      <c r="EG271" s="47"/>
      <c r="EH271" s="47"/>
      <c r="EI271" s="91"/>
      <c r="EJ271" s="47"/>
      <c r="EK271" s="47">
        <f t="shared" si="204"/>
        <v>0</v>
      </c>
      <c r="EL271" s="46">
        <f t="shared" si="205"/>
        <v>0</v>
      </c>
      <c r="EM271" s="46"/>
      <c r="EN271" s="46">
        <f t="shared" si="206"/>
        <v>0</v>
      </c>
    </row>
    <row r="272" spans="1:147" s="48" customFormat="1" ht="15" customHeight="1" x14ac:dyDescent="0.25">
      <c r="A272" s="58"/>
      <c r="B272" s="88">
        <v>17</v>
      </c>
      <c r="C272" s="42"/>
      <c r="D272" s="43"/>
      <c r="E272" s="42"/>
      <c r="F272" s="42"/>
      <c r="G272" s="49"/>
      <c r="H272" s="49"/>
      <c r="I272" s="49"/>
      <c r="J272" s="49"/>
      <c r="K272" s="49"/>
      <c r="L272" s="49"/>
      <c r="M272" s="42"/>
      <c r="N272" s="41"/>
      <c r="O272" s="41"/>
      <c r="P272" s="42"/>
      <c r="Q272" s="45"/>
      <c r="R272" s="45"/>
      <c r="S272" s="42"/>
      <c r="T272" s="46"/>
      <c r="U272" s="46"/>
      <c r="V272" s="46"/>
      <c r="W272" s="46"/>
      <c r="X272" s="46"/>
      <c r="Y272" s="46"/>
      <c r="Z272" s="42"/>
      <c r="AA272" s="42"/>
      <c r="AB272" s="42"/>
      <c r="AC272" s="42"/>
      <c r="AD272" s="42"/>
      <c r="AE272" s="42"/>
      <c r="AF272" s="42"/>
      <c r="AG272" s="42"/>
      <c r="AH272" s="42"/>
      <c r="AI272" s="46"/>
      <c r="AJ272" s="42"/>
      <c r="AK272" s="42"/>
      <c r="AL272" s="42"/>
      <c r="AM272" s="42"/>
      <c r="AN272" s="90">
        <f t="shared" si="200"/>
        <v>0</v>
      </c>
      <c r="AO272" s="90">
        <f t="shared" si="201"/>
        <v>0</v>
      </c>
      <c r="AP272" s="42" t="s">
        <v>114</v>
      </c>
      <c r="AQ272" s="46">
        <f t="shared" si="207"/>
        <v>0</v>
      </c>
      <c r="AR272" s="46"/>
      <c r="AS272" s="42"/>
      <c r="AT272" s="46"/>
      <c r="AU272" s="64">
        <f t="shared" si="183"/>
        <v>0</v>
      </c>
      <c r="AV272" s="47"/>
      <c r="AW272" s="64">
        <f t="shared" si="168"/>
        <v>0</v>
      </c>
      <c r="AX272" s="47" t="s">
        <v>113</v>
      </c>
      <c r="AY272" s="90">
        <f>25%*AQ272</f>
        <v>0</v>
      </c>
      <c r="AZ272" s="47"/>
      <c r="BA272" s="47"/>
      <c r="BB272" s="47"/>
      <c r="BC272" s="47">
        <f t="shared" si="182"/>
        <v>0</v>
      </c>
      <c r="BD272" s="47"/>
      <c r="BE272" s="47">
        <f t="shared" si="184"/>
        <v>0</v>
      </c>
      <c r="BF272" s="47"/>
      <c r="BG272" s="47"/>
      <c r="BH272" s="47"/>
      <c r="BI272" s="47"/>
      <c r="BJ272" s="47"/>
      <c r="BK272" s="46">
        <f t="shared" si="192"/>
        <v>0</v>
      </c>
      <c r="BL272" s="47"/>
      <c r="BM272" s="64">
        <f t="shared" si="169"/>
        <v>0</v>
      </c>
      <c r="BN272" s="47"/>
      <c r="BO272" s="47"/>
      <c r="BP272" s="47"/>
      <c r="BQ272" s="47"/>
      <c r="BR272" s="47"/>
      <c r="BS272" s="46">
        <f t="shared" si="195"/>
        <v>0</v>
      </c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6"/>
      <c r="CQ272" s="47"/>
      <c r="CR272" s="64">
        <f t="shared" si="188"/>
        <v>0</v>
      </c>
      <c r="CS272" s="47"/>
      <c r="CT272" s="47"/>
      <c r="CU272" s="47"/>
      <c r="CV272" s="47"/>
      <c r="CW272" s="47">
        <f t="shared" si="211"/>
        <v>0</v>
      </c>
      <c r="CX272" s="46"/>
      <c r="CY272" s="47">
        <f t="shared" si="210"/>
        <v>0</v>
      </c>
      <c r="CZ272" s="47"/>
      <c r="DA272" s="47"/>
      <c r="DB272" s="47"/>
      <c r="DC272" s="47"/>
      <c r="DD272" s="47"/>
      <c r="DE272" s="47"/>
      <c r="DF272" s="46"/>
      <c r="DG272" s="47"/>
      <c r="DH272" s="46">
        <f t="shared" si="197"/>
        <v>0</v>
      </c>
      <c r="DI272" s="47"/>
      <c r="DJ272" s="47"/>
      <c r="DK272" s="64">
        <f t="shared" si="185"/>
        <v>0</v>
      </c>
      <c r="DL272" s="60">
        <f t="shared" si="202"/>
        <v>0</v>
      </c>
      <c r="DM272" s="94"/>
      <c r="DN272" s="46">
        <f t="shared" si="198"/>
        <v>0</v>
      </c>
      <c r="DO272" s="47"/>
      <c r="DP272" s="90"/>
      <c r="DQ272" s="47"/>
      <c r="DR272" s="90">
        <f t="shared" si="189"/>
        <v>0</v>
      </c>
      <c r="DS272" s="47"/>
      <c r="DT272" s="46">
        <f t="shared" si="212"/>
        <v>0</v>
      </c>
      <c r="DU272" s="47"/>
      <c r="DV272" s="46">
        <f t="shared" si="172"/>
        <v>0</v>
      </c>
      <c r="DW272" s="47"/>
      <c r="DX272" s="64">
        <f t="shared" si="208"/>
        <v>0</v>
      </c>
      <c r="DY272" s="91"/>
      <c r="DZ272" s="47"/>
      <c r="EA272" s="47"/>
      <c r="EB272" s="47"/>
      <c r="EC272" s="47"/>
      <c r="ED272" s="47"/>
      <c r="EE272" s="47">
        <f t="shared" si="181"/>
        <v>0</v>
      </c>
      <c r="EF272" s="47"/>
      <c r="EG272" s="47"/>
      <c r="EH272" s="47"/>
      <c r="EI272" s="91"/>
      <c r="EJ272" s="47"/>
      <c r="EK272" s="47">
        <f t="shared" si="204"/>
        <v>0</v>
      </c>
      <c r="EL272" s="46">
        <f t="shared" si="205"/>
        <v>0</v>
      </c>
      <c r="EM272" s="46"/>
      <c r="EN272" s="46">
        <f t="shared" si="206"/>
        <v>0</v>
      </c>
    </row>
    <row r="273" spans="1:145" s="48" customFormat="1" ht="15.75" customHeight="1" x14ac:dyDescent="0.25">
      <c r="A273" s="58"/>
      <c r="B273" s="88">
        <v>18</v>
      </c>
      <c r="C273" s="42"/>
      <c r="D273" s="43"/>
      <c r="E273" s="42"/>
      <c r="F273" s="42"/>
      <c r="G273" s="49"/>
      <c r="H273" s="49"/>
      <c r="I273" s="49"/>
      <c r="J273" s="49"/>
      <c r="K273" s="49"/>
      <c r="L273" s="49"/>
      <c r="M273" s="42"/>
      <c r="N273" s="41"/>
      <c r="O273" s="41"/>
      <c r="P273" s="42"/>
      <c r="Q273" s="45"/>
      <c r="R273" s="45"/>
      <c r="S273" s="42"/>
      <c r="T273" s="46"/>
      <c r="U273" s="46"/>
      <c r="V273" s="46"/>
      <c r="W273" s="46"/>
      <c r="X273" s="46"/>
      <c r="Y273" s="46"/>
      <c r="Z273" s="42"/>
      <c r="AA273" s="42"/>
      <c r="AB273" s="42"/>
      <c r="AC273" s="42"/>
      <c r="AD273" s="42"/>
      <c r="AE273" s="42"/>
      <c r="AF273" s="42"/>
      <c r="AG273" s="42"/>
      <c r="AH273" s="42"/>
      <c r="AI273" s="46"/>
      <c r="AJ273" s="42"/>
      <c r="AK273" s="42"/>
      <c r="AL273" s="42"/>
      <c r="AM273" s="42"/>
      <c r="AN273" s="90">
        <f t="shared" si="200"/>
        <v>0</v>
      </c>
      <c r="AO273" s="90">
        <f t="shared" si="201"/>
        <v>0</v>
      </c>
      <c r="AP273" s="42" t="s">
        <v>114</v>
      </c>
      <c r="AQ273" s="46">
        <f t="shared" si="207"/>
        <v>0</v>
      </c>
      <c r="AR273" s="46"/>
      <c r="AS273" s="42"/>
      <c r="AT273" s="46"/>
      <c r="AU273" s="64">
        <f t="shared" si="183"/>
        <v>0</v>
      </c>
      <c r="AV273" s="47"/>
      <c r="AW273" s="64">
        <f t="shared" si="168"/>
        <v>0</v>
      </c>
      <c r="AX273" s="47"/>
      <c r="AY273" s="90"/>
      <c r="AZ273" s="47"/>
      <c r="BA273" s="47"/>
      <c r="BB273" s="47"/>
      <c r="BC273" s="47">
        <f t="shared" si="182"/>
        <v>0</v>
      </c>
      <c r="BD273" s="47"/>
      <c r="BE273" s="47">
        <f t="shared" si="184"/>
        <v>0</v>
      </c>
      <c r="BF273" s="47"/>
      <c r="BG273" s="47"/>
      <c r="BH273" s="47"/>
      <c r="BI273" s="47"/>
      <c r="BJ273" s="47"/>
      <c r="BK273" s="46">
        <f t="shared" si="192"/>
        <v>0</v>
      </c>
      <c r="BL273" s="47"/>
      <c r="BM273" s="64">
        <f t="shared" si="169"/>
        <v>0</v>
      </c>
      <c r="BN273" s="47"/>
      <c r="BO273" s="47"/>
      <c r="BP273" s="47"/>
      <c r="BQ273" s="47"/>
      <c r="BR273" s="47"/>
      <c r="BS273" s="46">
        <f t="shared" si="195"/>
        <v>0</v>
      </c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6"/>
      <c r="CQ273" s="47"/>
      <c r="CR273" s="64">
        <f t="shared" si="188"/>
        <v>0</v>
      </c>
      <c r="CS273" s="47"/>
      <c r="CT273" s="47"/>
      <c r="CU273" s="47"/>
      <c r="CV273" s="47"/>
      <c r="CW273" s="47">
        <f t="shared" si="211"/>
        <v>0</v>
      </c>
      <c r="CX273" s="46"/>
      <c r="CY273" s="47">
        <f t="shared" si="210"/>
        <v>0</v>
      </c>
      <c r="CZ273" s="47"/>
      <c r="DA273" s="47"/>
      <c r="DB273" s="47"/>
      <c r="DC273" s="47"/>
      <c r="DD273" s="47"/>
      <c r="DE273" s="47"/>
      <c r="DF273" s="46"/>
      <c r="DG273" s="47"/>
      <c r="DH273" s="46">
        <f t="shared" si="197"/>
        <v>0</v>
      </c>
      <c r="DI273" s="47"/>
      <c r="DJ273" s="47"/>
      <c r="DK273" s="64">
        <f t="shared" si="185"/>
        <v>0</v>
      </c>
      <c r="DL273" s="60">
        <f t="shared" si="202"/>
        <v>0</v>
      </c>
      <c r="DM273" s="94"/>
      <c r="DN273" s="46">
        <f t="shared" si="198"/>
        <v>0</v>
      </c>
      <c r="DO273" s="47"/>
      <c r="DP273" s="90"/>
      <c r="DQ273" s="47"/>
      <c r="DR273" s="90">
        <f t="shared" si="189"/>
        <v>0</v>
      </c>
      <c r="DS273" s="47"/>
      <c r="DT273" s="46">
        <f t="shared" si="212"/>
        <v>0</v>
      </c>
      <c r="DU273" s="47"/>
      <c r="DV273" s="46">
        <f t="shared" si="172"/>
        <v>0</v>
      </c>
      <c r="DW273" s="47"/>
      <c r="DX273" s="64">
        <f t="shared" si="208"/>
        <v>0</v>
      </c>
      <c r="DY273" s="91"/>
      <c r="DZ273" s="47"/>
      <c r="EA273" s="47"/>
      <c r="EB273" s="47"/>
      <c r="EC273" s="47"/>
      <c r="ED273" s="47"/>
      <c r="EE273" s="47">
        <f t="shared" si="181"/>
        <v>0</v>
      </c>
      <c r="EF273" s="47"/>
      <c r="EG273" s="47"/>
      <c r="EH273" s="47"/>
      <c r="EI273" s="91"/>
      <c r="EJ273" s="47"/>
      <c r="EK273" s="47">
        <f t="shared" si="204"/>
        <v>0</v>
      </c>
      <c r="EL273" s="46">
        <f t="shared" si="205"/>
        <v>0</v>
      </c>
      <c r="EM273" s="46"/>
      <c r="EN273" s="46">
        <f t="shared" si="206"/>
        <v>0</v>
      </c>
    </row>
    <row r="274" spans="1:145" s="48" customFormat="1" ht="15" customHeight="1" x14ac:dyDescent="0.25">
      <c r="B274" s="88">
        <v>19</v>
      </c>
      <c r="C274" s="42"/>
      <c r="D274" s="43"/>
      <c r="E274" s="42"/>
      <c r="F274" s="42"/>
      <c r="G274" s="42"/>
      <c r="H274" s="42"/>
      <c r="I274" s="42"/>
      <c r="J274" s="42"/>
      <c r="K274" s="42"/>
      <c r="L274" s="42"/>
      <c r="M274" s="42"/>
      <c r="N274" s="41"/>
      <c r="O274" s="41"/>
      <c r="P274" s="42"/>
      <c r="Q274" s="45"/>
      <c r="R274" s="45"/>
      <c r="S274" s="42"/>
      <c r="T274" s="46"/>
      <c r="U274" s="46"/>
      <c r="V274" s="42"/>
      <c r="W274" s="42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>
        <f t="shared" si="200"/>
        <v>0</v>
      </c>
      <c r="AO274" s="46">
        <f t="shared" si="201"/>
        <v>0</v>
      </c>
      <c r="AP274" s="46" t="s">
        <v>112</v>
      </c>
      <c r="AQ274" s="46">
        <f t="shared" si="207"/>
        <v>0</v>
      </c>
      <c r="AR274" s="46"/>
      <c r="AS274" s="46"/>
      <c r="AT274" s="46"/>
      <c r="AU274" s="47">
        <f t="shared" si="183"/>
        <v>0</v>
      </c>
      <c r="AV274" s="46"/>
      <c r="AW274" s="47">
        <f t="shared" ref="AW274:AW333" si="213">AQ274+AU274+AV274</f>
        <v>0</v>
      </c>
      <c r="AX274" s="46"/>
      <c r="AY274" s="46"/>
      <c r="AZ274" s="46"/>
      <c r="BA274" s="46"/>
      <c r="BB274" s="46"/>
      <c r="BC274" s="47">
        <f t="shared" si="182"/>
        <v>0</v>
      </c>
      <c r="BD274" s="46"/>
      <c r="BE274" s="47">
        <f t="shared" si="184"/>
        <v>0</v>
      </c>
      <c r="BF274" s="46"/>
      <c r="BG274" s="46"/>
      <c r="BH274" s="46"/>
      <c r="BI274" s="46"/>
      <c r="BJ274" s="46"/>
      <c r="BK274" s="47">
        <f>+BI274*BJ274</f>
        <v>0</v>
      </c>
      <c r="BL274" s="46"/>
      <c r="BM274" s="47">
        <f t="shared" ref="BM274:BM312" si="214">+BG274+BH274+BK274+BL274</f>
        <v>0</v>
      </c>
      <c r="BN274" s="46"/>
      <c r="BO274" s="46"/>
      <c r="BP274" s="46"/>
      <c r="BQ274" s="46"/>
      <c r="BR274" s="46"/>
      <c r="BS274" s="46">
        <f t="shared" si="195"/>
        <v>0</v>
      </c>
      <c r="BT274" s="46"/>
      <c r="BU274" s="47">
        <f>+BO274+BP274+BS274+BT274</f>
        <v>0</v>
      </c>
      <c r="BV274" s="46"/>
      <c r="BW274" s="46"/>
      <c r="BX274" s="46"/>
      <c r="BY274" s="46"/>
      <c r="BZ274" s="46"/>
      <c r="CA274" s="46"/>
      <c r="CB274" s="46"/>
      <c r="CC274" s="47">
        <f>+BW274+BX274+CA274+CB274</f>
        <v>0</v>
      </c>
      <c r="CD274" s="46"/>
      <c r="CE274" s="46"/>
      <c r="CF274" s="46"/>
      <c r="CG274" s="46"/>
      <c r="CH274" s="46"/>
      <c r="CI274" s="46"/>
      <c r="CJ274" s="46"/>
      <c r="CK274" s="47">
        <f>+CE274+CF274+CI274+CJ274</f>
        <v>0</v>
      </c>
      <c r="CL274" s="46"/>
      <c r="CM274" s="46"/>
      <c r="CN274" s="46"/>
      <c r="CO274" s="46"/>
      <c r="CP274" s="46">
        <f>CN274*CO274</f>
        <v>0</v>
      </c>
      <c r="CQ274" s="46"/>
      <c r="CR274" s="47">
        <f t="shared" si="188"/>
        <v>0</v>
      </c>
      <c r="CS274" s="46"/>
      <c r="CT274" s="46"/>
      <c r="CU274" s="46"/>
      <c r="CV274" s="46"/>
      <c r="CW274" s="47">
        <f t="shared" si="211"/>
        <v>0</v>
      </c>
      <c r="CX274" s="46"/>
      <c r="CY274" s="47">
        <f t="shared" si="210"/>
        <v>0</v>
      </c>
      <c r="CZ274" s="46"/>
      <c r="DA274" s="46"/>
      <c r="DB274" s="46"/>
      <c r="DC274" s="46"/>
      <c r="DD274" s="47">
        <f>+DB274*DC274</f>
        <v>0</v>
      </c>
      <c r="DE274" s="46"/>
      <c r="DF274" s="46">
        <f t="shared" ref="DF274:DF324" si="215">DC274</f>
        <v>0</v>
      </c>
      <c r="DG274" s="46"/>
      <c r="DH274" s="46">
        <f t="shared" si="197"/>
        <v>0</v>
      </c>
      <c r="DI274" s="46"/>
      <c r="DJ274" s="46"/>
      <c r="DK274" s="47">
        <f t="shared" si="185"/>
        <v>0</v>
      </c>
      <c r="DL274" s="47">
        <f t="shared" si="202"/>
        <v>0</v>
      </c>
      <c r="DM274" s="46"/>
      <c r="DN274" s="46">
        <f t="shared" si="198"/>
        <v>0</v>
      </c>
      <c r="DO274" s="46"/>
      <c r="DP274" s="90">
        <f t="shared" ref="DP274:DP279" si="216">10%*AQ274</f>
        <v>0</v>
      </c>
      <c r="DQ274" s="46"/>
      <c r="DR274" s="46">
        <f t="shared" si="189"/>
        <v>0</v>
      </c>
      <c r="DS274" s="46"/>
      <c r="DT274" s="46">
        <f t="shared" si="212"/>
        <v>0</v>
      </c>
      <c r="DU274" s="46"/>
      <c r="DV274" s="46">
        <f t="shared" ref="DV274:DV337" si="217">DT274/2</f>
        <v>0</v>
      </c>
      <c r="DW274" s="46"/>
      <c r="DX274" s="47">
        <f t="shared" si="208"/>
        <v>0</v>
      </c>
      <c r="DY274" s="46"/>
      <c r="DZ274" s="46"/>
      <c r="EA274" s="46"/>
      <c r="EB274" s="46"/>
      <c r="EC274" s="46"/>
      <c r="ED274" s="46"/>
      <c r="EE274" s="47">
        <f t="shared" si="181"/>
        <v>0</v>
      </c>
      <c r="EF274" s="46"/>
      <c r="EG274" s="46"/>
      <c r="EH274" s="46"/>
      <c r="EI274" s="46"/>
      <c r="EJ274" s="46"/>
      <c r="EK274" s="47">
        <f t="shared" si="204"/>
        <v>0</v>
      </c>
      <c r="EL274" s="46">
        <f t="shared" si="205"/>
        <v>0</v>
      </c>
      <c r="EM274" s="46"/>
      <c r="EN274" s="46">
        <f t="shared" si="206"/>
        <v>0</v>
      </c>
      <c r="EO274" s="48" t="s">
        <v>117</v>
      </c>
    </row>
    <row r="275" spans="1:145" s="48" customFormat="1" ht="15" customHeight="1" x14ac:dyDescent="0.25">
      <c r="A275" s="58"/>
      <c r="B275" s="88">
        <v>20</v>
      </c>
      <c r="C275" s="42"/>
      <c r="D275" s="43"/>
      <c r="E275" s="42"/>
      <c r="F275" s="42"/>
      <c r="G275" s="49"/>
      <c r="H275" s="49"/>
      <c r="I275" s="49"/>
      <c r="J275" s="49"/>
      <c r="K275" s="49"/>
      <c r="L275" s="49"/>
      <c r="M275" s="42"/>
      <c r="N275" s="41"/>
      <c r="O275" s="41"/>
      <c r="P275" s="42"/>
      <c r="Q275" s="45"/>
      <c r="R275" s="45"/>
      <c r="S275" s="42"/>
      <c r="T275" s="46"/>
      <c r="U275" s="46"/>
      <c r="V275" s="46"/>
      <c r="W275" s="46"/>
      <c r="X275" s="46"/>
      <c r="Y275" s="46"/>
      <c r="Z275" s="42"/>
      <c r="AA275" s="42"/>
      <c r="AB275" s="42"/>
      <c r="AC275" s="42"/>
      <c r="AD275" s="42"/>
      <c r="AE275" s="42"/>
      <c r="AF275" s="42"/>
      <c r="AG275" s="42"/>
      <c r="AH275" s="42"/>
      <c r="AI275" s="46"/>
      <c r="AJ275" s="42"/>
      <c r="AK275" s="42"/>
      <c r="AL275" s="42"/>
      <c r="AM275" s="42"/>
      <c r="AN275" s="90">
        <f t="shared" si="200"/>
        <v>0</v>
      </c>
      <c r="AO275" s="90">
        <f t="shared" si="201"/>
        <v>0</v>
      </c>
      <c r="AP275" s="42" t="s">
        <v>111</v>
      </c>
      <c r="AQ275" s="46">
        <f t="shared" si="207"/>
        <v>0</v>
      </c>
      <c r="AR275" s="46"/>
      <c r="AS275" s="42"/>
      <c r="AT275" s="46"/>
      <c r="AU275" s="64">
        <f t="shared" si="183"/>
        <v>0</v>
      </c>
      <c r="AV275" s="47"/>
      <c r="AW275" s="64">
        <f t="shared" si="213"/>
        <v>0</v>
      </c>
      <c r="AX275" s="47" t="s">
        <v>113</v>
      </c>
      <c r="AY275" s="46">
        <f>25%*AQ275</f>
        <v>0</v>
      </c>
      <c r="AZ275" s="47"/>
      <c r="BA275" s="47"/>
      <c r="BB275" s="47"/>
      <c r="BC275" s="47">
        <f t="shared" si="182"/>
        <v>0</v>
      </c>
      <c r="BD275" s="47"/>
      <c r="BE275" s="47">
        <f t="shared" si="184"/>
        <v>0</v>
      </c>
      <c r="BF275" s="47"/>
      <c r="BG275" s="47"/>
      <c r="BH275" s="47"/>
      <c r="BI275" s="47"/>
      <c r="BJ275" s="47"/>
      <c r="BK275" s="46">
        <f>BI275*BJ275</f>
        <v>0</v>
      </c>
      <c r="BL275" s="47"/>
      <c r="BM275" s="64">
        <f t="shared" si="214"/>
        <v>0</v>
      </c>
      <c r="BN275" s="47"/>
      <c r="BO275" s="47"/>
      <c r="BP275" s="47"/>
      <c r="BQ275" s="47"/>
      <c r="BR275" s="47"/>
      <c r="BS275" s="46">
        <f t="shared" si="195"/>
        <v>0</v>
      </c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6"/>
      <c r="CQ275" s="47"/>
      <c r="CR275" s="64">
        <f t="shared" si="188"/>
        <v>0</v>
      </c>
      <c r="CS275" s="47"/>
      <c r="CT275" s="47"/>
      <c r="CU275" s="47"/>
      <c r="CV275" s="47"/>
      <c r="CW275" s="47"/>
      <c r="CX275" s="46"/>
      <c r="CY275" s="47">
        <f t="shared" si="210"/>
        <v>0</v>
      </c>
      <c r="CZ275" s="47"/>
      <c r="DA275" s="47"/>
      <c r="DB275" s="47"/>
      <c r="DC275" s="47"/>
      <c r="DD275" s="47"/>
      <c r="DE275" s="47"/>
      <c r="DF275" s="46">
        <f t="shared" si="215"/>
        <v>0</v>
      </c>
      <c r="DG275" s="47"/>
      <c r="DH275" s="46">
        <f t="shared" si="197"/>
        <v>0</v>
      </c>
      <c r="DI275" s="47"/>
      <c r="DJ275" s="47"/>
      <c r="DK275" s="64">
        <f t="shared" si="185"/>
        <v>0</v>
      </c>
      <c r="DL275" s="60">
        <f t="shared" si="202"/>
        <v>0</v>
      </c>
      <c r="DM275" s="94"/>
      <c r="DN275" s="46">
        <f t="shared" si="198"/>
        <v>0</v>
      </c>
      <c r="DO275" s="47"/>
      <c r="DP275" s="90">
        <f t="shared" si="216"/>
        <v>0</v>
      </c>
      <c r="DQ275" s="47"/>
      <c r="DR275" s="90">
        <f t="shared" si="189"/>
        <v>0</v>
      </c>
      <c r="DS275" s="47"/>
      <c r="DT275" s="46">
        <f t="shared" si="212"/>
        <v>0</v>
      </c>
      <c r="DU275" s="47"/>
      <c r="DV275" s="46">
        <f t="shared" si="217"/>
        <v>0</v>
      </c>
      <c r="DW275" s="47"/>
      <c r="DX275" s="64">
        <f t="shared" si="208"/>
        <v>0</v>
      </c>
      <c r="DY275" s="91"/>
      <c r="DZ275" s="47"/>
      <c r="EA275" s="47"/>
      <c r="EB275" s="47"/>
      <c r="EC275" s="47"/>
      <c r="ED275" s="47"/>
      <c r="EE275" s="47">
        <f t="shared" si="181"/>
        <v>0</v>
      </c>
      <c r="EF275" s="47"/>
      <c r="EG275" s="47"/>
      <c r="EH275" s="47"/>
      <c r="EI275" s="91"/>
      <c r="EJ275" s="47"/>
      <c r="EK275" s="47">
        <f t="shared" si="204"/>
        <v>0</v>
      </c>
      <c r="EL275" s="46">
        <f t="shared" si="205"/>
        <v>0</v>
      </c>
      <c r="EM275" s="46"/>
      <c r="EN275" s="46">
        <f t="shared" si="206"/>
        <v>0</v>
      </c>
    </row>
    <row r="276" spans="1:145" s="48" customFormat="1" ht="15" customHeight="1" x14ac:dyDescent="0.25">
      <c r="A276" s="58"/>
      <c r="B276" s="88">
        <v>22</v>
      </c>
      <c r="C276" s="42"/>
      <c r="D276" s="43"/>
      <c r="E276" s="42"/>
      <c r="F276" s="42"/>
      <c r="G276" s="49"/>
      <c r="H276" s="49"/>
      <c r="I276" s="49"/>
      <c r="J276" s="49"/>
      <c r="K276" s="49"/>
      <c r="L276" s="49"/>
      <c r="M276" s="42"/>
      <c r="N276" s="41"/>
      <c r="O276" s="41"/>
      <c r="P276" s="42"/>
      <c r="Q276" s="45"/>
      <c r="R276" s="45"/>
      <c r="S276" s="42"/>
      <c r="T276" s="46"/>
      <c r="U276" s="46"/>
      <c r="V276" s="46"/>
      <c r="W276" s="46"/>
      <c r="X276" s="46"/>
      <c r="Y276" s="46"/>
      <c r="Z276" s="42"/>
      <c r="AA276" s="42"/>
      <c r="AB276" s="42"/>
      <c r="AC276" s="42"/>
      <c r="AD276" s="42"/>
      <c r="AE276" s="42"/>
      <c r="AF276" s="42"/>
      <c r="AG276" s="42"/>
      <c r="AH276" s="42"/>
      <c r="AI276" s="46"/>
      <c r="AJ276" s="42"/>
      <c r="AK276" s="42"/>
      <c r="AL276" s="42"/>
      <c r="AM276" s="42"/>
      <c r="AN276" s="90">
        <f t="shared" si="200"/>
        <v>0</v>
      </c>
      <c r="AO276" s="90">
        <f t="shared" si="201"/>
        <v>0</v>
      </c>
      <c r="AP276" s="42" t="s">
        <v>116</v>
      </c>
      <c r="AQ276" s="46">
        <f t="shared" si="207"/>
        <v>0</v>
      </c>
      <c r="AR276" s="46"/>
      <c r="AS276" s="42"/>
      <c r="AT276" s="46"/>
      <c r="AU276" s="64">
        <f t="shared" si="183"/>
        <v>0</v>
      </c>
      <c r="AV276" s="47"/>
      <c r="AW276" s="64">
        <f t="shared" si="213"/>
        <v>0</v>
      </c>
      <c r="AX276" s="47" t="s">
        <v>113</v>
      </c>
      <c r="AY276" s="46">
        <f>25%*AQ276</f>
        <v>0</v>
      </c>
      <c r="AZ276" s="47"/>
      <c r="BA276" s="47"/>
      <c r="BB276" s="47"/>
      <c r="BC276" s="47">
        <f t="shared" si="182"/>
        <v>0</v>
      </c>
      <c r="BD276" s="47"/>
      <c r="BE276" s="47">
        <f t="shared" si="184"/>
        <v>0</v>
      </c>
      <c r="BF276" s="47"/>
      <c r="BG276" s="47"/>
      <c r="BH276" s="47"/>
      <c r="BI276" s="47"/>
      <c r="BJ276" s="47"/>
      <c r="BK276" s="46">
        <f>BI276*BJ276</f>
        <v>0</v>
      </c>
      <c r="BL276" s="47"/>
      <c r="BM276" s="64">
        <f t="shared" si="214"/>
        <v>0</v>
      </c>
      <c r="BN276" s="47"/>
      <c r="BO276" s="47"/>
      <c r="BP276" s="47"/>
      <c r="BQ276" s="47"/>
      <c r="BR276" s="47"/>
      <c r="BS276" s="46">
        <f t="shared" si="195"/>
        <v>0</v>
      </c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6"/>
      <c r="CQ276" s="47"/>
      <c r="CR276" s="64">
        <f t="shared" si="188"/>
        <v>0</v>
      </c>
      <c r="CS276" s="47"/>
      <c r="CT276" s="47"/>
      <c r="CU276" s="47"/>
      <c r="CV276" s="47"/>
      <c r="CW276" s="47">
        <f t="shared" ref="CW276:CW290" si="218">CU276*CV276</f>
        <v>0</v>
      </c>
      <c r="CX276" s="46"/>
      <c r="CY276" s="47">
        <f t="shared" si="210"/>
        <v>0</v>
      </c>
      <c r="CZ276" s="47"/>
      <c r="DA276" s="47"/>
      <c r="DB276" s="47"/>
      <c r="DC276" s="47"/>
      <c r="DD276" s="47"/>
      <c r="DE276" s="47"/>
      <c r="DF276" s="46">
        <f t="shared" si="215"/>
        <v>0</v>
      </c>
      <c r="DG276" s="47"/>
      <c r="DH276" s="46">
        <f t="shared" si="197"/>
        <v>0</v>
      </c>
      <c r="DI276" s="47"/>
      <c r="DJ276" s="47"/>
      <c r="DK276" s="64">
        <f t="shared" si="185"/>
        <v>0</v>
      </c>
      <c r="DL276" s="60">
        <f t="shared" si="202"/>
        <v>0</v>
      </c>
      <c r="DM276" s="94"/>
      <c r="DN276" s="46">
        <f t="shared" si="198"/>
        <v>0</v>
      </c>
      <c r="DO276" s="47"/>
      <c r="DP276" s="90">
        <f t="shared" si="216"/>
        <v>0</v>
      </c>
      <c r="DQ276" s="47"/>
      <c r="DR276" s="90">
        <f t="shared" si="189"/>
        <v>0</v>
      </c>
      <c r="DS276" s="47"/>
      <c r="DT276" s="46">
        <f t="shared" si="212"/>
        <v>0</v>
      </c>
      <c r="DU276" s="47"/>
      <c r="DV276" s="46">
        <f t="shared" si="217"/>
        <v>0</v>
      </c>
      <c r="DW276" s="47"/>
      <c r="DX276" s="64">
        <f t="shared" si="208"/>
        <v>0</v>
      </c>
      <c r="DY276" s="91"/>
      <c r="DZ276" s="47"/>
      <c r="EA276" s="47"/>
      <c r="EB276" s="47"/>
      <c r="EC276" s="47"/>
      <c r="ED276" s="47"/>
      <c r="EE276" s="47">
        <f t="shared" si="181"/>
        <v>0</v>
      </c>
      <c r="EF276" s="47"/>
      <c r="EG276" s="47"/>
      <c r="EH276" s="47"/>
      <c r="EI276" s="91"/>
      <c r="EJ276" s="47"/>
      <c r="EK276" s="47">
        <f t="shared" si="204"/>
        <v>0</v>
      </c>
      <c r="EL276" s="46">
        <f t="shared" si="205"/>
        <v>0</v>
      </c>
      <c r="EM276" s="46"/>
      <c r="EN276" s="46">
        <f t="shared" si="206"/>
        <v>0</v>
      </c>
    </row>
    <row r="277" spans="1:145" s="48" customFormat="1" ht="15" customHeight="1" x14ac:dyDescent="0.25">
      <c r="A277" s="58"/>
      <c r="B277" s="88">
        <v>23</v>
      </c>
      <c r="C277" s="42"/>
      <c r="D277" s="43"/>
      <c r="E277" s="42"/>
      <c r="F277" s="42"/>
      <c r="G277" s="49"/>
      <c r="H277" s="49"/>
      <c r="I277" s="49"/>
      <c r="J277" s="49"/>
      <c r="K277" s="49"/>
      <c r="L277" s="49"/>
      <c r="M277" s="42"/>
      <c r="N277" s="41"/>
      <c r="O277" s="41"/>
      <c r="P277" s="42"/>
      <c r="Q277" s="45"/>
      <c r="R277" s="45"/>
      <c r="S277" s="42"/>
      <c r="T277" s="46"/>
      <c r="U277" s="46"/>
      <c r="V277" s="46"/>
      <c r="W277" s="46"/>
      <c r="X277" s="46"/>
      <c r="Y277" s="46"/>
      <c r="Z277" s="42"/>
      <c r="AA277" s="42"/>
      <c r="AB277" s="42"/>
      <c r="AC277" s="42"/>
      <c r="AD277" s="42"/>
      <c r="AE277" s="42"/>
      <c r="AF277" s="42"/>
      <c r="AG277" s="42"/>
      <c r="AH277" s="42"/>
      <c r="AI277" s="46"/>
      <c r="AJ277" s="42"/>
      <c r="AK277" s="42"/>
      <c r="AL277" s="42"/>
      <c r="AM277" s="42"/>
      <c r="AN277" s="90">
        <f t="shared" si="200"/>
        <v>0</v>
      </c>
      <c r="AO277" s="90">
        <f t="shared" si="201"/>
        <v>0</v>
      </c>
      <c r="AP277" s="42" t="s">
        <v>111</v>
      </c>
      <c r="AQ277" s="46">
        <f t="shared" si="207"/>
        <v>0</v>
      </c>
      <c r="AR277" s="46"/>
      <c r="AS277" s="42"/>
      <c r="AT277" s="46"/>
      <c r="AU277" s="64">
        <f t="shared" si="183"/>
        <v>0</v>
      </c>
      <c r="AV277" s="47"/>
      <c r="AW277" s="64">
        <f t="shared" si="213"/>
        <v>0</v>
      </c>
      <c r="AX277" s="47" t="s">
        <v>113</v>
      </c>
      <c r="AY277" s="46">
        <f>25%*AQ277</f>
        <v>0</v>
      </c>
      <c r="AZ277" s="47"/>
      <c r="BA277" s="47"/>
      <c r="BB277" s="47"/>
      <c r="BC277" s="47">
        <f t="shared" si="182"/>
        <v>0</v>
      </c>
      <c r="BD277" s="47"/>
      <c r="BE277" s="47">
        <f t="shared" si="184"/>
        <v>0</v>
      </c>
      <c r="BF277" s="47"/>
      <c r="BG277" s="47"/>
      <c r="BH277" s="47"/>
      <c r="BI277" s="47"/>
      <c r="BJ277" s="47"/>
      <c r="BK277" s="46">
        <f>BI277*BJ277</f>
        <v>0</v>
      </c>
      <c r="BL277" s="47"/>
      <c r="BM277" s="64">
        <f t="shared" si="214"/>
        <v>0</v>
      </c>
      <c r="BN277" s="47"/>
      <c r="BO277" s="47"/>
      <c r="BP277" s="47"/>
      <c r="BQ277" s="47"/>
      <c r="BR277" s="47"/>
      <c r="BS277" s="46">
        <f t="shared" si="195"/>
        <v>0</v>
      </c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6"/>
      <c r="CQ277" s="47"/>
      <c r="CR277" s="64">
        <f t="shared" si="188"/>
        <v>0</v>
      </c>
      <c r="CS277" s="47"/>
      <c r="CT277" s="47"/>
      <c r="CU277" s="47"/>
      <c r="CV277" s="47"/>
      <c r="CW277" s="47">
        <f t="shared" si="218"/>
        <v>0</v>
      </c>
      <c r="CX277" s="46"/>
      <c r="CY277" s="47">
        <f t="shared" si="210"/>
        <v>0</v>
      </c>
      <c r="CZ277" s="47"/>
      <c r="DA277" s="47"/>
      <c r="DB277" s="47"/>
      <c r="DC277" s="47"/>
      <c r="DD277" s="47"/>
      <c r="DE277" s="47"/>
      <c r="DF277" s="46">
        <f t="shared" si="215"/>
        <v>0</v>
      </c>
      <c r="DG277" s="47"/>
      <c r="DH277" s="46">
        <f t="shared" si="197"/>
        <v>0</v>
      </c>
      <c r="DI277" s="47"/>
      <c r="DJ277" s="47"/>
      <c r="DK277" s="64">
        <f t="shared" si="185"/>
        <v>0</v>
      </c>
      <c r="DL277" s="60">
        <f t="shared" si="202"/>
        <v>0</v>
      </c>
      <c r="DM277" s="94"/>
      <c r="DN277" s="46">
        <f t="shared" si="198"/>
        <v>0</v>
      </c>
      <c r="DO277" s="47"/>
      <c r="DP277" s="90">
        <f t="shared" si="216"/>
        <v>0</v>
      </c>
      <c r="DQ277" s="47"/>
      <c r="DR277" s="90">
        <f t="shared" si="189"/>
        <v>0</v>
      </c>
      <c r="DS277" s="47"/>
      <c r="DT277" s="46">
        <f t="shared" si="212"/>
        <v>0</v>
      </c>
      <c r="DU277" s="47"/>
      <c r="DV277" s="46">
        <f t="shared" si="217"/>
        <v>0</v>
      </c>
      <c r="DW277" s="47"/>
      <c r="DX277" s="64">
        <f t="shared" si="208"/>
        <v>0</v>
      </c>
      <c r="DY277" s="91"/>
      <c r="DZ277" s="47"/>
      <c r="EA277" s="47"/>
      <c r="EB277" s="47"/>
      <c r="EC277" s="47"/>
      <c r="ED277" s="47"/>
      <c r="EE277" s="47">
        <f t="shared" ref="EE277:EE340" si="219">+AW277+BE277+BM277+CR277+CY277+DF277+DL277+DX277+DY277+DZ277+EB277+EC277</f>
        <v>0</v>
      </c>
      <c r="EF277" s="47"/>
      <c r="EG277" s="47"/>
      <c r="EH277" s="47"/>
      <c r="EI277" s="91"/>
      <c r="EJ277" s="47"/>
      <c r="EK277" s="47">
        <f t="shared" si="204"/>
        <v>0</v>
      </c>
      <c r="EL277" s="46">
        <f t="shared" si="205"/>
        <v>0</v>
      </c>
      <c r="EM277" s="46"/>
      <c r="EN277" s="46">
        <f t="shared" si="206"/>
        <v>0</v>
      </c>
    </row>
    <row r="278" spans="1:145" s="48" customFormat="1" ht="15" customHeight="1" x14ac:dyDescent="0.25">
      <c r="A278" s="58"/>
      <c r="B278" s="88">
        <v>24</v>
      </c>
      <c r="C278" s="42"/>
      <c r="D278" s="43"/>
      <c r="E278" s="42"/>
      <c r="F278" s="42"/>
      <c r="G278" s="49"/>
      <c r="H278" s="49"/>
      <c r="I278" s="49"/>
      <c r="J278" s="49"/>
      <c r="K278" s="49"/>
      <c r="L278" s="49"/>
      <c r="M278" s="42"/>
      <c r="N278" s="41"/>
      <c r="O278" s="41"/>
      <c r="P278" s="42"/>
      <c r="Q278" s="45"/>
      <c r="R278" s="45"/>
      <c r="S278" s="42"/>
      <c r="T278" s="46"/>
      <c r="U278" s="46"/>
      <c r="V278" s="46"/>
      <c r="W278" s="46"/>
      <c r="X278" s="46"/>
      <c r="Y278" s="46"/>
      <c r="Z278" s="42"/>
      <c r="AA278" s="42"/>
      <c r="AB278" s="42"/>
      <c r="AC278" s="42"/>
      <c r="AD278" s="42"/>
      <c r="AE278" s="42"/>
      <c r="AF278" s="42"/>
      <c r="AG278" s="42"/>
      <c r="AH278" s="42"/>
      <c r="AI278" s="46"/>
      <c r="AJ278" s="42"/>
      <c r="AK278" s="42"/>
      <c r="AL278" s="42"/>
      <c r="AM278" s="42"/>
      <c r="AN278" s="90">
        <f t="shared" si="200"/>
        <v>0</v>
      </c>
      <c r="AO278" s="90">
        <f t="shared" si="201"/>
        <v>0</v>
      </c>
      <c r="AP278" s="42" t="s">
        <v>111</v>
      </c>
      <c r="AQ278" s="46">
        <f t="shared" si="207"/>
        <v>0</v>
      </c>
      <c r="AR278" s="46"/>
      <c r="AS278" s="42"/>
      <c r="AT278" s="46"/>
      <c r="AU278" s="64">
        <f t="shared" si="183"/>
        <v>0</v>
      </c>
      <c r="AV278" s="47"/>
      <c r="AW278" s="64">
        <f t="shared" si="213"/>
        <v>0</v>
      </c>
      <c r="AX278" s="47" t="s">
        <v>113</v>
      </c>
      <c r="AY278" s="90">
        <f>25%*AQ278</f>
        <v>0</v>
      </c>
      <c r="AZ278" s="47"/>
      <c r="BA278" s="47"/>
      <c r="BB278" s="47"/>
      <c r="BC278" s="47">
        <f t="shared" si="182"/>
        <v>0</v>
      </c>
      <c r="BD278" s="47"/>
      <c r="BE278" s="47">
        <f t="shared" si="184"/>
        <v>0</v>
      </c>
      <c r="BF278" s="47"/>
      <c r="BG278" s="47"/>
      <c r="BH278" s="47"/>
      <c r="BI278" s="47"/>
      <c r="BJ278" s="47"/>
      <c r="BK278" s="46">
        <f>BI278*BJ278</f>
        <v>0</v>
      </c>
      <c r="BL278" s="47"/>
      <c r="BM278" s="64">
        <f t="shared" si="214"/>
        <v>0</v>
      </c>
      <c r="BN278" s="47"/>
      <c r="BO278" s="47"/>
      <c r="BP278" s="47"/>
      <c r="BQ278" s="47"/>
      <c r="BR278" s="47"/>
      <c r="BS278" s="46">
        <f t="shared" si="195"/>
        <v>0</v>
      </c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6"/>
      <c r="CQ278" s="47"/>
      <c r="CR278" s="64">
        <f t="shared" si="188"/>
        <v>0</v>
      </c>
      <c r="CS278" s="47"/>
      <c r="CT278" s="47"/>
      <c r="CU278" s="47"/>
      <c r="CV278" s="47"/>
      <c r="CW278" s="47">
        <f t="shared" si="218"/>
        <v>0</v>
      </c>
      <c r="CX278" s="46"/>
      <c r="CY278" s="47">
        <f t="shared" si="210"/>
        <v>0</v>
      </c>
      <c r="CZ278" s="47"/>
      <c r="DA278" s="47"/>
      <c r="DB278" s="47"/>
      <c r="DC278" s="47"/>
      <c r="DD278" s="47"/>
      <c r="DE278" s="47"/>
      <c r="DF278" s="46">
        <f t="shared" si="215"/>
        <v>0</v>
      </c>
      <c r="DG278" s="47"/>
      <c r="DH278" s="46">
        <f t="shared" si="197"/>
        <v>0</v>
      </c>
      <c r="DI278" s="47"/>
      <c r="DJ278" s="47"/>
      <c r="DK278" s="64">
        <f t="shared" si="185"/>
        <v>0</v>
      </c>
      <c r="DL278" s="60">
        <f t="shared" si="202"/>
        <v>0</v>
      </c>
      <c r="DM278" s="94"/>
      <c r="DN278" s="46">
        <f t="shared" si="198"/>
        <v>0</v>
      </c>
      <c r="DO278" s="47"/>
      <c r="DP278" s="90">
        <f t="shared" si="216"/>
        <v>0</v>
      </c>
      <c r="DQ278" s="47"/>
      <c r="DR278" s="90">
        <f t="shared" si="189"/>
        <v>0</v>
      </c>
      <c r="DS278" s="47"/>
      <c r="DT278" s="46">
        <f t="shared" si="212"/>
        <v>0</v>
      </c>
      <c r="DU278" s="47"/>
      <c r="DV278" s="46">
        <f t="shared" si="217"/>
        <v>0</v>
      </c>
      <c r="DW278" s="47"/>
      <c r="DX278" s="64">
        <f t="shared" si="208"/>
        <v>0</v>
      </c>
      <c r="DY278" s="91"/>
      <c r="DZ278" s="47"/>
      <c r="EA278" s="47"/>
      <c r="EB278" s="47"/>
      <c r="EC278" s="47"/>
      <c r="ED278" s="47"/>
      <c r="EE278" s="47">
        <f t="shared" si="219"/>
        <v>0</v>
      </c>
      <c r="EF278" s="47"/>
      <c r="EG278" s="47"/>
      <c r="EH278" s="47"/>
      <c r="EI278" s="91"/>
      <c r="EJ278" s="47"/>
      <c r="EK278" s="47">
        <f t="shared" si="204"/>
        <v>0</v>
      </c>
      <c r="EL278" s="46">
        <f t="shared" si="205"/>
        <v>0</v>
      </c>
      <c r="EM278" s="46"/>
      <c r="EN278" s="46">
        <f t="shared" si="206"/>
        <v>0</v>
      </c>
    </row>
    <row r="279" spans="1:145" s="48" customFormat="1" ht="15.75" customHeight="1" x14ac:dyDescent="0.25">
      <c r="B279" s="88">
        <v>25</v>
      </c>
      <c r="C279" s="42"/>
      <c r="D279" s="43"/>
      <c r="E279" s="42"/>
      <c r="F279" s="42"/>
      <c r="G279" s="42"/>
      <c r="H279" s="42"/>
      <c r="I279" s="42"/>
      <c r="J279" s="42"/>
      <c r="K279" s="42"/>
      <c r="L279" s="42"/>
      <c r="M279" s="42"/>
      <c r="N279" s="41"/>
      <c r="O279" s="41"/>
      <c r="P279" s="42"/>
      <c r="Q279" s="45"/>
      <c r="R279" s="45"/>
      <c r="S279" s="42"/>
      <c r="T279" s="46"/>
      <c r="U279" s="46"/>
      <c r="V279" s="42"/>
      <c r="W279" s="42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>
        <f t="shared" si="200"/>
        <v>0</v>
      </c>
      <c r="AO279" s="47">
        <f t="shared" si="201"/>
        <v>0</v>
      </c>
      <c r="AP279" s="46" t="s">
        <v>119</v>
      </c>
      <c r="AQ279" s="46">
        <f t="shared" si="207"/>
        <v>0</v>
      </c>
      <c r="AR279" s="46"/>
      <c r="AS279" s="46"/>
      <c r="AT279" s="46"/>
      <c r="AU279" s="47">
        <f t="shared" si="183"/>
        <v>0</v>
      </c>
      <c r="AV279" s="46"/>
      <c r="AW279" s="47">
        <f t="shared" si="213"/>
        <v>0</v>
      </c>
      <c r="AX279" s="46" t="s">
        <v>113</v>
      </c>
      <c r="AY279" s="90">
        <f>25%*AQ279</f>
        <v>0</v>
      </c>
      <c r="AZ279" s="46"/>
      <c r="BA279" s="46"/>
      <c r="BB279" s="46"/>
      <c r="BC279" s="47">
        <f t="shared" si="182"/>
        <v>0</v>
      </c>
      <c r="BD279" s="46"/>
      <c r="BE279" s="47">
        <f t="shared" si="184"/>
        <v>0</v>
      </c>
      <c r="BF279" s="46"/>
      <c r="BG279" s="46"/>
      <c r="BH279" s="46"/>
      <c r="BI279" s="46"/>
      <c r="BJ279" s="46"/>
      <c r="BK279" s="47">
        <f>+BI279*BJ279</f>
        <v>0</v>
      </c>
      <c r="BL279" s="46"/>
      <c r="BM279" s="47">
        <f t="shared" si="214"/>
        <v>0</v>
      </c>
      <c r="BN279" s="46"/>
      <c r="BO279" s="46"/>
      <c r="BP279" s="46"/>
      <c r="BQ279" s="46"/>
      <c r="BR279" s="46"/>
      <c r="BS279" s="46">
        <f t="shared" si="195"/>
        <v>0</v>
      </c>
      <c r="BT279" s="46"/>
      <c r="BU279" s="47">
        <f>+BO279+BP279+BS279+BT279</f>
        <v>0</v>
      </c>
      <c r="BV279" s="46"/>
      <c r="BW279" s="46"/>
      <c r="BX279" s="46"/>
      <c r="BY279" s="46"/>
      <c r="BZ279" s="46"/>
      <c r="CA279" s="46"/>
      <c r="CB279" s="46"/>
      <c r="CC279" s="47">
        <f>+BW279+BX279+CA279+CB279</f>
        <v>0</v>
      </c>
      <c r="CD279" s="46"/>
      <c r="CE279" s="46"/>
      <c r="CF279" s="46"/>
      <c r="CG279" s="46"/>
      <c r="CH279" s="46"/>
      <c r="CI279" s="46"/>
      <c r="CJ279" s="46"/>
      <c r="CK279" s="47">
        <f>+CE279+CF279+CI279+CJ279</f>
        <v>0</v>
      </c>
      <c r="CL279" s="46"/>
      <c r="CM279" s="46"/>
      <c r="CN279" s="46"/>
      <c r="CO279" s="46"/>
      <c r="CP279" s="46">
        <f>CN279*CO279</f>
        <v>0</v>
      </c>
      <c r="CQ279" s="46"/>
      <c r="CR279" s="47">
        <f t="shared" si="188"/>
        <v>0</v>
      </c>
      <c r="CS279" s="46"/>
      <c r="CT279" s="46"/>
      <c r="CU279" s="46"/>
      <c r="CV279" s="46"/>
      <c r="CW279" s="47">
        <f t="shared" si="218"/>
        <v>0</v>
      </c>
      <c r="CX279" s="46"/>
      <c r="CY279" s="47">
        <f t="shared" si="210"/>
        <v>0</v>
      </c>
      <c r="CZ279" s="46"/>
      <c r="DA279" s="46"/>
      <c r="DB279" s="46"/>
      <c r="DC279" s="46"/>
      <c r="DD279" s="47">
        <f t="shared" ref="DD279:DD288" si="220">+DB279*DC279</f>
        <v>0</v>
      </c>
      <c r="DE279" s="46"/>
      <c r="DF279" s="46">
        <f t="shared" si="215"/>
        <v>0</v>
      </c>
      <c r="DG279" s="46"/>
      <c r="DH279" s="46">
        <f t="shared" si="197"/>
        <v>0</v>
      </c>
      <c r="DI279" s="46"/>
      <c r="DJ279" s="46"/>
      <c r="DK279" s="47">
        <f t="shared" si="185"/>
        <v>0</v>
      </c>
      <c r="DL279" s="47">
        <f t="shared" si="202"/>
        <v>0</v>
      </c>
      <c r="DM279" s="46"/>
      <c r="DN279" s="46">
        <f t="shared" si="198"/>
        <v>0</v>
      </c>
      <c r="DO279" s="46"/>
      <c r="DP279" s="90">
        <f t="shared" si="216"/>
        <v>0</v>
      </c>
      <c r="DQ279" s="46"/>
      <c r="DR279" s="46">
        <f t="shared" si="189"/>
        <v>0</v>
      </c>
      <c r="DS279" s="50"/>
      <c r="DT279" s="46">
        <f t="shared" si="212"/>
        <v>0</v>
      </c>
      <c r="DU279" s="46"/>
      <c r="DV279" s="46">
        <f t="shared" si="217"/>
        <v>0</v>
      </c>
      <c r="DW279" s="46"/>
      <c r="DX279" s="47">
        <f t="shared" si="208"/>
        <v>0</v>
      </c>
      <c r="DY279" s="46"/>
      <c r="DZ279" s="46"/>
      <c r="EA279" s="47"/>
      <c r="EB279" s="46"/>
      <c r="EC279" s="46"/>
      <c r="ED279" s="46"/>
      <c r="EE279" s="47">
        <f t="shared" si="219"/>
        <v>0</v>
      </c>
      <c r="EF279" s="46"/>
      <c r="EG279" s="46"/>
      <c r="EH279" s="46"/>
      <c r="EI279" s="46"/>
      <c r="EJ279" s="46"/>
      <c r="EK279" s="47">
        <f t="shared" si="204"/>
        <v>0</v>
      </c>
      <c r="EL279" s="46">
        <f t="shared" si="205"/>
        <v>0</v>
      </c>
      <c r="EM279" s="46"/>
      <c r="EN279" s="46">
        <f t="shared" si="206"/>
        <v>0</v>
      </c>
    </row>
    <row r="280" spans="1:145" s="48" customFormat="1" ht="15" customHeight="1" x14ac:dyDescent="0.25">
      <c r="A280" s="58"/>
      <c r="B280" s="88">
        <v>26</v>
      </c>
      <c r="C280" s="42"/>
      <c r="D280" s="43"/>
      <c r="E280" s="42"/>
      <c r="F280" s="42"/>
      <c r="G280" s="49"/>
      <c r="H280" s="49"/>
      <c r="I280" s="49"/>
      <c r="J280" s="49"/>
      <c r="K280" s="49"/>
      <c r="L280" s="49"/>
      <c r="M280" s="42"/>
      <c r="N280" s="41"/>
      <c r="O280" s="41"/>
      <c r="P280" s="42"/>
      <c r="Q280" s="45"/>
      <c r="R280" s="45"/>
      <c r="S280" s="42"/>
      <c r="T280" s="46"/>
      <c r="U280" s="46"/>
      <c r="V280" s="46"/>
      <c r="W280" s="46"/>
      <c r="X280" s="46"/>
      <c r="Y280" s="46"/>
      <c r="Z280" s="42"/>
      <c r="AA280" s="42"/>
      <c r="AB280" s="42"/>
      <c r="AC280" s="42"/>
      <c r="AD280" s="42"/>
      <c r="AE280" s="42"/>
      <c r="AF280" s="42"/>
      <c r="AG280" s="42"/>
      <c r="AH280" s="42"/>
      <c r="AI280" s="46"/>
      <c r="AJ280" s="42"/>
      <c r="AK280" s="42"/>
      <c r="AL280" s="42"/>
      <c r="AM280" s="42"/>
      <c r="AN280" s="46">
        <f t="shared" si="200"/>
        <v>0</v>
      </c>
      <c r="AO280" s="46">
        <f t="shared" si="201"/>
        <v>0</v>
      </c>
      <c r="AP280" s="42" t="s">
        <v>111</v>
      </c>
      <c r="AQ280" s="46">
        <f t="shared" si="207"/>
        <v>0</v>
      </c>
      <c r="AR280" s="46"/>
      <c r="AS280" s="42"/>
      <c r="AT280" s="46"/>
      <c r="AU280" s="47">
        <f t="shared" si="183"/>
        <v>0</v>
      </c>
      <c r="AV280" s="47"/>
      <c r="AW280" s="47">
        <f t="shared" si="213"/>
        <v>0</v>
      </c>
      <c r="AX280" s="47"/>
      <c r="AY280" s="46"/>
      <c r="AZ280" s="47"/>
      <c r="BA280" s="47"/>
      <c r="BB280" s="47"/>
      <c r="BC280" s="47">
        <f t="shared" si="182"/>
        <v>0</v>
      </c>
      <c r="BD280" s="47"/>
      <c r="BE280" s="47">
        <f t="shared" si="184"/>
        <v>0</v>
      </c>
      <c r="BF280" s="47"/>
      <c r="BG280" s="47"/>
      <c r="BH280" s="47"/>
      <c r="BI280" s="47"/>
      <c r="BJ280" s="47"/>
      <c r="BK280" s="46">
        <f t="shared" ref="BK280:BK312" si="221">BI280*BJ280</f>
        <v>0</v>
      </c>
      <c r="BL280" s="47"/>
      <c r="BM280" s="47">
        <f t="shared" si="214"/>
        <v>0</v>
      </c>
      <c r="BN280" s="47"/>
      <c r="BO280" s="47"/>
      <c r="BP280" s="47"/>
      <c r="BQ280" s="47"/>
      <c r="BR280" s="47"/>
      <c r="BS280" s="46">
        <f t="shared" si="195"/>
        <v>0</v>
      </c>
      <c r="BT280" s="47"/>
      <c r="BU280" s="47">
        <f>+BO280+BP280+BS280+BT280</f>
        <v>0</v>
      </c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6"/>
      <c r="CQ280" s="47"/>
      <c r="CR280" s="47">
        <f t="shared" si="188"/>
        <v>0</v>
      </c>
      <c r="CS280" s="47"/>
      <c r="CT280" s="47"/>
      <c r="CU280" s="47"/>
      <c r="CV280" s="47"/>
      <c r="CW280" s="47">
        <f t="shared" si="218"/>
        <v>0</v>
      </c>
      <c r="CX280" s="46"/>
      <c r="CY280" s="47">
        <f t="shared" si="210"/>
        <v>0</v>
      </c>
      <c r="CZ280" s="47"/>
      <c r="DA280" s="47"/>
      <c r="DB280" s="47"/>
      <c r="DC280" s="47"/>
      <c r="DD280" s="64">
        <f t="shared" si="220"/>
        <v>0</v>
      </c>
      <c r="DE280" s="47"/>
      <c r="DF280" s="46">
        <f t="shared" si="215"/>
        <v>0</v>
      </c>
      <c r="DG280" s="47"/>
      <c r="DH280" s="46">
        <f t="shared" si="197"/>
        <v>0</v>
      </c>
      <c r="DI280" s="47"/>
      <c r="DJ280" s="47"/>
      <c r="DK280" s="47">
        <f t="shared" si="185"/>
        <v>0</v>
      </c>
      <c r="DL280" s="60">
        <f t="shared" si="202"/>
        <v>0</v>
      </c>
      <c r="DM280" s="94"/>
      <c r="DN280" s="46">
        <f t="shared" si="198"/>
        <v>0</v>
      </c>
      <c r="DO280" s="47"/>
      <c r="DP280" s="90">
        <f>DN280</f>
        <v>0</v>
      </c>
      <c r="DQ280" s="47"/>
      <c r="DR280" s="46">
        <f t="shared" si="189"/>
        <v>0</v>
      </c>
      <c r="DS280" s="47"/>
      <c r="DT280" s="46">
        <f t="shared" si="212"/>
        <v>0</v>
      </c>
      <c r="DU280" s="47"/>
      <c r="DV280" s="46">
        <f t="shared" si="217"/>
        <v>0</v>
      </c>
      <c r="DW280" s="47"/>
      <c r="DX280" s="47">
        <f t="shared" si="208"/>
        <v>0</v>
      </c>
      <c r="DY280" s="91"/>
      <c r="DZ280" s="47"/>
      <c r="EA280" s="47"/>
      <c r="EB280" s="47"/>
      <c r="EC280" s="47"/>
      <c r="ED280" s="47"/>
      <c r="EE280" s="47">
        <f t="shared" si="219"/>
        <v>0</v>
      </c>
      <c r="EF280" s="47"/>
      <c r="EG280" s="47"/>
      <c r="EH280" s="47"/>
      <c r="EI280" s="91"/>
      <c r="EJ280" s="47"/>
      <c r="EK280" s="47">
        <f t="shared" si="204"/>
        <v>0</v>
      </c>
      <c r="EL280" s="46">
        <f t="shared" si="205"/>
        <v>0</v>
      </c>
      <c r="EM280" s="46"/>
      <c r="EN280" s="46">
        <f t="shared" si="206"/>
        <v>0</v>
      </c>
    </row>
    <row r="281" spans="1:145" s="48" customFormat="1" ht="16.5" customHeight="1" x14ac:dyDescent="0.25">
      <c r="A281" s="58"/>
      <c r="B281" s="88">
        <v>27</v>
      </c>
      <c r="C281" s="42"/>
      <c r="D281" s="43"/>
      <c r="E281" s="42"/>
      <c r="F281" s="42"/>
      <c r="G281" s="49"/>
      <c r="H281" s="49"/>
      <c r="I281" s="49"/>
      <c r="J281" s="49"/>
      <c r="K281" s="49"/>
      <c r="L281" s="49"/>
      <c r="M281" s="42"/>
      <c r="N281" s="41"/>
      <c r="O281" s="41"/>
      <c r="P281" s="42"/>
      <c r="Q281" s="45"/>
      <c r="R281" s="45"/>
      <c r="S281" s="42"/>
      <c r="T281" s="46"/>
      <c r="U281" s="46"/>
      <c r="V281" s="46"/>
      <c r="W281" s="46"/>
      <c r="X281" s="46"/>
      <c r="Y281" s="46"/>
      <c r="Z281" s="42"/>
      <c r="AA281" s="42"/>
      <c r="AB281" s="42"/>
      <c r="AC281" s="42"/>
      <c r="AD281" s="42"/>
      <c r="AE281" s="42"/>
      <c r="AF281" s="42"/>
      <c r="AG281" s="42"/>
      <c r="AH281" s="42"/>
      <c r="AI281" s="46"/>
      <c r="AJ281" s="42"/>
      <c r="AK281" s="42"/>
      <c r="AL281" s="42"/>
      <c r="AM281" s="42"/>
      <c r="AN281" s="46">
        <f t="shared" si="200"/>
        <v>0</v>
      </c>
      <c r="AO281" s="46">
        <f t="shared" si="201"/>
        <v>0</v>
      </c>
      <c r="AP281" s="42" t="s">
        <v>114</v>
      </c>
      <c r="AQ281" s="46">
        <f t="shared" si="207"/>
        <v>0</v>
      </c>
      <c r="AR281" s="46"/>
      <c r="AS281" s="42"/>
      <c r="AT281" s="46"/>
      <c r="AU281" s="47">
        <f t="shared" si="183"/>
        <v>0</v>
      </c>
      <c r="AV281" s="47"/>
      <c r="AW281" s="47">
        <f t="shared" si="213"/>
        <v>0</v>
      </c>
      <c r="AX281" s="47"/>
      <c r="AY281" s="46"/>
      <c r="AZ281" s="47"/>
      <c r="BA281" s="47"/>
      <c r="BB281" s="47"/>
      <c r="BC281" s="47">
        <f t="shared" ref="BC281:BC344" si="222">BA281*BB281</f>
        <v>0</v>
      </c>
      <c r="BD281" s="47"/>
      <c r="BE281" s="47">
        <f t="shared" si="184"/>
        <v>0</v>
      </c>
      <c r="BF281" s="47"/>
      <c r="BG281" s="47"/>
      <c r="BH281" s="47"/>
      <c r="BI281" s="47"/>
      <c r="BJ281" s="47"/>
      <c r="BK281" s="46">
        <f t="shared" si="221"/>
        <v>0</v>
      </c>
      <c r="BL281" s="47"/>
      <c r="BM281" s="47">
        <f t="shared" si="214"/>
        <v>0</v>
      </c>
      <c r="BN281" s="47"/>
      <c r="BO281" s="47"/>
      <c r="BP281" s="47"/>
      <c r="BQ281" s="47"/>
      <c r="BR281" s="47"/>
      <c r="BS281" s="46">
        <f t="shared" si="195"/>
        <v>0</v>
      </c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6"/>
      <c r="CQ281" s="47"/>
      <c r="CR281" s="47">
        <f t="shared" si="188"/>
        <v>0</v>
      </c>
      <c r="CS281" s="47"/>
      <c r="CT281" s="47"/>
      <c r="CU281" s="47"/>
      <c r="CV281" s="47"/>
      <c r="CW281" s="47">
        <f t="shared" si="218"/>
        <v>0</v>
      </c>
      <c r="CX281" s="46"/>
      <c r="CY281" s="47">
        <f t="shared" si="210"/>
        <v>0</v>
      </c>
      <c r="CZ281" s="47"/>
      <c r="DA281" s="47"/>
      <c r="DB281" s="47"/>
      <c r="DC281" s="47"/>
      <c r="DD281" s="64">
        <f t="shared" si="220"/>
        <v>0</v>
      </c>
      <c r="DE281" s="47"/>
      <c r="DF281" s="46">
        <f t="shared" si="215"/>
        <v>0</v>
      </c>
      <c r="DG281" s="47"/>
      <c r="DH281" s="46">
        <f t="shared" si="197"/>
        <v>0</v>
      </c>
      <c r="DI281" s="47"/>
      <c r="DJ281" s="47"/>
      <c r="DK281" s="47">
        <f t="shared" si="185"/>
        <v>0</v>
      </c>
      <c r="DL281" s="60">
        <f t="shared" si="202"/>
        <v>0</v>
      </c>
      <c r="DM281" s="94"/>
      <c r="DN281" s="46">
        <f t="shared" si="198"/>
        <v>0</v>
      </c>
      <c r="DO281" s="47"/>
      <c r="DP281" s="90"/>
      <c r="DQ281" s="47"/>
      <c r="DR281" s="46">
        <f t="shared" si="189"/>
        <v>0</v>
      </c>
      <c r="DS281" s="47"/>
      <c r="DT281" s="46">
        <f t="shared" si="212"/>
        <v>0</v>
      </c>
      <c r="DU281" s="47"/>
      <c r="DV281" s="46">
        <f t="shared" si="217"/>
        <v>0</v>
      </c>
      <c r="DW281" s="47"/>
      <c r="DX281" s="47">
        <f t="shared" si="208"/>
        <v>0</v>
      </c>
      <c r="DY281" s="91"/>
      <c r="DZ281" s="47"/>
      <c r="EA281" s="47"/>
      <c r="EB281" s="47"/>
      <c r="EC281" s="47"/>
      <c r="ED281" s="47"/>
      <c r="EE281" s="47">
        <f t="shared" si="219"/>
        <v>0</v>
      </c>
      <c r="EF281" s="47"/>
      <c r="EG281" s="47"/>
      <c r="EH281" s="47"/>
      <c r="EI281" s="91"/>
      <c r="EJ281" s="47"/>
      <c r="EK281" s="47">
        <f t="shared" si="204"/>
        <v>0</v>
      </c>
      <c r="EL281" s="46">
        <f t="shared" si="205"/>
        <v>0</v>
      </c>
      <c r="EM281" s="46"/>
      <c r="EN281" s="46">
        <f t="shared" si="206"/>
        <v>0</v>
      </c>
    </row>
    <row r="282" spans="1:145" s="48" customFormat="1" ht="15" customHeight="1" x14ac:dyDescent="0.25">
      <c r="A282" s="58"/>
      <c r="B282" s="88">
        <v>28</v>
      </c>
      <c r="C282" s="42"/>
      <c r="D282" s="43"/>
      <c r="E282" s="42"/>
      <c r="F282" s="42"/>
      <c r="G282" s="49"/>
      <c r="H282" s="49"/>
      <c r="I282" s="49"/>
      <c r="J282" s="49"/>
      <c r="K282" s="49"/>
      <c r="L282" s="49"/>
      <c r="M282" s="42"/>
      <c r="N282" s="41"/>
      <c r="O282" s="41"/>
      <c r="P282" s="42"/>
      <c r="Q282" s="45"/>
      <c r="R282" s="45"/>
      <c r="S282" s="42"/>
      <c r="T282" s="46"/>
      <c r="U282" s="46"/>
      <c r="V282" s="46"/>
      <c r="W282" s="46"/>
      <c r="X282" s="46"/>
      <c r="Y282" s="46"/>
      <c r="Z282" s="42"/>
      <c r="AA282" s="42"/>
      <c r="AB282" s="42"/>
      <c r="AC282" s="42"/>
      <c r="AD282" s="42"/>
      <c r="AE282" s="42"/>
      <c r="AF282" s="42"/>
      <c r="AG282" s="42"/>
      <c r="AH282" s="42"/>
      <c r="AI282" s="46"/>
      <c r="AJ282" s="42"/>
      <c r="AK282" s="42"/>
      <c r="AL282" s="42"/>
      <c r="AM282" s="42"/>
      <c r="AN282" s="46">
        <f t="shared" si="200"/>
        <v>0</v>
      </c>
      <c r="AO282" s="46">
        <f t="shared" si="201"/>
        <v>0</v>
      </c>
      <c r="AP282" s="42" t="s">
        <v>118</v>
      </c>
      <c r="AQ282" s="46">
        <f t="shared" si="207"/>
        <v>0</v>
      </c>
      <c r="AR282" s="46"/>
      <c r="AS282" s="42"/>
      <c r="AT282" s="46"/>
      <c r="AU282" s="47">
        <f t="shared" ref="AU282:AU345" si="223">AS282*AT282</f>
        <v>0</v>
      </c>
      <c r="AV282" s="47"/>
      <c r="AW282" s="47">
        <f t="shared" si="213"/>
        <v>0</v>
      </c>
      <c r="AX282" s="47"/>
      <c r="AY282" s="46"/>
      <c r="AZ282" s="47"/>
      <c r="BA282" s="47"/>
      <c r="BB282" s="47"/>
      <c r="BC282" s="47">
        <f t="shared" si="222"/>
        <v>0</v>
      </c>
      <c r="BD282" s="47"/>
      <c r="BE282" s="47">
        <f t="shared" ref="BE282:BE345" si="224">+AY282+AZ282+BC282+BD282</f>
        <v>0</v>
      </c>
      <c r="BF282" s="47"/>
      <c r="BG282" s="47"/>
      <c r="BH282" s="47"/>
      <c r="BI282" s="47"/>
      <c r="BJ282" s="47"/>
      <c r="BK282" s="46">
        <f t="shared" si="221"/>
        <v>0</v>
      </c>
      <c r="BL282" s="47"/>
      <c r="BM282" s="47">
        <f t="shared" si="214"/>
        <v>0</v>
      </c>
      <c r="BN282" s="47"/>
      <c r="BO282" s="47"/>
      <c r="BP282" s="47"/>
      <c r="BQ282" s="47">
        <v>2</v>
      </c>
      <c r="BR282" s="47">
        <v>50000</v>
      </c>
      <c r="BS282" s="46">
        <f t="shared" si="195"/>
        <v>100000</v>
      </c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6"/>
      <c r="CQ282" s="47"/>
      <c r="CR282" s="47">
        <f t="shared" si="188"/>
        <v>0</v>
      </c>
      <c r="CS282" s="47"/>
      <c r="CT282" s="47"/>
      <c r="CU282" s="47"/>
      <c r="CV282" s="47"/>
      <c r="CW282" s="47">
        <f t="shared" si="218"/>
        <v>0</v>
      </c>
      <c r="CX282" s="46"/>
      <c r="CY282" s="47">
        <f t="shared" si="210"/>
        <v>0</v>
      </c>
      <c r="CZ282" s="47"/>
      <c r="DA282" s="47"/>
      <c r="DB282" s="47"/>
      <c r="DC282" s="47"/>
      <c r="DD282" s="64">
        <f t="shared" si="220"/>
        <v>0</v>
      </c>
      <c r="DE282" s="47"/>
      <c r="DF282" s="46">
        <f t="shared" si="215"/>
        <v>0</v>
      </c>
      <c r="DG282" s="47"/>
      <c r="DH282" s="46"/>
      <c r="DI282" s="47"/>
      <c r="DJ282" s="47"/>
      <c r="DK282" s="47">
        <f t="shared" ref="DK282:DK335" si="225">DI282*DJ282</f>
        <v>0</v>
      </c>
      <c r="DL282" s="60">
        <f t="shared" si="202"/>
        <v>0</v>
      </c>
      <c r="DM282" s="94"/>
      <c r="DN282" s="46"/>
      <c r="DO282" s="47"/>
      <c r="DP282" s="90"/>
      <c r="DQ282" s="47"/>
      <c r="DR282" s="46">
        <f t="shared" si="189"/>
        <v>0</v>
      </c>
      <c r="DS282" s="47"/>
      <c r="DT282" s="46">
        <f t="shared" si="212"/>
        <v>0</v>
      </c>
      <c r="DU282" s="47"/>
      <c r="DV282" s="46">
        <f t="shared" si="217"/>
        <v>0</v>
      </c>
      <c r="DW282" s="47"/>
      <c r="DX282" s="47">
        <f t="shared" si="208"/>
        <v>0</v>
      </c>
      <c r="DY282" s="91"/>
      <c r="DZ282" s="47"/>
      <c r="EA282" s="47"/>
      <c r="EB282" s="47"/>
      <c r="EC282" s="47"/>
      <c r="ED282" s="47"/>
      <c r="EE282" s="47">
        <f t="shared" si="219"/>
        <v>0</v>
      </c>
      <c r="EF282" s="47"/>
      <c r="EG282" s="47"/>
      <c r="EH282" s="47"/>
      <c r="EI282" s="91"/>
      <c r="EJ282" s="47"/>
      <c r="EK282" s="47">
        <f t="shared" si="204"/>
        <v>0</v>
      </c>
      <c r="EL282" s="46">
        <f t="shared" si="205"/>
        <v>0</v>
      </c>
      <c r="EM282" s="46"/>
      <c r="EN282" s="46">
        <f t="shared" si="206"/>
        <v>0</v>
      </c>
    </row>
    <row r="283" spans="1:145" s="48" customFormat="1" ht="15" customHeight="1" x14ac:dyDescent="0.25">
      <c r="A283" s="58"/>
      <c r="B283" s="88">
        <v>29</v>
      </c>
      <c r="C283" s="42"/>
      <c r="D283" s="43"/>
      <c r="E283" s="42"/>
      <c r="F283" s="42"/>
      <c r="G283" s="49"/>
      <c r="H283" s="49"/>
      <c r="I283" s="49"/>
      <c r="J283" s="49"/>
      <c r="K283" s="49"/>
      <c r="L283" s="49"/>
      <c r="M283" s="42"/>
      <c r="N283" s="41"/>
      <c r="O283" s="41"/>
      <c r="P283" s="42"/>
      <c r="Q283" s="45"/>
      <c r="R283" s="45"/>
      <c r="S283" s="42"/>
      <c r="T283" s="46"/>
      <c r="U283" s="46"/>
      <c r="V283" s="46"/>
      <c r="W283" s="46"/>
      <c r="X283" s="46"/>
      <c r="Y283" s="46"/>
      <c r="Z283" s="42"/>
      <c r="AA283" s="42"/>
      <c r="AB283" s="42"/>
      <c r="AC283" s="42"/>
      <c r="AD283" s="42"/>
      <c r="AE283" s="42"/>
      <c r="AF283" s="42"/>
      <c r="AG283" s="42"/>
      <c r="AH283" s="42"/>
      <c r="AI283" s="46"/>
      <c r="AJ283" s="42"/>
      <c r="AK283" s="42"/>
      <c r="AL283" s="42"/>
      <c r="AM283" s="42"/>
      <c r="AN283" s="46">
        <f t="shared" si="200"/>
        <v>0</v>
      </c>
      <c r="AO283" s="46">
        <f t="shared" si="201"/>
        <v>0</v>
      </c>
      <c r="AP283" s="42" t="s">
        <v>102</v>
      </c>
      <c r="AQ283" s="46"/>
      <c r="AR283" s="46"/>
      <c r="AS283" s="42"/>
      <c r="AT283" s="46"/>
      <c r="AU283" s="47">
        <f t="shared" si="223"/>
        <v>0</v>
      </c>
      <c r="AV283" s="47"/>
      <c r="AW283" s="47">
        <f t="shared" si="213"/>
        <v>0</v>
      </c>
      <c r="AX283" s="47"/>
      <c r="AY283" s="46"/>
      <c r="AZ283" s="47"/>
      <c r="BA283" s="47"/>
      <c r="BB283" s="47"/>
      <c r="BC283" s="47">
        <f t="shared" si="222"/>
        <v>0</v>
      </c>
      <c r="BD283" s="47"/>
      <c r="BE283" s="47">
        <f t="shared" si="224"/>
        <v>0</v>
      </c>
      <c r="BF283" s="47"/>
      <c r="BG283" s="47"/>
      <c r="BH283" s="47"/>
      <c r="BI283" s="47"/>
      <c r="BJ283" s="47"/>
      <c r="BK283" s="46">
        <f t="shared" si="221"/>
        <v>0</v>
      </c>
      <c r="BL283" s="47"/>
      <c r="BM283" s="47">
        <f t="shared" si="214"/>
        <v>0</v>
      </c>
      <c r="BN283" s="47"/>
      <c r="BO283" s="47"/>
      <c r="BP283" s="47"/>
      <c r="BQ283" s="47"/>
      <c r="BR283" s="47"/>
      <c r="BS283" s="46">
        <f t="shared" si="195"/>
        <v>0</v>
      </c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6"/>
      <c r="CQ283" s="47"/>
      <c r="CR283" s="47">
        <f t="shared" si="188"/>
        <v>0</v>
      </c>
      <c r="CS283" s="47"/>
      <c r="CT283" s="47"/>
      <c r="CU283" s="47"/>
      <c r="CV283" s="47"/>
      <c r="CW283" s="47">
        <f t="shared" si="218"/>
        <v>0</v>
      </c>
      <c r="CX283" s="46"/>
      <c r="CY283" s="47">
        <f t="shared" si="210"/>
        <v>0</v>
      </c>
      <c r="CZ283" s="47"/>
      <c r="DA283" s="47"/>
      <c r="DB283" s="47"/>
      <c r="DC283" s="47"/>
      <c r="DD283" s="64">
        <f t="shared" si="220"/>
        <v>0</v>
      </c>
      <c r="DE283" s="47"/>
      <c r="DF283" s="46">
        <f t="shared" si="215"/>
        <v>0</v>
      </c>
      <c r="DG283" s="47"/>
      <c r="DH283" s="46">
        <f>AQ283/2</f>
        <v>0</v>
      </c>
      <c r="DI283" s="47"/>
      <c r="DJ283" s="47"/>
      <c r="DK283" s="47">
        <f t="shared" si="225"/>
        <v>0</v>
      </c>
      <c r="DL283" s="60">
        <f t="shared" si="202"/>
        <v>0</v>
      </c>
      <c r="DM283" s="94"/>
      <c r="DN283" s="46">
        <f>7.5%*AQ283</f>
        <v>0</v>
      </c>
      <c r="DO283" s="47"/>
      <c r="DP283" s="90">
        <f>DN283</f>
        <v>0</v>
      </c>
      <c r="DQ283" s="47"/>
      <c r="DR283" s="46">
        <f t="shared" si="189"/>
        <v>0</v>
      </c>
      <c r="DS283" s="47"/>
      <c r="DT283" s="46">
        <f t="shared" si="212"/>
        <v>0</v>
      </c>
      <c r="DU283" s="47"/>
      <c r="DV283" s="46">
        <f t="shared" si="217"/>
        <v>0</v>
      </c>
      <c r="DW283" s="47"/>
      <c r="DX283" s="47">
        <f t="shared" si="208"/>
        <v>0</v>
      </c>
      <c r="DY283" s="91"/>
      <c r="DZ283" s="47"/>
      <c r="EA283" s="47"/>
      <c r="EB283" s="47"/>
      <c r="EC283" s="47"/>
      <c r="ED283" s="47"/>
      <c r="EE283" s="47">
        <f t="shared" si="219"/>
        <v>0</v>
      </c>
      <c r="EF283" s="47"/>
      <c r="EG283" s="47"/>
      <c r="EH283" s="47"/>
      <c r="EI283" s="91"/>
      <c r="EJ283" s="47"/>
      <c r="EK283" s="47">
        <f t="shared" si="204"/>
        <v>0</v>
      </c>
      <c r="EL283" s="46">
        <f t="shared" si="205"/>
        <v>0</v>
      </c>
      <c r="EM283" s="46"/>
      <c r="EN283" s="46">
        <f t="shared" si="206"/>
        <v>0</v>
      </c>
    </row>
    <row r="284" spans="1:145" s="48" customFormat="1" ht="15" customHeight="1" x14ac:dyDescent="0.25">
      <c r="A284" s="58"/>
      <c r="B284" s="88">
        <v>30</v>
      </c>
      <c r="C284" s="42"/>
      <c r="D284" s="43"/>
      <c r="E284" s="42"/>
      <c r="F284" s="42"/>
      <c r="G284" s="49"/>
      <c r="H284" s="49"/>
      <c r="I284" s="49"/>
      <c r="J284" s="49"/>
      <c r="K284" s="49"/>
      <c r="L284" s="49"/>
      <c r="M284" s="42"/>
      <c r="N284" s="41"/>
      <c r="O284" s="41"/>
      <c r="P284" s="42"/>
      <c r="Q284" s="45"/>
      <c r="R284" s="45"/>
      <c r="S284" s="42"/>
      <c r="T284" s="46"/>
      <c r="U284" s="46"/>
      <c r="V284" s="46"/>
      <c r="W284" s="46"/>
      <c r="X284" s="46"/>
      <c r="Y284" s="46"/>
      <c r="Z284" s="42"/>
      <c r="AA284" s="42"/>
      <c r="AB284" s="42"/>
      <c r="AC284" s="42"/>
      <c r="AD284" s="42"/>
      <c r="AE284" s="42"/>
      <c r="AF284" s="42"/>
      <c r="AG284" s="42"/>
      <c r="AH284" s="42"/>
      <c r="AI284" s="46"/>
      <c r="AJ284" s="42"/>
      <c r="AK284" s="42"/>
      <c r="AL284" s="42"/>
      <c r="AM284" s="42"/>
      <c r="AN284" s="46">
        <f t="shared" si="200"/>
        <v>0</v>
      </c>
      <c r="AO284" s="46">
        <f t="shared" si="201"/>
        <v>0</v>
      </c>
      <c r="AP284" s="42" t="s">
        <v>111</v>
      </c>
      <c r="AQ284" s="46">
        <f t="shared" ref="AQ284:AQ290" si="226">20%*AO284</f>
        <v>0</v>
      </c>
      <c r="AR284" s="46"/>
      <c r="AS284" s="42"/>
      <c r="AT284" s="46"/>
      <c r="AU284" s="47">
        <f t="shared" si="223"/>
        <v>0</v>
      </c>
      <c r="AV284" s="47"/>
      <c r="AW284" s="47">
        <f t="shared" si="213"/>
        <v>0</v>
      </c>
      <c r="AX284" s="47" t="s">
        <v>113</v>
      </c>
      <c r="AY284" s="46">
        <f>25%*AQ284</f>
        <v>0</v>
      </c>
      <c r="AZ284" s="47"/>
      <c r="BA284" s="47"/>
      <c r="BB284" s="47"/>
      <c r="BC284" s="47">
        <f t="shared" si="222"/>
        <v>0</v>
      </c>
      <c r="BD284" s="47"/>
      <c r="BE284" s="47">
        <f t="shared" si="224"/>
        <v>0</v>
      </c>
      <c r="BF284" s="47"/>
      <c r="BG284" s="47"/>
      <c r="BH284" s="47"/>
      <c r="BI284" s="47"/>
      <c r="BJ284" s="47"/>
      <c r="BK284" s="46">
        <f t="shared" si="221"/>
        <v>0</v>
      </c>
      <c r="BL284" s="47"/>
      <c r="BM284" s="47">
        <f t="shared" si="214"/>
        <v>0</v>
      </c>
      <c r="BN284" s="47"/>
      <c r="BO284" s="47"/>
      <c r="BP284" s="47"/>
      <c r="BQ284" s="47"/>
      <c r="BR284" s="47"/>
      <c r="BS284" s="46">
        <f t="shared" si="195"/>
        <v>0</v>
      </c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6"/>
      <c r="CQ284" s="47"/>
      <c r="CR284" s="47">
        <f t="shared" si="188"/>
        <v>0</v>
      </c>
      <c r="CS284" s="47"/>
      <c r="CT284" s="47"/>
      <c r="CU284" s="47"/>
      <c r="CV284" s="47"/>
      <c r="CW284" s="47">
        <f t="shared" si="218"/>
        <v>0</v>
      </c>
      <c r="CX284" s="46"/>
      <c r="CY284" s="47">
        <f t="shared" si="210"/>
        <v>0</v>
      </c>
      <c r="CZ284" s="47"/>
      <c r="DA284" s="47"/>
      <c r="DB284" s="47"/>
      <c r="DC284" s="47"/>
      <c r="DD284" s="64">
        <f t="shared" si="220"/>
        <v>0</v>
      </c>
      <c r="DE284" s="47"/>
      <c r="DF284" s="46">
        <f t="shared" si="215"/>
        <v>0</v>
      </c>
      <c r="DG284" s="47"/>
      <c r="DH284" s="46">
        <f>AQ284/2</f>
        <v>0</v>
      </c>
      <c r="DI284" s="47"/>
      <c r="DJ284" s="47"/>
      <c r="DK284" s="47">
        <f t="shared" si="225"/>
        <v>0</v>
      </c>
      <c r="DL284" s="60">
        <f t="shared" si="202"/>
        <v>0</v>
      </c>
      <c r="DM284" s="94"/>
      <c r="DN284" s="46">
        <f>7.5%*AQ284</f>
        <v>0</v>
      </c>
      <c r="DO284" s="47"/>
      <c r="DP284" s="46">
        <f>10%*AQ284</f>
        <v>0</v>
      </c>
      <c r="DQ284" s="47"/>
      <c r="DR284" s="46">
        <f t="shared" si="189"/>
        <v>0</v>
      </c>
      <c r="DS284" s="47"/>
      <c r="DT284" s="46">
        <f t="shared" si="212"/>
        <v>0</v>
      </c>
      <c r="DU284" s="47"/>
      <c r="DV284" s="46">
        <f t="shared" si="217"/>
        <v>0</v>
      </c>
      <c r="DW284" s="47"/>
      <c r="DX284" s="47">
        <f t="shared" si="208"/>
        <v>0</v>
      </c>
      <c r="DY284" s="91"/>
      <c r="DZ284" s="47"/>
      <c r="EA284" s="47"/>
      <c r="EB284" s="47"/>
      <c r="EC284" s="47"/>
      <c r="ED284" s="47"/>
      <c r="EE284" s="47">
        <f t="shared" si="219"/>
        <v>0</v>
      </c>
      <c r="EF284" s="47"/>
      <c r="EG284" s="47"/>
      <c r="EH284" s="47"/>
      <c r="EI284" s="91"/>
      <c r="EJ284" s="47"/>
      <c r="EK284" s="47">
        <f t="shared" si="204"/>
        <v>0</v>
      </c>
      <c r="EL284" s="46">
        <f t="shared" si="205"/>
        <v>0</v>
      </c>
      <c r="EM284" s="46"/>
      <c r="EN284" s="46">
        <f t="shared" si="206"/>
        <v>0</v>
      </c>
    </row>
    <row r="285" spans="1:145" s="48" customFormat="1" ht="15" customHeight="1" x14ac:dyDescent="0.25">
      <c r="A285" s="58"/>
      <c r="B285" s="88">
        <v>31</v>
      </c>
      <c r="C285" s="42"/>
      <c r="D285" s="43"/>
      <c r="E285" s="42"/>
      <c r="F285" s="42"/>
      <c r="G285" s="49"/>
      <c r="H285" s="49"/>
      <c r="I285" s="49"/>
      <c r="J285" s="49"/>
      <c r="K285" s="49"/>
      <c r="L285" s="49"/>
      <c r="M285" s="42"/>
      <c r="N285" s="41"/>
      <c r="O285" s="41"/>
      <c r="P285" s="42"/>
      <c r="Q285" s="45"/>
      <c r="R285" s="45"/>
      <c r="S285" s="42"/>
      <c r="T285" s="46"/>
      <c r="U285" s="46"/>
      <c r="V285" s="46"/>
      <c r="W285" s="46"/>
      <c r="X285" s="46"/>
      <c r="Y285" s="46"/>
      <c r="Z285" s="42"/>
      <c r="AA285" s="42"/>
      <c r="AB285" s="42"/>
      <c r="AC285" s="42"/>
      <c r="AD285" s="42"/>
      <c r="AE285" s="42"/>
      <c r="AF285" s="42"/>
      <c r="AG285" s="42"/>
      <c r="AH285" s="42"/>
      <c r="AI285" s="46"/>
      <c r="AJ285" s="42"/>
      <c r="AK285" s="42"/>
      <c r="AL285" s="42"/>
      <c r="AM285" s="42"/>
      <c r="AN285" s="46">
        <f t="shared" si="200"/>
        <v>0</v>
      </c>
      <c r="AO285" s="46">
        <f t="shared" si="201"/>
        <v>0</v>
      </c>
      <c r="AP285" s="42" t="s">
        <v>127</v>
      </c>
      <c r="AQ285" s="46">
        <f t="shared" si="226"/>
        <v>0</v>
      </c>
      <c r="AR285" s="46"/>
      <c r="AS285" s="42"/>
      <c r="AT285" s="46"/>
      <c r="AU285" s="47">
        <f t="shared" si="223"/>
        <v>0</v>
      </c>
      <c r="AV285" s="47"/>
      <c r="AW285" s="47">
        <f t="shared" si="213"/>
        <v>0</v>
      </c>
      <c r="AX285" s="47"/>
      <c r="AY285" s="46"/>
      <c r="AZ285" s="47"/>
      <c r="BA285" s="47"/>
      <c r="BB285" s="47"/>
      <c r="BC285" s="47">
        <f t="shared" si="222"/>
        <v>0</v>
      </c>
      <c r="BD285" s="47"/>
      <c r="BE285" s="47">
        <f t="shared" si="224"/>
        <v>0</v>
      </c>
      <c r="BF285" s="47"/>
      <c r="BG285" s="47"/>
      <c r="BH285" s="47"/>
      <c r="BI285" s="47"/>
      <c r="BJ285" s="47"/>
      <c r="BK285" s="46">
        <f t="shared" si="221"/>
        <v>0</v>
      </c>
      <c r="BL285" s="47"/>
      <c r="BM285" s="47">
        <f t="shared" si="214"/>
        <v>0</v>
      </c>
      <c r="BN285" s="47"/>
      <c r="BO285" s="47"/>
      <c r="BP285" s="47"/>
      <c r="BQ285" s="47"/>
      <c r="BR285" s="47"/>
      <c r="BS285" s="46">
        <f t="shared" si="195"/>
        <v>0</v>
      </c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6"/>
      <c r="CQ285" s="47"/>
      <c r="CR285" s="47">
        <f t="shared" si="188"/>
        <v>0</v>
      </c>
      <c r="CS285" s="47"/>
      <c r="CT285" s="47"/>
      <c r="CU285" s="47"/>
      <c r="CV285" s="47"/>
      <c r="CW285" s="47">
        <f t="shared" si="218"/>
        <v>0</v>
      </c>
      <c r="CX285" s="46"/>
      <c r="CY285" s="47">
        <f t="shared" si="210"/>
        <v>0</v>
      </c>
      <c r="CZ285" s="47"/>
      <c r="DA285" s="47"/>
      <c r="DB285" s="47"/>
      <c r="DC285" s="47"/>
      <c r="DD285" s="64">
        <f t="shared" si="220"/>
        <v>0</v>
      </c>
      <c r="DE285" s="47"/>
      <c r="DF285" s="46">
        <f t="shared" si="215"/>
        <v>0</v>
      </c>
      <c r="DG285" s="47"/>
      <c r="DH285" s="46"/>
      <c r="DI285" s="47"/>
      <c r="DJ285" s="47"/>
      <c r="DK285" s="47">
        <f t="shared" si="225"/>
        <v>0</v>
      </c>
      <c r="DL285" s="60">
        <f t="shared" si="202"/>
        <v>0</v>
      </c>
      <c r="DM285" s="94"/>
      <c r="DN285" s="46"/>
      <c r="DO285" s="47"/>
      <c r="DP285" s="46"/>
      <c r="DQ285" s="47"/>
      <c r="DR285" s="46">
        <f t="shared" si="189"/>
        <v>0</v>
      </c>
      <c r="DS285" s="47"/>
      <c r="DT285" s="46">
        <f t="shared" si="212"/>
        <v>0</v>
      </c>
      <c r="DU285" s="47"/>
      <c r="DV285" s="46">
        <f t="shared" si="217"/>
        <v>0</v>
      </c>
      <c r="DW285" s="47"/>
      <c r="DX285" s="47">
        <f t="shared" si="208"/>
        <v>0</v>
      </c>
      <c r="DY285" s="91"/>
      <c r="DZ285" s="47"/>
      <c r="EA285" s="47"/>
      <c r="EB285" s="47"/>
      <c r="EC285" s="47"/>
      <c r="ED285" s="47"/>
      <c r="EE285" s="47">
        <f t="shared" si="219"/>
        <v>0</v>
      </c>
      <c r="EF285" s="47"/>
      <c r="EG285" s="47"/>
      <c r="EH285" s="47"/>
      <c r="EI285" s="91"/>
      <c r="EJ285" s="47"/>
      <c r="EK285" s="47">
        <f t="shared" si="204"/>
        <v>0</v>
      </c>
      <c r="EL285" s="46">
        <f t="shared" si="205"/>
        <v>0</v>
      </c>
      <c r="EM285" s="46"/>
      <c r="EN285" s="46">
        <f t="shared" si="206"/>
        <v>0</v>
      </c>
    </row>
    <row r="286" spans="1:145" s="48" customFormat="1" ht="15" customHeight="1" x14ac:dyDescent="0.25">
      <c r="A286" s="58"/>
      <c r="B286" s="88">
        <v>32</v>
      </c>
      <c r="C286" s="42"/>
      <c r="D286" s="43"/>
      <c r="E286" s="42"/>
      <c r="F286" s="42"/>
      <c r="G286" s="49"/>
      <c r="H286" s="49"/>
      <c r="I286" s="49"/>
      <c r="J286" s="49"/>
      <c r="K286" s="49"/>
      <c r="L286" s="49"/>
      <c r="M286" s="42"/>
      <c r="N286" s="41"/>
      <c r="O286" s="41"/>
      <c r="P286" s="42"/>
      <c r="Q286" s="45"/>
      <c r="R286" s="45"/>
      <c r="S286" s="42"/>
      <c r="T286" s="46"/>
      <c r="U286" s="46"/>
      <c r="V286" s="46"/>
      <c r="W286" s="46"/>
      <c r="X286" s="46"/>
      <c r="Y286" s="46"/>
      <c r="Z286" s="42"/>
      <c r="AA286" s="42"/>
      <c r="AB286" s="42"/>
      <c r="AC286" s="42"/>
      <c r="AD286" s="42"/>
      <c r="AE286" s="42"/>
      <c r="AF286" s="42"/>
      <c r="AG286" s="42"/>
      <c r="AH286" s="42"/>
      <c r="AI286" s="46"/>
      <c r="AJ286" s="42"/>
      <c r="AK286" s="42"/>
      <c r="AL286" s="42"/>
      <c r="AM286" s="42"/>
      <c r="AN286" s="90">
        <f t="shared" si="200"/>
        <v>0</v>
      </c>
      <c r="AO286" s="90">
        <f t="shared" si="201"/>
        <v>0</v>
      </c>
      <c r="AP286" s="42" t="s">
        <v>111</v>
      </c>
      <c r="AQ286" s="46">
        <f t="shared" si="226"/>
        <v>0</v>
      </c>
      <c r="AR286" s="46"/>
      <c r="AS286" s="42"/>
      <c r="AT286" s="46"/>
      <c r="AU286" s="64">
        <f t="shared" si="223"/>
        <v>0</v>
      </c>
      <c r="AV286" s="47"/>
      <c r="AW286" s="64">
        <f t="shared" si="213"/>
        <v>0</v>
      </c>
      <c r="AX286" s="47" t="s">
        <v>113</v>
      </c>
      <c r="AY286" s="46">
        <f>25%*AQ286</f>
        <v>0</v>
      </c>
      <c r="AZ286" s="47"/>
      <c r="BA286" s="47"/>
      <c r="BB286" s="47"/>
      <c r="BC286" s="47">
        <f t="shared" si="222"/>
        <v>0</v>
      </c>
      <c r="BD286" s="47"/>
      <c r="BE286" s="47">
        <f t="shared" si="224"/>
        <v>0</v>
      </c>
      <c r="BF286" s="47"/>
      <c r="BG286" s="47"/>
      <c r="BH286" s="47"/>
      <c r="BI286" s="47"/>
      <c r="BJ286" s="47"/>
      <c r="BK286" s="46">
        <f t="shared" si="221"/>
        <v>0</v>
      </c>
      <c r="BL286" s="47"/>
      <c r="BM286" s="64">
        <f t="shared" si="214"/>
        <v>0</v>
      </c>
      <c r="BN286" s="47"/>
      <c r="BO286" s="47"/>
      <c r="BP286" s="47"/>
      <c r="BQ286" s="47"/>
      <c r="BR286" s="47"/>
      <c r="BS286" s="46">
        <f t="shared" si="195"/>
        <v>0</v>
      </c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6"/>
      <c r="CQ286" s="47"/>
      <c r="CR286" s="64">
        <f t="shared" si="188"/>
        <v>0</v>
      </c>
      <c r="CS286" s="47"/>
      <c r="CT286" s="47"/>
      <c r="CU286" s="47"/>
      <c r="CV286" s="47"/>
      <c r="CW286" s="47">
        <f t="shared" si="218"/>
        <v>0</v>
      </c>
      <c r="CX286" s="46"/>
      <c r="CY286" s="47">
        <f t="shared" si="210"/>
        <v>0</v>
      </c>
      <c r="CZ286" s="47"/>
      <c r="DA286" s="47"/>
      <c r="DB286" s="47"/>
      <c r="DC286" s="47"/>
      <c r="DD286" s="64">
        <f t="shared" si="220"/>
        <v>0</v>
      </c>
      <c r="DE286" s="47"/>
      <c r="DF286" s="46">
        <f t="shared" si="215"/>
        <v>0</v>
      </c>
      <c r="DG286" s="47"/>
      <c r="DH286" s="46">
        <f>AQ286/2</f>
        <v>0</v>
      </c>
      <c r="DI286" s="47"/>
      <c r="DJ286" s="47"/>
      <c r="DK286" s="64">
        <f t="shared" si="225"/>
        <v>0</v>
      </c>
      <c r="DL286" s="60">
        <f t="shared" si="202"/>
        <v>0</v>
      </c>
      <c r="DM286" s="94"/>
      <c r="DN286" s="46">
        <f>7.5%*AQ286</f>
        <v>0</v>
      </c>
      <c r="DO286" s="47"/>
      <c r="DP286" s="46">
        <f>10%*AQ286</f>
        <v>0</v>
      </c>
      <c r="DQ286" s="47"/>
      <c r="DR286" s="90">
        <f t="shared" si="189"/>
        <v>0</v>
      </c>
      <c r="DS286" s="47"/>
      <c r="DT286" s="46">
        <f t="shared" si="212"/>
        <v>0</v>
      </c>
      <c r="DU286" s="47"/>
      <c r="DV286" s="46">
        <f t="shared" si="217"/>
        <v>0</v>
      </c>
      <c r="DW286" s="47"/>
      <c r="DX286" s="64">
        <f t="shared" si="208"/>
        <v>0</v>
      </c>
      <c r="DY286" s="91"/>
      <c r="DZ286" s="47"/>
      <c r="EA286" s="47"/>
      <c r="EB286" s="47"/>
      <c r="EC286" s="47"/>
      <c r="ED286" s="47"/>
      <c r="EE286" s="47">
        <f t="shared" si="219"/>
        <v>0</v>
      </c>
      <c r="EF286" s="47"/>
      <c r="EG286" s="47"/>
      <c r="EH286" s="47"/>
      <c r="EI286" s="91"/>
      <c r="EJ286" s="47"/>
      <c r="EK286" s="47">
        <f t="shared" si="204"/>
        <v>0</v>
      </c>
      <c r="EL286" s="46">
        <f t="shared" si="205"/>
        <v>0</v>
      </c>
      <c r="EM286" s="46"/>
      <c r="EN286" s="46">
        <f t="shared" si="206"/>
        <v>0</v>
      </c>
    </row>
    <row r="287" spans="1:145" s="48" customFormat="1" ht="15" customHeight="1" x14ac:dyDescent="0.25">
      <c r="A287" s="58"/>
      <c r="B287" s="88">
        <v>33</v>
      </c>
      <c r="C287" s="42"/>
      <c r="D287" s="43"/>
      <c r="E287" s="42"/>
      <c r="F287" s="42"/>
      <c r="G287" s="49"/>
      <c r="H287" s="49"/>
      <c r="I287" s="49"/>
      <c r="J287" s="49"/>
      <c r="K287" s="49"/>
      <c r="L287" s="49"/>
      <c r="M287" s="42"/>
      <c r="N287" s="41"/>
      <c r="O287" s="41"/>
      <c r="P287" s="42"/>
      <c r="Q287" s="45"/>
      <c r="R287" s="45"/>
      <c r="S287" s="42"/>
      <c r="T287" s="46"/>
      <c r="U287" s="46"/>
      <c r="V287" s="46"/>
      <c r="W287" s="46"/>
      <c r="X287" s="46"/>
      <c r="Y287" s="46"/>
      <c r="Z287" s="42"/>
      <c r="AA287" s="42"/>
      <c r="AB287" s="42"/>
      <c r="AC287" s="42"/>
      <c r="AD287" s="42"/>
      <c r="AE287" s="42"/>
      <c r="AF287" s="42"/>
      <c r="AG287" s="42"/>
      <c r="AH287" s="42"/>
      <c r="AI287" s="46"/>
      <c r="AJ287" s="42"/>
      <c r="AK287" s="42"/>
      <c r="AL287" s="42"/>
      <c r="AM287" s="42"/>
      <c r="AN287" s="90">
        <f t="shared" si="200"/>
        <v>0</v>
      </c>
      <c r="AO287" s="90">
        <f t="shared" si="201"/>
        <v>0</v>
      </c>
      <c r="AP287" s="42" t="s">
        <v>111</v>
      </c>
      <c r="AQ287" s="46">
        <f t="shared" si="226"/>
        <v>0</v>
      </c>
      <c r="AR287" s="46"/>
      <c r="AS287" s="42"/>
      <c r="AT287" s="46"/>
      <c r="AU287" s="64">
        <f t="shared" si="223"/>
        <v>0</v>
      </c>
      <c r="AV287" s="47"/>
      <c r="AW287" s="64">
        <f t="shared" si="213"/>
        <v>0</v>
      </c>
      <c r="AX287" s="47"/>
      <c r="AY287" s="46"/>
      <c r="AZ287" s="47"/>
      <c r="BA287" s="47"/>
      <c r="BB287" s="47"/>
      <c r="BC287" s="47">
        <f t="shared" si="222"/>
        <v>0</v>
      </c>
      <c r="BD287" s="47"/>
      <c r="BE287" s="47">
        <f t="shared" si="224"/>
        <v>0</v>
      </c>
      <c r="BF287" s="47"/>
      <c r="BG287" s="47"/>
      <c r="BH287" s="47"/>
      <c r="BI287" s="47"/>
      <c r="BJ287" s="47"/>
      <c r="BK287" s="46">
        <f t="shared" si="221"/>
        <v>0</v>
      </c>
      <c r="BL287" s="47"/>
      <c r="BM287" s="64">
        <f t="shared" si="214"/>
        <v>0</v>
      </c>
      <c r="BN287" s="47"/>
      <c r="BO287" s="47"/>
      <c r="BP287" s="47"/>
      <c r="BQ287" s="47"/>
      <c r="BR287" s="47"/>
      <c r="BS287" s="46">
        <f t="shared" si="195"/>
        <v>0</v>
      </c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6"/>
      <c r="CQ287" s="47"/>
      <c r="CR287" s="64">
        <f t="shared" si="188"/>
        <v>0</v>
      </c>
      <c r="CS287" s="47"/>
      <c r="CT287" s="47"/>
      <c r="CU287" s="47"/>
      <c r="CV287" s="47"/>
      <c r="CW287" s="47">
        <f t="shared" si="218"/>
        <v>0</v>
      </c>
      <c r="CX287" s="46"/>
      <c r="CY287" s="47">
        <f t="shared" si="210"/>
        <v>0</v>
      </c>
      <c r="CZ287" s="47"/>
      <c r="DA287" s="47"/>
      <c r="DB287" s="47"/>
      <c r="DC287" s="47"/>
      <c r="DD287" s="64">
        <f t="shared" si="220"/>
        <v>0</v>
      </c>
      <c r="DE287" s="47"/>
      <c r="DF287" s="46">
        <f t="shared" si="215"/>
        <v>0</v>
      </c>
      <c r="DG287" s="47"/>
      <c r="DH287" s="46">
        <f>AQ287/2</f>
        <v>0</v>
      </c>
      <c r="DI287" s="47"/>
      <c r="DJ287" s="47"/>
      <c r="DK287" s="64">
        <f t="shared" si="225"/>
        <v>0</v>
      </c>
      <c r="DL287" s="60">
        <f t="shared" si="202"/>
        <v>0</v>
      </c>
      <c r="DM287" s="94"/>
      <c r="DN287" s="46">
        <f>7.5%*AQ287</f>
        <v>0</v>
      </c>
      <c r="DO287" s="47"/>
      <c r="DP287" s="46">
        <f>10%*AQ287</f>
        <v>0</v>
      </c>
      <c r="DQ287" s="47"/>
      <c r="DR287" s="90">
        <f t="shared" si="189"/>
        <v>0</v>
      </c>
      <c r="DS287" s="47"/>
      <c r="DT287" s="46">
        <f t="shared" si="212"/>
        <v>0</v>
      </c>
      <c r="DU287" s="47"/>
      <c r="DV287" s="46">
        <f t="shared" si="217"/>
        <v>0</v>
      </c>
      <c r="DW287" s="47"/>
      <c r="DX287" s="64">
        <f t="shared" si="208"/>
        <v>0</v>
      </c>
      <c r="DY287" s="91"/>
      <c r="DZ287" s="47"/>
      <c r="EA287" s="47"/>
      <c r="EB287" s="47"/>
      <c r="EC287" s="47"/>
      <c r="ED287" s="47"/>
      <c r="EE287" s="47">
        <f t="shared" si="219"/>
        <v>0</v>
      </c>
      <c r="EF287" s="47"/>
      <c r="EG287" s="47"/>
      <c r="EH287" s="47"/>
      <c r="EI287" s="91"/>
      <c r="EJ287" s="47"/>
      <c r="EK287" s="47">
        <f t="shared" si="204"/>
        <v>0</v>
      </c>
      <c r="EL287" s="46">
        <f t="shared" si="205"/>
        <v>0</v>
      </c>
      <c r="EM287" s="46"/>
      <c r="EN287" s="46">
        <f t="shared" si="206"/>
        <v>0</v>
      </c>
    </row>
    <row r="288" spans="1:145" s="48" customFormat="1" ht="15" customHeight="1" x14ac:dyDescent="0.25">
      <c r="B288" s="88">
        <v>34</v>
      </c>
      <c r="C288" s="42"/>
      <c r="D288" s="43"/>
      <c r="E288" s="42"/>
      <c r="F288" s="42"/>
      <c r="G288" s="42"/>
      <c r="H288" s="42"/>
      <c r="I288" s="42"/>
      <c r="J288" s="42"/>
      <c r="K288" s="42"/>
      <c r="L288" s="42"/>
      <c r="M288" s="42"/>
      <c r="N288" s="41"/>
      <c r="O288" s="41"/>
      <c r="P288" s="44"/>
      <c r="Q288" s="45"/>
      <c r="R288" s="45"/>
      <c r="S288" s="42"/>
      <c r="T288" s="46"/>
      <c r="U288" s="46"/>
      <c r="V288" s="42"/>
      <c r="W288" s="42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>
        <f t="shared" si="200"/>
        <v>0</v>
      </c>
      <c r="AO288" s="47">
        <f t="shared" si="201"/>
        <v>0</v>
      </c>
      <c r="AP288" s="46" t="s">
        <v>118</v>
      </c>
      <c r="AQ288" s="46">
        <f t="shared" si="226"/>
        <v>0</v>
      </c>
      <c r="AR288" s="46"/>
      <c r="AS288" s="46"/>
      <c r="AT288" s="46"/>
      <c r="AU288" s="47">
        <f t="shared" si="223"/>
        <v>0</v>
      </c>
      <c r="AV288" s="46"/>
      <c r="AW288" s="47">
        <f t="shared" si="213"/>
        <v>0</v>
      </c>
      <c r="AX288" s="46"/>
      <c r="AY288" s="46"/>
      <c r="AZ288" s="46"/>
      <c r="BA288" s="46"/>
      <c r="BB288" s="46"/>
      <c r="BC288" s="47">
        <f t="shared" si="222"/>
        <v>0</v>
      </c>
      <c r="BD288" s="46"/>
      <c r="BE288" s="47">
        <f t="shared" si="224"/>
        <v>0</v>
      </c>
      <c r="BF288" s="46"/>
      <c r="BG288" s="46"/>
      <c r="BH288" s="46"/>
      <c r="BI288" s="46"/>
      <c r="BJ288" s="46"/>
      <c r="BK288" s="46">
        <f t="shared" si="221"/>
        <v>0</v>
      </c>
      <c r="BL288" s="46"/>
      <c r="BM288" s="47">
        <f t="shared" si="214"/>
        <v>0</v>
      </c>
      <c r="BN288" s="46"/>
      <c r="BO288" s="46"/>
      <c r="BP288" s="46"/>
      <c r="BQ288" s="46"/>
      <c r="BR288" s="46"/>
      <c r="BS288" s="46">
        <f t="shared" si="195"/>
        <v>0</v>
      </c>
      <c r="BT288" s="46"/>
      <c r="BU288" s="47">
        <f>+BO288+BP288+BS288+BT288</f>
        <v>0</v>
      </c>
      <c r="BV288" s="46"/>
      <c r="BW288" s="46"/>
      <c r="BX288" s="46"/>
      <c r="BY288" s="46"/>
      <c r="BZ288" s="46"/>
      <c r="CA288" s="46"/>
      <c r="CB288" s="46"/>
      <c r="CC288" s="47">
        <f>+BW288+BX288+CA288+CB288</f>
        <v>0</v>
      </c>
      <c r="CD288" s="46"/>
      <c r="CE288" s="46"/>
      <c r="CF288" s="46"/>
      <c r="CG288" s="46"/>
      <c r="CH288" s="46"/>
      <c r="CI288" s="46"/>
      <c r="CJ288" s="46"/>
      <c r="CK288" s="47">
        <f>+CE288+CF288+CI288+CJ288</f>
        <v>0</v>
      </c>
      <c r="CL288" s="46"/>
      <c r="CM288" s="46"/>
      <c r="CN288" s="46"/>
      <c r="CO288" s="46"/>
      <c r="CP288" s="46">
        <f>CN288*CO288</f>
        <v>0</v>
      </c>
      <c r="CQ288" s="46"/>
      <c r="CR288" s="47">
        <f t="shared" si="188"/>
        <v>0</v>
      </c>
      <c r="CS288" s="46"/>
      <c r="CT288" s="46"/>
      <c r="CU288" s="46"/>
      <c r="CV288" s="46"/>
      <c r="CW288" s="47">
        <f t="shared" si="218"/>
        <v>0</v>
      </c>
      <c r="CX288" s="46"/>
      <c r="CY288" s="47">
        <f t="shared" si="210"/>
        <v>0</v>
      </c>
      <c r="CZ288" s="46"/>
      <c r="DA288" s="46"/>
      <c r="DB288" s="46"/>
      <c r="DC288" s="46"/>
      <c r="DD288" s="47">
        <f t="shared" si="220"/>
        <v>0</v>
      </c>
      <c r="DE288" s="46"/>
      <c r="DF288" s="46">
        <f t="shared" si="215"/>
        <v>0</v>
      </c>
      <c r="DG288" s="46"/>
      <c r="DH288" s="46"/>
      <c r="DI288" s="46"/>
      <c r="DJ288" s="46"/>
      <c r="DK288" s="47">
        <f t="shared" si="225"/>
        <v>0</v>
      </c>
      <c r="DL288" s="60">
        <f t="shared" si="202"/>
        <v>0</v>
      </c>
      <c r="DM288" s="46"/>
      <c r="DN288" s="46"/>
      <c r="DO288" s="46"/>
      <c r="DP288" s="46"/>
      <c r="DQ288" s="46"/>
      <c r="DR288" s="46">
        <f t="shared" si="189"/>
        <v>0</v>
      </c>
      <c r="DS288" s="46"/>
      <c r="DT288" s="46">
        <f t="shared" si="212"/>
        <v>0</v>
      </c>
      <c r="DU288" s="46"/>
      <c r="DV288" s="46">
        <f t="shared" si="217"/>
        <v>0</v>
      </c>
      <c r="DW288" s="46"/>
      <c r="DX288" s="47" t="s">
        <v>117</v>
      </c>
      <c r="DY288" s="46"/>
      <c r="DZ288" s="46"/>
      <c r="EA288" s="46"/>
      <c r="EB288" s="46"/>
      <c r="EC288" s="46"/>
      <c r="ED288" s="46"/>
      <c r="EE288" s="47" t="e">
        <f t="shared" si="219"/>
        <v>#VALUE!</v>
      </c>
      <c r="EF288" s="46"/>
      <c r="EG288" s="46"/>
      <c r="EH288" s="46"/>
      <c r="EI288" s="46"/>
      <c r="EJ288" s="46"/>
      <c r="EK288" s="47">
        <f t="shared" si="204"/>
        <v>0</v>
      </c>
      <c r="EL288" s="46" t="e">
        <f t="shared" si="205"/>
        <v>#VALUE!</v>
      </c>
      <c r="EM288" s="46"/>
      <c r="EN288" s="46" t="e">
        <f t="shared" si="206"/>
        <v>#VALUE!</v>
      </c>
      <c r="EO288" s="48" t="s">
        <v>128</v>
      </c>
    </row>
    <row r="289" spans="1:144" s="48" customFormat="1" x14ac:dyDescent="0.25">
      <c r="B289" s="88">
        <v>35</v>
      </c>
      <c r="C289" s="42"/>
      <c r="D289" s="43"/>
      <c r="E289" s="42"/>
      <c r="F289" s="42"/>
      <c r="G289" s="42"/>
      <c r="H289" s="42"/>
      <c r="I289" s="42"/>
      <c r="J289" s="42"/>
      <c r="K289" s="42"/>
      <c r="L289" s="42"/>
      <c r="M289" s="42"/>
      <c r="N289" s="41"/>
      <c r="O289" s="41"/>
      <c r="P289" s="42"/>
      <c r="Q289" s="45"/>
      <c r="R289" s="45"/>
      <c r="S289" s="42"/>
      <c r="T289" s="46"/>
      <c r="U289" s="46"/>
      <c r="V289" s="42"/>
      <c r="W289" s="42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>
        <f t="shared" si="200"/>
        <v>0</v>
      </c>
      <c r="AO289" s="47">
        <f t="shared" si="201"/>
        <v>0</v>
      </c>
      <c r="AP289" s="46" t="s">
        <v>119</v>
      </c>
      <c r="AQ289" s="46">
        <f t="shared" si="226"/>
        <v>0</v>
      </c>
      <c r="AR289" s="46"/>
      <c r="AS289" s="46"/>
      <c r="AT289" s="46"/>
      <c r="AU289" s="47">
        <f t="shared" si="223"/>
        <v>0</v>
      </c>
      <c r="AV289" s="46"/>
      <c r="AW289" s="47">
        <f t="shared" si="213"/>
        <v>0</v>
      </c>
      <c r="AX289" s="46"/>
      <c r="AY289" s="46"/>
      <c r="AZ289" s="46"/>
      <c r="BA289" s="46"/>
      <c r="BB289" s="46"/>
      <c r="BC289" s="47">
        <f t="shared" si="222"/>
        <v>0</v>
      </c>
      <c r="BD289" s="46"/>
      <c r="BE289" s="47">
        <f t="shared" si="224"/>
        <v>0</v>
      </c>
      <c r="BF289" s="46"/>
      <c r="BG289" s="46"/>
      <c r="BH289" s="46"/>
      <c r="BI289" s="46"/>
      <c r="BJ289" s="46"/>
      <c r="BK289" s="46">
        <f t="shared" si="221"/>
        <v>0</v>
      </c>
      <c r="BL289" s="46"/>
      <c r="BM289" s="47">
        <f t="shared" si="214"/>
        <v>0</v>
      </c>
      <c r="BN289" s="46"/>
      <c r="BO289" s="46"/>
      <c r="BP289" s="46"/>
      <c r="BQ289" s="46"/>
      <c r="BR289" s="46"/>
      <c r="BS289" s="46">
        <v>0</v>
      </c>
      <c r="BT289" s="46"/>
      <c r="BU289" s="47">
        <v>0</v>
      </c>
      <c r="BV289" s="46"/>
      <c r="BW289" s="46"/>
      <c r="BX289" s="46"/>
      <c r="BY289" s="46"/>
      <c r="BZ289" s="46"/>
      <c r="CA289" s="46">
        <v>0</v>
      </c>
      <c r="CB289" s="46"/>
      <c r="CC289" s="47">
        <v>0</v>
      </c>
      <c r="CD289" s="46"/>
      <c r="CE289" s="46"/>
      <c r="CF289" s="46"/>
      <c r="CG289" s="46"/>
      <c r="CH289" s="46"/>
      <c r="CI289" s="46">
        <v>0</v>
      </c>
      <c r="CJ289" s="46"/>
      <c r="CK289" s="47">
        <v>0</v>
      </c>
      <c r="CL289" s="46"/>
      <c r="CM289" s="46"/>
      <c r="CN289" s="46"/>
      <c r="CO289" s="46"/>
      <c r="CP289" s="46">
        <f>CN289*CO289</f>
        <v>0</v>
      </c>
      <c r="CQ289" s="46"/>
      <c r="CR289" s="47">
        <f t="shared" si="188"/>
        <v>0</v>
      </c>
      <c r="CS289" s="46"/>
      <c r="CT289" s="46"/>
      <c r="CU289" s="46"/>
      <c r="CV289" s="46"/>
      <c r="CW289" s="47">
        <f t="shared" si="218"/>
        <v>0</v>
      </c>
      <c r="CX289" s="46"/>
      <c r="CY289" s="47">
        <f t="shared" si="210"/>
        <v>0</v>
      </c>
      <c r="CZ289" s="46"/>
      <c r="DA289" s="46"/>
      <c r="DB289" s="46"/>
      <c r="DC289" s="46"/>
      <c r="DD289" s="47">
        <v>0</v>
      </c>
      <c r="DE289" s="46"/>
      <c r="DF289" s="46">
        <f t="shared" si="215"/>
        <v>0</v>
      </c>
      <c r="DG289" s="46"/>
      <c r="DH289" s="46">
        <f t="shared" ref="DH289:DH319" si="227">AQ289/2</f>
        <v>0</v>
      </c>
      <c r="DI289" s="46"/>
      <c r="DJ289" s="46"/>
      <c r="DK289" s="47">
        <f t="shared" si="225"/>
        <v>0</v>
      </c>
      <c r="DL289" s="47">
        <f t="shared" si="202"/>
        <v>0</v>
      </c>
      <c r="DM289" s="46"/>
      <c r="DN289" s="46">
        <f t="shared" ref="DN289:DN318" si="228">7.5%*AQ289</f>
        <v>0</v>
      </c>
      <c r="DO289" s="46"/>
      <c r="DP289" s="46">
        <f t="shared" ref="DP289:DP305" si="229">10%*AQ289</f>
        <v>0</v>
      </c>
      <c r="DQ289" s="46"/>
      <c r="DR289" s="46">
        <f t="shared" si="189"/>
        <v>0</v>
      </c>
      <c r="DS289" s="46"/>
      <c r="DT289" s="46">
        <f t="shared" si="212"/>
        <v>0</v>
      </c>
      <c r="DU289" s="46"/>
      <c r="DV289" s="46">
        <f t="shared" si="217"/>
        <v>0</v>
      </c>
      <c r="DW289" s="46"/>
      <c r="DX289" s="47">
        <f t="shared" ref="DX289:DX342" si="230">+DN289+DP289+DR289+DT289+DV289</f>
        <v>0</v>
      </c>
      <c r="DY289" s="46"/>
      <c r="DZ289" s="46"/>
      <c r="EA289" s="46"/>
      <c r="EB289" s="46"/>
      <c r="EC289" s="46"/>
      <c r="ED289" s="46"/>
      <c r="EE289" s="47">
        <f t="shared" si="219"/>
        <v>0</v>
      </c>
      <c r="EF289" s="46"/>
      <c r="EG289" s="46"/>
      <c r="EH289" s="46"/>
      <c r="EI289" s="46"/>
      <c r="EJ289" s="46"/>
      <c r="EK289" s="47">
        <f t="shared" si="204"/>
        <v>0</v>
      </c>
      <c r="EL289" s="46">
        <f t="shared" si="205"/>
        <v>0</v>
      </c>
      <c r="EM289" s="46"/>
      <c r="EN289" s="46">
        <f t="shared" si="206"/>
        <v>0</v>
      </c>
    </row>
    <row r="290" spans="1:144" s="48" customFormat="1" ht="15" customHeight="1" x14ac:dyDescent="0.25">
      <c r="A290" s="58"/>
      <c r="B290" s="88">
        <v>37</v>
      </c>
      <c r="C290" s="42"/>
      <c r="D290" s="43"/>
      <c r="E290" s="42"/>
      <c r="F290" s="42"/>
      <c r="G290" s="49"/>
      <c r="H290" s="49"/>
      <c r="I290" s="49"/>
      <c r="J290" s="49"/>
      <c r="K290" s="49"/>
      <c r="L290" s="49"/>
      <c r="M290" s="42"/>
      <c r="N290" s="41"/>
      <c r="O290" s="41"/>
      <c r="P290" s="42"/>
      <c r="Q290" s="45"/>
      <c r="R290" s="45"/>
      <c r="S290" s="42"/>
      <c r="T290" s="46"/>
      <c r="U290" s="46"/>
      <c r="V290" s="46"/>
      <c r="W290" s="46"/>
      <c r="X290" s="46"/>
      <c r="Y290" s="46"/>
      <c r="Z290" s="42"/>
      <c r="AA290" s="42"/>
      <c r="AB290" s="42"/>
      <c r="AC290" s="42"/>
      <c r="AD290" s="42"/>
      <c r="AE290" s="42"/>
      <c r="AF290" s="42"/>
      <c r="AG290" s="42"/>
      <c r="AH290" s="42"/>
      <c r="AI290" s="46"/>
      <c r="AJ290" s="42"/>
      <c r="AK290" s="42"/>
      <c r="AL290" s="42"/>
      <c r="AM290" s="42"/>
      <c r="AN290" s="90">
        <f t="shared" si="200"/>
        <v>0</v>
      </c>
      <c r="AO290" s="90">
        <f t="shared" si="201"/>
        <v>0</v>
      </c>
      <c r="AP290" s="42" t="s">
        <v>111</v>
      </c>
      <c r="AQ290" s="46">
        <f t="shared" si="226"/>
        <v>0</v>
      </c>
      <c r="AR290" s="46"/>
      <c r="AS290" s="42"/>
      <c r="AT290" s="46"/>
      <c r="AU290" s="64">
        <f t="shared" si="223"/>
        <v>0</v>
      </c>
      <c r="AV290" s="47"/>
      <c r="AW290" s="64">
        <f t="shared" si="213"/>
        <v>0</v>
      </c>
      <c r="AX290" s="47"/>
      <c r="AY290" s="90"/>
      <c r="AZ290" s="47"/>
      <c r="BA290" s="47"/>
      <c r="BB290" s="47"/>
      <c r="BC290" s="47">
        <f t="shared" si="222"/>
        <v>0</v>
      </c>
      <c r="BD290" s="47"/>
      <c r="BE290" s="47">
        <f t="shared" si="224"/>
        <v>0</v>
      </c>
      <c r="BF290" s="47"/>
      <c r="BG290" s="47"/>
      <c r="BH290" s="47"/>
      <c r="BI290" s="47"/>
      <c r="BJ290" s="47"/>
      <c r="BK290" s="46">
        <f t="shared" si="221"/>
        <v>0</v>
      </c>
      <c r="BL290" s="47"/>
      <c r="BM290" s="47">
        <f t="shared" si="214"/>
        <v>0</v>
      </c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6"/>
      <c r="CQ290" s="47"/>
      <c r="CR290" s="64">
        <f t="shared" si="188"/>
        <v>0</v>
      </c>
      <c r="CS290" s="47"/>
      <c r="CT290" s="47"/>
      <c r="CU290" s="47"/>
      <c r="CV290" s="47"/>
      <c r="CW290" s="47">
        <f t="shared" si="218"/>
        <v>0</v>
      </c>
      <c r="CX290" s="46"/>
      <c r="CY290" s="47">
        <f t="shared" si="210"/>
        <v>0</v>
      </c>
      <c r="CZ290" s="47"/>
      <c r="DA290" s="47"/>
      <c r="DB290" s="47"/>
      <c r="DC290" s="47"/>
      <c r="DD290" s="64">
        <f>+DB290*DC290</f>
        <v>0</v>
      </c>
      <c r="DE290" s="47"/>
      <c r="DF290" s="46">
        <f t="shared" si="215"/>
        <v>0</v>
      </c>
      <c r="DG290" s="47"/>
      <c r="DH290" s="46">
        <f t="shared" si="227"/>
        <v>0</v>
      </c>
      <c r="DI290" s="47"/>
      <c r="DJ290" s="47"/>
      <c r="DK290" s="64">
        <f t="shared" si="225"/>
        <v>0</v>
      </c>
      <c r="DL290" s="60">
        <f t="shared" si="202"/>
        <v>0</v>
      </c>
      <c r="DM290" s="94"/>
      <c r="DN290" s="46">
        <f t="shared" si="228"/>
        <v>0</v>
      </c>
      <c r="DO290" s="47"/>
      <c r="DP290" s="90">
        <f t="shared" si="229"/>
        <v>0</v>
      </c>
      <c r="DQ290" s="47"/>
      <c r="DR290" s="90">
        <f t="shared" si="189"/>
        <v>0</v>
      </c>
      <c r="DS290" s="47"/>
      <c r="DT290" s="46">
        <f t="shared" si="212"/>
        <v>0</v>
      </c>
      <c r="DU290" s="47"/>
      <c r="DV290" s="46">
        <f t="shared" si="217"/>
        <v>0</v>
      </c>
      <c r="DW290" s="47"/>
      <c r="DX290" s="64">
        <f t="shared" si="230"/>
        <v>0</v>
      </c>
      <c r="DY290" s="91"/>
      <c r="DZ290" s="47"/>
      <c r="EA290" s="47"/>
      <c r="EB290" s="47"/>
      <c r="EC290" s="47"/>
      <c r="ED290" s="47"/>
      <c r="EE290" s="47">
        <f t="shared" si="219"/>
        <v>0</v>
      </c>
      <c r="EF290" s="47"/>
      <c r="EG290" s="47"/>
      <c r="EH290" s="47"/>
      <c r="EI290" s="91"/>
      <c r="EJ290" s="47"/>
      <c r="EK290" s="47">
        <f t="shared" si="204"/>
        <v>0</v>
      </c>
      <c r="EL290" s="46">
        <f t="shared" si="205"/>
        <v>0</v>
      </c>
      <c r="EM290" s="46"/>
      <c r="EN290" s="46">
        <f t="shared" si="206"/>
        <v>0</v>
      </c>
    </row>
    <row r="291" spans="1:144" s="48" customFormat="1" ht="15" customHeight="1" x14ac:dyDescent="0.25">
      <c r="A291" s="58"/>
      <c r="B291" s="88">
        <v>38</v>
      </c>
      <c r="C291" s="42"/>
      <c r="D291" s="43"/>
      <c r="E291" s="42"/>
      <c r="F291" s="42"/>
      <c r="G291" s="49"/>
      <c r="H291" s="49"/>
      <c r="I291" s="49"/>
      <c r="J291" s="49"/>
      <c r="K291" s="49"/>
      <c r="L291" s="49"/>
      <c r="M291" s="42"/>
      <c r="N291" s="41"/>
      <c r="O291" s="41"/>
      <c r="P291" s="42"/>
      <c r="Q291" s="45"/>
      <c r="R291" s="45"/>
      <c r="S291" s="42"/>
      <c r="T291" s="46"/>
      <c r="U291" s="46"/>
      <c r="V291" s="46"/>
      <c r="W291" s="46"/>
      <c r="X291" s="46"/>
      <c r="Y291" s="46"/>
      <c r="Z291" s="42"/>
      <c r="AA291" s="42"/>
      <c r="AB291" s="42"/>
      <c r="AC291" s="42"/>
      <c r="AD291" s="42"/>
      <c r="AE291" s="42"/>
      <c r="AF291" s="42"/>
      <c r="AG291" s="42"/>
      <c r="AH291" s="42"/>
      <c r="AI291" s="46"/>
      <c r="AJ291" s="42"/>
      <c r="AK291" s="42"/>
      <c r="AL291" s="42"/>
      <c r="AM291" s="42"/>
      <c r="AN291" s="90">
        <f t="shared" si="200"/>
        <v>0</v>
      </c>
      <c r="AO291" s="90">
        <f t="shared" si="201"/>
        <v>0</v>
      </c>
      <c r="AP291" s="42" t="s">
        <v>102</v>
      </c>
      <c r="AQ291" s="46"/>
      <c r="AR291" s="46"/>
      <c r="AS291" s="42"/>
      <c r="AT291" s="46"/>
      <c r="AU291" s="64">
        <f t="shared" si="223"/>
        <v>0</v>
      </c>
      <c r="AV291" s="47"/>
      <c r="AW291" s="64">
        <f t="shared" si="213"/>
        <v>0</v>
      </c>
      <c r="AX291" s="47"/>
      <c r="AY291" s="46">
        <f>25%*AQ291</f>
        <v>0</v>
      </c>
      <c r="AZ291" s="47"/>
      <c r="BA291" s="47"/>
      <c r="BB291" s="47"/>
      <c r="BC291" s="47">
        <f t="shared" si="222"/>
        <v>0</v>
      </c>
      <c r="BD291" s="47"/>
      <c r="BE291" s="47">
        <f t="shared" si="224"/>
        <v>0</v>
      </c>
      <c r="BF291" s="47"/>
      <c r="BG291" s="47"/>
      <c r="BH291" s="47"/>
      <c r="BI291" s="47"/>
      <c r="BJ291" s="47"/>
      <c r="BK291" s="46">
        <f t="shared" si="221"/>
        <v>0</v>
      </c>
      <c r="BL291" s="47"/>
      <c r="BM291" s="47">
        <f t="shared" si="214"/>
        <v>0</v>
      </c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6"/>
      <c r="CQ291" s="47"/>
      <c r="CR291" s="64">
        <f t="shared" ref="CR291:CR354" si="231">CM291+CP291+CQ291</f>
        <v>0</v>
      </c>
      <c r="CS291" s="47"/>
      <c r="CT291" s="47"/>
      <c r="CU291" s="47"/>
      <c r="CV291" s="47"/>
      <c r="CW291" s="47"/>
      <c r="CX291" s="46"/>
      <c r="CY291" s="47">
        <f t="shared" si="210"/>
        <v>0</v>
      </c>
      <c r="CZ291" s="47"/>
      <c r="DA291" s="47"/>
      <c r="DB291" s="47"/>
      <c r="DC291" s="47"/>
      <c r="DD291" s="47"/>
      <c r="DE291" s="47"/>
      <c r="DF291" s="46">
        <f t="shared" si="215"/>
        <v>0</v>
      </c>
      <c r="DG291" s="47"/>
      <c r="DH291" s="46">
        <f t="shared" si="227"/>
        <v>0</v>
      </c>
      <c r="DI291" s="47"/>
      <c r="DJ291" s="47"/>
      <c r="DK291" s="64">
        <f t="shared" si="225"/>
        <v>0</v>
      </c>
      <c r="DL291" s="60">
        <f t="shared" si="202"/>
        <v>0</v>
      </c>
      <c r="DM291" s="94"/>
      <c r="DN291" s="46">
        <f t="shared" si="228"/>
        <v>0</v>
      </c>
      <c r="DO291" s="47"/>
      <c r="DP291" s="90">
        <f t="shared" si="229"/>
        <v>0</v>
      </c>
      <c r="DQ291" s="47"/>
      <c r="DR291" s="90">
        <f t="shared" ref="DR291:DR313" si="232">DP291</f>
        <v>0</v>
      </c>
      <c r="DS291" s="47"/>
      <c r="DT291" s="46">
        <f t="shared" si="212"/>
        <v>0</v>
      </c>
      <c r="DU291" s="47"/>
      <c r="DV291" s="46">
        <f t="shared" si="217"/>
        <v>0</v>
      </c>
      <c r="DW291" s="47"/>
      <c r="DX291" s="64">
        <f t="shared" si="230"/>
        <v>0</v>
      </c>
      <c r="DY291" s="91"/>
      <c r="DZ291" s="47"/>
      <c r="EA291" s="47"/>
      <c r="EB291" s="47"/>
      <c r="EC291" s="47"/>
      <c r="ED291" s="47"/>
      <c r="EE291" s="47">
        <f t="shared" si="219"/>
        <v>0</v>
      </c>
      <c r="EF291" s="47"/>
      <c r="EG291" s="47"/>
      <c r="EH291" s="47"/>
      <c r="EI291" s="91"/>
      <c r="EJ291" s="47"/>
      <c r="EK291" s="47">
        <f t="shared" si="204"/>
        <v>0</v>
      </c>
      <c r="EL291" s="46">
        <f t="shared" si="205"/>
        <v>0</v>
      </c>
      <c r="EM291" s="46"/>
      <c r="EN291" s="46">
        <f t="shared" si="206"/>
        <v>0</v>
      </c>
    </row>
    <row r="292" spans="1:144" s="48" customFormat="1" ht="15" customHeight="1" x14ac:dyDescent="0.25">
      <c r="A292" s="58"/>
      <c r="B292" s="88">
        <v>39</v>
      </c>
      <c r="C292" s="42"/>
      <c r="D292" s="43"/>
      <c r="E292" s="42"/>
      <c r="F292" s="42"/>
      <c r="G292" s="49"/>
      <c r="H292" s="49"/>
      <c r="I292" s="49"/>
      <c r="J292" s="49"/>
      <c r="K292" s="49"/>
      <c r="L292" s="49"/>
      <c r="M292" s="42"/>
      <c r="N292" s="41"/>
      <c r="O292" s="41"/>
      <c r="P292" s="42"/>
      <c r="Q292" s="45"/>
      <c r="R292" s="45"/>
      <c r="S292" s="42"/>
      <c r="T292" s="46"/>
      <c r="U292" s="46"/>
      <c r="V292" s="46"/>
      <c r="W292" s="46"/>
      <c r="X292" s="46"/>
      <c r="Y292" s="46"/>
      <c r="Z292" s="42"/>
      <c r="AA292" s="42"/>
      <c r="AB292" s="42"/>
      <c r="AC292" s="42"/>
      <c r="AD292" s="42"/>
      <c r="AE292" s="42"/>
      <c r="AF292" s="42"/>
      <c r="AG292" s="42"/>
      <c r="AH292" s="42"/>
      <c r="AI292" s="46"/>
      <c r="AJ292" s="42"/>
      <c r="AK292" s="42"/>
      <c r="AL292" s="42"/>
      <c r="AM292" s="42"/>
      <c r="AN292" s="90">
        <f t="shared" si="200"/>
        <v>0</v>
      </c>
      <c r="AO292" s="90">
        <f t="shared" si="201"/>
        <v>0</v>
      </c>
      <c r="AP292" s="42" t="s">
        <v>111</v>
      </c>
      <c r="AQ292" s="46">
        <f t="shared" ref="AQ292:AQ300" si="233">20%*AO292</f>
        <v>0</v>
      </c>
      <c r="AR292" s="46"/>
      <c r="AS292" s="42"/>
      <c r="AT292" s="46"/>
      <c r="AU292" s="64">
        <f t="shared" si="223"/>
        <v>0</v>
      </c>
      <c r="AV292" s="47"/>
      <c r="AW292" s="64">
        <f t="shared" si="213"/>
        <v>0</v>
      </c>
      <c r="AX292" s="47" t="s">
        <v>113</v>
      </c>
      <c r="AY292" s="46">
        <f>25%*AQ292</f>
        <v>0</v>
      </c>
      <c r="AZ292" s="47"/>
      <c r="BA292" s="47"/>
      <c r="BB292" s="47"/>
      <c r="BC292" s="47">
        <f t="shared" si="222"/>
        <v>0</v>
      </c>
      <c r="BD292" s="47"/>
      <c r="BE292" s="47">
        <f t="shared" si="224"/>
        <v>0</v>
      </c>
      <c r="BF292" s="47"/>
      <c r="BG292" s="47"/>
      <c r="BH292" s="47"/>
      <c r="BI292" s="47"/>
      <c r="BJ292" s="47"/>
      <c r="BK292" s="46">
        <f t="shared" si="221"/>
        <v>0</v>
      </c>
      <c r="BL292" s="47"/>
      <c r="BM292" s="47">
        <f t="shared" si="214"/>
        <v>0</v>
      </c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6"/>
      <c r="CQ292" s="47"/>
      <c r="CR292" s="64">
        <f t="shared" si="231"/>
        <v>0</v>
      </c>
      <c r="CS292" s="47"/>
      <c r="CT292" s="47"/>
      <c r="CU292" s="47"/>
      <c r="CV292" s="47"/>
      <c r="CW292" s="47">
        <f t="shared" ref="CW292:CW302" si="234">CU292*CV292</f>
        <v>0</v>
      </c>
      <c r="CX292" s="46"/>
      <c r="CY292" s="47">
        <f t="shared" si="210"/>
        <v>0</v>
      </c>
      <c r="CZ292" s="47"/>
      <c r="DA292" s="47"/>
      <c r="DB292" s="47"/>
      <c r="DC292" s="47"/>
      <c r="DD292" s="47"/>
      <c r="DE292" s="47"/>
      <c r="DF292" s="46">
        <f t="shared" si="215"/>
        <v>0</v>
      </c>
      <c r="DG292" s="47"/>
      <c r="DH292" s="46">
        <f t="shared" si="227"/>
        <v>0</v>
      </c>
      <c r="DI292" s="47"/>
      <c r="DJ292" s="47"/>
      <c r="DK292" s="64">
        <f t="shared" si="225"/>
        <v>0</v>
      </c>
      <c r="DL292" s="60">
        <f t="shared" si="202"/>
        <v>0</v>
      </c>
      <c r="DM292" s="94"/>
      <c r="DN292" s="46">
        <f t="shared" si="228"/>
        <v>0</v>
      </c>
      <c r="DO292" s="47"/>
      <c r="DP292" s="90">
        <f t="shared" si="229"/>
        <v>0</v>
      </c>
      <c r="DQ292" s="47"/>
      <c r="DR292" s="90">
        <f t="shared" si="232"/>
        <v>0</v>
      </c>
      <c r="DS292" s="47"/>
      <c r="DT292" s="46">
        <f t="shared" si="212"/>
        <v>0</v>
      </c>
      <c r="DU292" s="47"/>
      <c r="DV292" s="46">
        <f t="shared" si="217"/>
        <v>0</v>
      </c>
      <c r="DW292" s="47"/>
      <c r="DX292" s="64">
        <f t="shared" si="230"/>
        <v>0</v>
      </c>
      <c r="DY292" s="91"/>
      <c r="DZ292" s="47"/>
      <c r="EA292" s="47"/>
      <c r="EB292" s="47"/>
      <c r="EC292" s="47"/>
      <c r="ED292" s="47"/>
      <c r="EE292" s="47">
        <f t="shared" si="219"/>
        <v>0</v>
      </c>
      <c r="EF292" s="47"/>
      <c r="EG292" s="47"/>
      <c r="EH292" s="47"/>
      <c r="EI292" s="91"/>
      <c r="EJ292" s="47"/>
      <c r="EK292" s="47">
        <f t="shared" si="204"/>
        <v>0</v>
      </c>
      <c r="EL292" s="46">
        <f t="shared" si="205"/>
        <v>0</v>
      </c>
      <c r="EM292" s="46"/>
      <c r="EN292" s="46">
        <f t="shared" si="206"/>
        <v>0</v>
      </c>
    </row>
    <row r="293" spans="1:144" s="48" customFormat="1" ht="15" customHeight="1" x14ac:dyDescent="0.25">
      <c r="A293" s="58"/>
      <c r="B293" s="88">
        <v>40</v>
      </c>
      <c r="C293" s="42"/>
      <c r="D293" s="43"/>
      <c r="E293" s="42"/>
      <c r="F293" s="42"/>
      <c r="G293" s="49"/>
      <c r="H293" s="49"/>
      <c r="I293" s="49"/>
      <c r="J293" s="49"/>
      <c r="K293" s="49"/>
      <c r="L293" s="49"/>
      <c r="M293" s="42"/>
      <c r="N293" s="41"/>
      <c r="O293" s="41"/>
      <c r="P293" s="42"/>
      <c r="Q293" s="45"/>
      <c r="R293" s="45"/>
      <c r="S293" s="42"/>
      <c r="T293" s="46"/>
      <c r="U293" s="46"/>
      <c r="V293" s="46"/>
      <c r="W293" s="46"/>
      <c r="X293" s="46"/>
      <c r="Y293" s="46"/>
      <c r="Z293" s="42"/>
      <c r="AA293" s="42"/>
      <c r="AB293" s="42"/>
      <c r="AC293" s="42"/>
      <c r="AD293" s="42"/>
      <c r="AE293" s="42"/>
      <c r="AF293" s="42"/>
      <c r="AG293" s="42"/>
      <c r="AH293" s="42"/>
      <c r="AI293" s="46"/>
      <c r="AJ293" s="42"/>
      <c r="AK293" s="42"/>
      <c r="AL293" s="42"/>
      <c r="AM293" s="42"/>
      <c r="AN293" s="90">
        <f t="shared" si="200"/>
        <v>0</v>
      </c>
      <c r="AO293" s="90">
        <f t="shared" si="201"/>
        <v>0</v>
      </c>
      <c r="AP293" s="42" t="s">
        <v>119</v>
      </c>
      <c r="AQ293" s="46">
        <f t="shared" si="233"/>
        <v>0</v>
      </c>
      <c r="AR293" s="46"/>
      <c r="AS293" s="42"/>
      <c r="AT293" s="46"/>
      <c r="AU293" s="64">
        <f t="shared" si="223"/>
        <v>0</v>
      </c>
      <c r="AV293" s="47"/>
      <c r="AW293" s="64">
        <f t="shared" si="213"/>
        <v>0</v>
      </c>
      <c r="AX293" s="47" t="s">
        <v>113</v>
      </c>
      <c r="AY293" s="46">
        <f>25%*AQ293</f>
        <v>0</v>
      </c>
      <c r="AZ293" s="47"/>
      <c r="BA293" s="47"/>
      <c r="BB293" s="47"/>
      <c r="BC293" s="47">
        <f t="shared" si="222"/>
        <v>0</v>
      </c>
      <c r="BD293" s="47"/>
      <c r="BE293" s="47">
        <f t="shared" si="224"/>
        <v>0</v>
      </c>
      <c r="BF293" s="47"/>
      <c r="BG293" s="47"/>
      <c r="BH293" s="47"/>
      <c r="BI293" s="47"/>
      <c r="BJ293" s="47"/>
      <c r="BK293" s="46">
        <f t="shared" si="221"/>
        <v>0</v>
      </c>
      <c r="BL293" s="47"/>
      <c r="BM293" s="47">
        <f t="shared" si="214"/>
        <v>0</v>
      </c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6"/>
      <c r="CQ293" s="47"/>
      <c r="CR293" s="64">
        <f t="shared" si="231"/>
        <v>0</v>
      </c>
      <c r="CS293" s="47"/>
      <c r="CT293" s="47"/>
      <c r="CU293" s="47"/>
      <c r="CV293" s="47"/>
      <c r="CW293" s="47">
        <f t="shared" si="234"/>
        <v>0</v>
      </c>
      <c r="CX293" s="46"/>
      <c r="CY293" s="47">
        <f t="shared" si="210"/>
        <v>0</v>
      </c>
      <c r="CZ293" s="47"/>
      <c r="DA293" s="47"/>
      <c r="DB293" s="47"/>
      <c r="DC293" s="47"/>
      <c r="DD293" s="47"/>
      <c r="DE293" s="47"/>
      <c r="DF293" s="46">
        <f t="shared" si="215"/>
        <v>0</v>
      </c>
      <c r="DG293" s="47"/>
      <c r="DH293" s="46">
        <f t="shared" si="227"/>
        <v>0</v>
      </c>
      <c r="DI293" s="47"/>
      <c r="DJ293" s="47"/>
      <c r="DK293" s="64">
        <f t="shared" si="225"/>
        <v>0</v>
      </c>
      <c r="DL293" s="60">
        <f t="shared" si="202"/>
        <v>0</v>
      </c>
      <c r="DM293" s="94"/>
      <c r="DN293" s="46">
        <f t="shared" si="228"/>
        <v>0</v>
      </c>
      <c r="DO293" s="47"/>
      <c r="DP293" s="90">
        <f t="shared" si="229"/>
        <v>0</v>
      </c>
      <c r="DQ293" s="47"/>
      <c r="DR293" s="90">
        <f t="shared" si="232"/>
        <v>0</v>
      </c>
      <c r="DS293" s="47"/>
      <c r="DT293" s="46">
        <f t="shared" si="212"/>
        <v>0</v>
      </c>
      <c r="DU293" s="47"/>
      <c r="DV293" s="46">
        <f t="shared" si="217"/>
        <v>0</v>
      </c>
      <c r="DW293" s="47"/>
      <c r="DX293" s="64">
        <f t="shared" si="230"/>
        <v>0</v>
      </c>
      <c r="DY293" s="91"/>
      <c r="DZ293" s="47"/>
      <c r="EA293" s="47"/>
      <c r="EB293" s="47"/>
      <c r="EC293" s="47"/>
      <c r="ED293" s="47"/>
      <c r="EE293" s="47">
        <f t="shared" si="219"/>
        <v>0</v>
      </c>
      <c r="EF293" s="47"/>
      <c r="EG293" s="47"/>
      <c r="EH293" s="47"/>
      <c r="EI293" s="91"/>
      <c r="EJ293" s="47"/>
      <c r="EK293" s="47">
        <f t="shared" si="204"/>
        <v>0</v>
      </c>
      <c r="EL293" s="46">
        <f t="shared" si="205"/>
        <v>0</v>
      </c>
      <c r="EM293" s="46"/>
      <c r="EN293" s="46">
        <f t="shared" si="206"/>
        <v>0</v>
      </c>
    </row>
    <row r="294" spans="1:144" s="48" customFormat="1" ht="15" customHeight="1" x14ac:dyDescent="0.25">
      <c r="A294" s="58"/>
      <c r="B294" s="88">
        <v>41</v>
      </c>
      <c r="C294" s="42"/>
      <c r="D294" s="43"/>
      <c r="E294" s="42"/>
      <c r="F294" s="42"/>
      <c r="G294" s="49"/>
      <c r="H294" s="49"/>
      <c r="I294" s="49"/>
      <c r="J294" s="49"/>
      <c r="K294" s="49"/>
      <c r="L294" s="49"/>
      <c r="M294" s="42"/>
      <c r="N294" s="41"/>
      <c r="O294" s="41"/>
      <c r="P294" s="42"/>
      <c r="Q294" s="45"/>
      <c r="R294" s="45"/>
      <c r="S294" s="42"/>
      <c r="T294" s="46"/>
      <c r="U294" s="46"/>
      <c r="V294" s="46"/>
      <c r="W294" s="46"/>
      <c r="X294" s="46"/>
      <c r="Y294" s="46"/>
      <c r="Z294" s="42"/>
      <c r="AA294" s="42"/>
      <c r="AB294" s="42"/>
      <c r="AC294" s="42"/>
      <c r="AD294" s="42"/>
      <c r="AE294" s="42"/>
      <c r="AF294" s="42"/>
      <c r="AG294" s="42"/>
      <c r="AH294" s="42"/>
      <c r="AI294" s="46"/>
      <c r="AJ294" s="42"/>
      <c r="AK294" s="42"/>
      <c r="AL294" s="42"/>
      <c r="AM294" s="42"/>
      <c r="AN294" s="90">
        <f t="shared" si="200"/>
        <v>0</v>
      </c>
      <c r="AO294" s="90">
        <f t="shared" si="201"/>
        <v>0</v>
      </c>
      <c r="AP294" s="42" t="s">
        <v>129</v>
      </c>
      <c r="AQ294" s="46">
        <f t="shared" si="233"/>
        <v>0</v>
      </c>
      <c r="AR294" s="46"/>
      <c r="AS294" s="42"/>
      <c r="AT294" s="46"/>
      <c r="AU294" s="64">
        <f t="shared" si="223"/>
        <v>0</v>
      </c>
      <c r="AV294" s="47"/>
      <c r="AW294" s="64">
        <f t="shared" si="213"/>
        <v>0</v>
      </c>
      <c r="AX294" s="47"/>
      <c r="AY294" s="46"/>
      <c r="AZ294" s="47"/>
      <c r="BA294" s="47"/>
      <c r="BB294" s="47"/>
      <c r="BC294" s="47">
        <f t="shared" si="222"/>
        <v>0</v>
      </c>
      <c r="BD294" s="47"/>
      <c r="BE294" s="47">
        <f t="shared" si="224"/>
        <v>0</v>
      </c>
      <c r="BF294" s="47"/>
      <c r="BG294" s="47"/>
      <c r="BH294" s="47"/>
      <c r="BI294" s="47"/>
      <c r="BJ294" s="47"/>
      <c r="BK294" s="46">
        <f t="shared" si="221"/>
        <v>0</v>
      </c>
      <c r="BL294" s="47"/>
      <c r="BM294" s="47">
        <f t="shared" si="214"/>
        <v>0</v>
      </c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6"/>
      <c r="CQ294" s="47"/>
      <c r="CR294" s="64">
        <f t="shared" si="231"/>
        <v>0</v>
      </c>
      <c r="CS294" s="47"/>
      <c r="CT294" s="47"/>
      <c r="CU294" s="47"/>
      <c r="CV294" s="47"/>
      <c r="CW294" s="47">
        <f t="shared" si="234"/>
        <v>0</v>
      </c>
      <c r="CX294" s="46"/>
      <c r="CY294" s="47">
        <f t="shared" si="210"/>
        <v>0</v>
      </c>
      <c r="CZ294" s="47"/>
      <c r="DA294" s="47"/>
      <c r="DB294" s="47"/>
      <c r="DC294" s="47"/>
      <c r="DD294" s="47"/>
      <c r="DE294" s="47"/>
      <c r="DF294" s="46">
        <f t="shared" si="215"/>
        <v>0</v>
      </c>
      <c r="DG294" s="47"/>
      <c r="DH294" s="46">
        <f t="shared" si="227"/>
        <v>0</v>
      </c>
      <c r="DI294" s="47"/>
      <c r="DJ294" s="47"/>
      <c r="DK294" s="64">
        <f t="shared" si="225"/>
        <v>0</v>
      </c>
      <c r="DL294" s="60">
        <f t="shared" si="202"/>
        <v>0</v>
      </c>
      <c r="DM294" s="94"/>
      <c r="DN294" s="46">
        <f t="shared" si="228"/>
        <v>0</v>
      </c>
      <c r="DO294" s="47"/>
      <c r="DP294" s="90">
        <f t="shared" si="229"/>
        <v>0</v>
      </c>
      <c r="DQ294" s="47"/>
      <c r="DR294" s="90">
        <f t="shared" si="232"/>
        <v>0</v>
      </c>
      <c r="DS294" s="47"/>
      <c r="DT294" s="46">
        <f t="shared" si="212"/>
        <v>0</v>
      </c>
      <c r="DU294" s="47"/>
      <c r="DV294" s="46">
        <f t="shared" si="217"/>
        <v>0</v>
      </c>
      <c r="DW294" s="47"/>
      <c r="DX294" s="64">
        <f t="shared" si="230"/>
        <v>0</v>
      </c>
      <c r="DY294" s="91"/>
      <c r="DZ294" s="47"/>
      <c r="EA294" s="47"/>
      <c r="EB294" s="47"/>
      <c r="EC294" s="47"/>
      <c r="ED294" s="47"/>
      <c r="EE294" s="47">
        <f t="shared" si="219"/>
        <v>0</v>
      </c>
      <c r="EF294" s="47"/>
      <c r="EG294" s="47"/>
      <c r="EH294" s="47"/>
      <c r="EI294" s="91"/>
      <c r="EJ294" s="47"/>
      <c r="EK294" s="47">
        <f t="shared" si="204"/>
        <v>0</v>
      </c>
      <c r="EL294" s="46">
        <f t="shared" si="205"/>
        <v>0</v>
      </c>
      <c r="EM294" s="46"/>
      <c r="EN294" s="46">
        <f t="shared" si="206"/>
        <v>0</v>
      </c>
    </row>
    <row r="295" spans="1:144" s="48" customFormat="1" ht="15" customHeight="1" x14ac:dyDescent="0.25">
      <c r="A295" s="58"/>
      <c r="B295" s="88">
        <v>42</v>
      </c>
      <c r="C295" s="42"/>
      <c r="D295" s="43"/>
      <c r="E295" s="42"/>
      <c r="F295" s="42"/>
      <c r="G295" s="49"/>
      <c r="H295" s="49"/>
      <c r="I295" s="49"/>
      <c r="J295" s="49"/>
      <c r="K295" s="49"/>
      <c r="L295" s="49"/>
      <c r="M295" s="42"/>
      <c r="N295" s="41"/>
      <c r="O295" s="41"/>
      <c r="P295" s="42"/>
      <c r="Q295" s="45"/>
      <c r="R295" s="45"/>
      <c r="S295" s="42"/>
      <c r="T295" s="46"/>
      <c r="U295" s="46"/>
      <c r="V295" s="46"/>
      <c r="W295" s="46"/>
      <c r="X295" s="46"/>
      <c r="Y295" s="46"/>
      <c r="Z295" s="42"/>
      <c r="AA295" s="42"/>
      <c r="AB295" s="42"/>
      <c r="AC295" s="42"/>
      <c r="AD295" s="42"/>
      <c r="AE295" s="42"/>
      <c r="AF295" s="42"/>
      <c r="AG295" s="42"/>
      <c r="AH295" s="42"/>
      <c r="AI295" s="46"/>
      <c r="AJ295" s="42"/>
      <c r="AK295" s="42"/>
      <c r="AL295" s="42"/>
      <c r="AM295" s="42"/>
      <c r="AN295" s="90">
        <f t="shared" si="200"/>
        <v>0</v>
      </c>
      <c r="AO295" s="90">
        <f t="shared" si="201"/>
        <v>0</v>
      </c>
      <c r="AP295" s="42" t="s">
        <v>111</v>
      </c>
      <c r="AQ295" s="46">
        <f t="shared" si="233"/>
        <v>0</v>
      </c>
      <c r="AR295" s="46"/>
      <c r="AS295" s="42"/>
      <c r="AT295" s="46"/>
      <c r="AU295" s="64">
        <f t="shared" si="223"/>
        <v>0</v>
      </c>
      <c r="AV295" s="47"/>
      <c r="AW295" s="64">
        <f t="shared" si="213"/>
        <v>0</v>
      </c>
      <c r="AX295" s="47" t="s">
        <v>113</v>
      </c>
      <c r="AY295" s="90">
        <f t="shared" ref="AY295:AY300" si="235">25%*AQ295</f>
        <v>0</v>
      </c>
      <c r="AZ295" s="47"/>
      <c r="BA295" s="47"/>
      <c r="BB295" s="47"/>
      <c r="BC295" s="47">
        <f t="shared" si="222"/>
        <v>0</v>
      </c>
      <c r="BD295" s="47"/>
      <c r="BE295" s="47">
        <f t="shared" si="224"/>
        <v>0</v>
      </c>
      <c r="BF295" s="47"/>
      <c r="BG295" s="47"/>
      <c r="BH295" s="47"/>
      <c r="BI295" s="47"/>
      <c r="BJ295" s="47"/>
      <c r="BK295" s="46">
        <f t="shared" si="221"/>
        <v>0</v>
      </c>
      <c r="BL295" s="47"/>
      <c r="BM295" s="47">
        <f t="shared" si="214"/>
        <v>0</v>
      </c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6"/>
      <c r="CQ295" s="47"/>
      <c r="CR295" s="64">
        <f t="shared" si="231"/>
        <v>0</v>
      </c>
      <c r="CS295" s="47"/>
      <c r="CT295" s="47"/>
      <c r="CU295" s="47"/>
      <c r="CV295" s="47"/>
      <c r="CW295" s="47">
        <f t="shared" si="234"/>
        <v>0</v>
      </c>
      <c r="CX295" s="46"/>
      <c r="CY295" s="47">
        <f t="shared" si="210"/>
        <v>0</v>
      </c>
      <c r="CZ295" s="47"/>
      <c r="DA295" s="47"/>
      <c r="DB295" s="47"/>
      <c r="DC295" s="47"/>
      <c r="DD295" s="47"/>
      <c r="DE295" s="47"/>
      <c r="DF295" s="46">
        <f t="shared" si="215"/>
        <v>0</v>
      </c>
      <c r="DG295" s="47"/>
      <c r="DH295" s="46">
        <f t="shared" si="227"/>
        <v>0</v>
      </c>
      <c r="DI295" s="47"/>
      <c r="DJ295" s="47"/>
      <c r="DK295" s="64">
        <f t="shared" si="225"/>
        <v>0</v>
      </c>
      <c r="DL295" s="60">
        <f t="shared" si="202"/>
        <v>0</v>
      </c>
      <c r="DM295" s="94"/>
      <c r="DN295" s="46">
        <f t="shared" si="228"/>
        <v>0</v>
      </c>
      <c r="DO295" s="47"/>
      <c r="DP295" s="90">
        <f t="shared" si="229"/>
        <v>0</v>
      </c>
      <c r="DQ295" s="47"/>
      <c r="DR295" s="90">
        <f t="shared" si="232"/>
        <v>0</v>
      </c>
      <c r="DS295" s="47"/>
      <c r="DT295" s="46">
        <f t="shared" si="212"/>
        <v>0</v>
      </c>
      <c r="DU295" s="47"/>
      <c r="DV295" s="46">
        <f t="shared" si="217"/>
        <v>0</v>
      </c>
      <c r="DW295" s="47"/>
      <c r="DX295" s="64">
        <f t="shared" si="230"/>
        <v>0</v>
      </c>
      <c r="DY295" s="91"/>
      <c r="DZ295" s="47"/>
      <c r="EA295" s="47"/>
      <c r="EB295" s="47"/>
      <c r="EC295" s="47"/>
      <c r="ED295" s="47"/>
      <c r="EE295" s="47">
        <f t="shared" si="219"/>
        <v>0</v>
      </c>
      <c r="EF295" s="47"/>
      <c r="EG295" s="47"/>
      <c r="EH295" s="47"/>
      <c r="EI295" s="91"/>
      <c r="EJ295" s="47"/>
      <c r="EK295" s="47">
        <f t="shared" si="204"/>
        <v>0</v>
      </c>
      <c r="EL295" s="46">
        <f t="shared" si="205"/>
        <v>0</v>
      </c>
      <c r="EM295" s="46"/>
      <c r="EN295" s="46">
        <f t="shared" si="206"/>
        <v>0</v>
      </c>
    </row>
    <row r="296" spans="1:144" s="48" customFormat="1" ht="15" customHeight="1" x14ac:dyDescent="0.25">
      <c r="A296" s="58"/>
      <c r="B296" s="88">
        <v>43</v>
      </c>
      <c r="C296" s="42"/>
      <c r="D296" s="43"/>
      <c r="E296" s="42"/>
      <c r="F296" s="42"/>
      <c r="G296" s="49"/>
      <c r="H296" s="49"/>
      <c r="I296" s="49"/>
      <c r="J296" s="49"/>
      <c r="K296" s="49"/>
      <c r="L296" s="49"/>
      <c r="M296" s="42"/>
      <c r="N296" s="41"/>
      <c r="O296" s="41"/>
      <c r="P296" s="42"/>
      <c r="Q296" s="45"/>
      <c r="R296" s="45"/>
      <c r="S296" s="42"/>
      <c r="T296" s="46"/>
      <c r="U296" s="46"/>
      <c r="V296" s="46"/>
      <c r="W296" s="46"/>
      <c r="X296" s="46"/>
      <c r="Y296" s="46"/>
      <c r="Z296" s="42"/>
      <c r="AA296" s="42"/>
      <c r="AB296" s="42"/>
      <c r="AC296" s="42"/>
      <c r="AD296" s="42"/>
      <c r="AE296" s="42"/>
      <c r="AF296" s="42"/>
      <c r="AG296" s="42"/>
      <c r="AH296" s="42"/>
      <c r="AI296" s="46"/>
      <c r="AJ296" s="42"/>
      <c r="AK296" s="42"/>
      <c r="AL296" s="42"/>
      <c r="AM296" s="42"/>
      <c r="AN296" s="90">
        <f t="shared" si="200"/>
        <v>0</v>
      </c>
      <c r="AO296" s="90">
        <f t="shared" si="201"/>
        <v>0</v>
      </c>
      <c r="AP296" s="42" t="s">
        <v>111</v>
      </c>
      <c r="AQ296" s="46">
        <f t="shared" si="233"/>
        <v>0</v>
      </c>
      <c r="AR296" s="46"/>
      <c r="AS296" s="42"/>
      <c r="AT296" s="46"/>
      <c r="AU296" s="64">
        <f t="shared" si="223"/>
        <v>0</v>
      </c>
      <c r="AV296" s="47"/>
      <c r="AW296" s="64">
        <f t="shared" si="213"/>
        <v>0</v>
      </c>
      <c r="AX296" s="47" t="s">
        <v>113</v>
      </c>
      <c r="AY296" s="90">
        <f t="shared" si="235"/>
        <v>0</v>
      </c>
      <c r="AZ296" s="47"/>
      <c r="BA296" s="47"/>
      <c r="BB296" s="47"/>
      <c r="BC296" s="47">
        <f t="shared" si="222"/>
        <v>0</v>
      </c>
      <c r="BD296" s="47"/>
      <c r="BE296" s="47">
        <f t="shared" si="224"/>
        <v>0</v>
      </c>
      <c r="BF296" s="47"/>
      <c r="BG296" s="47"/>
      <c r="BH296" s="47"/>
      <c r="BI296" s="47"/>
      <c r="BJ296" s="47"/>
      <c r="BK296" s="46">
        <f t="shared" si="221"/>
        <v>0</v>
      </c>
      <c r="BL296" s="47"/>
      <c r="BM296" s="47">
        <f t="shared" si="214"/>
        <v>0</v>
      </c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6"/>
      <c r="CQ296" s="47"/>
      <c r="CR296" s="64">
        <f t="shared" si="231"/>
        <v>0</v>
      </c>
      <c r="CS296" s="47"/>
      <c r="CT296" s="47"/>
      <c r="CU296" s="47"/>
      <c r="CV296" s="47"/>
      <c r="CW296" s="47">
        <f t="shared" si="234"/>
        <v>0</v>
      </c>
      <c r="CX296" s="46"/>
      <c r="CY296" s="47">
        <f t="shared" si="210"/>
        <v>0</v>
      </c>
      <c r="CZ296" s="47"/>
      <c r="DA296" s="47"/>
      <c r="DB296" s="47"/>
      <c r="DC296" s="47"/>
      <c r="DD296" s="47"/>
      <c r="DE296" s="47"/>
      <c r="DF296" s="46">
        <f t="shared" si="215"/>
        <v>0</v>
      </c>
      <c r="DG296" s="47"/>
      <c r="DH296" s="46">
        <f t="shared" si="227"/>
        <v>0</v>
      </c>
      <c r="DI296" s="47"/>
      <c r="DJ296" s="47"/>
      <c r="DK296" s="64">
        <f t="shared" si="225"/>
        <v>0</v>
      </c>
      <c r="DL296" s="60">
        <f t="shared" si="202"/>
        <v>0</v>
      </c>
      <c r="DM296" s="94"/>
      <c r="DN296" s="46">
        <f t="shared" si="228"/>
        <v>0</v>
      </c>
      <c r="DO296" s="47"/>
      <c r="DP296" s="90">
        <f t="shared" si="229"/>
        <v>0</v>
      </c>
      <c r="DQ296" s="47"/>
      <c r="DR296" s="90">
        <f t="shared" si="232"/>
        <v>0</v>
      </c>
      <c r="DS296" s="47"/>
      <c r="DT296" s="46">
        <f t="shared" si="212"/>
        <v>0</v>
      </c>
      <c r="DU296" s="47"/>
      <c r="DV296" s="46">
        <f t="shared" si="217"/>
        <v>0</v>
      </c>
      <c r="DW296" s="47"/>
      <c r="DX296" s="64">
        <f t="shared" si="230"/>
        <v>0</v>
      </c>
      <c r="DY296" s="91"/>
      <c r="DZ296" s="47"/>
      <c r="EA296" s="47"/>
      <c r="EB296" s="47"/>
      <c r="EC296" s="47"/>
      <c r="ED296" s="47"/>
      <c r="EE296" s="47">
        <f t="shared" si="219"/>
        <v>0</v>
      </c>
      <c r="EF296" s="47"/>
      <c r="EG296" s="47"/>
      <c r="EH296" s="47"/>
      <c r="EI296" s="91"/>
      <c r="EJ296" s="47"/>
      <c r="EK296" s="47">
        <f t="shared" si="204"/>
        <v>0</v>
      </c>
      <c r="EL296" s="46">
        <f t="shared" si="205"/>
        <v>0</v>
      </c>
      <c r="EM296" s="46"/>
      <c r="EN296" s="46">
        <f t="shared" si="206"/>
        <v>0</v>
      </c>
    </row>
    <row r="297" spans="1:144" s="48" customFormat="1" ht="15" customHeight="1" x14ac:dyDescent="0.25">
      <c r="A297" s="58"/>
      <c r="B297" s="88">
        <v>44</v>
      </c>
      <c r="C297" s="42"/>
      <c r="D297" s="43"/>
      <c r="E297" s="42"/>
      <c r="F297" s="42"/>
      <c r="G297" s="49"/>
      <c r="H297" s="49"/>
      <c r="I297" s="49"/>
      <c r="J297" s="49"/>
      <c r="K297" s="49"/>
      <c r="L297" s="49"/>
      <c r="M297" s="42"/>
      <c r="N297" s="41"/>
      <c r="O297" s="41"/>
      <c r="P297" s="42"/>
      <c r="Q297" s="45"/>
      <c r="R297" s="45"/>
      <c r="S297" s="42"/>
      <c r="T297" s="46"/>
      <c r="U297" s="46"/>
      <c r="V297" s="46"/>
      <c r="W297" s="46"/>
      <c r="X297" s="46"/>
      <c r="Y297" s="46"/>
      <c r="Z297" s="42"/>
      <c r="AA297" s="42"/>
      <c r="AB297" s="42"/>
      <c r="AC297" s="42"/>
      <c r="AD297" s="42"/>
      <c r="AE297" s="42"/>
      <c r="AF297" s="42"/>
      <c r="AG297" s="42"/>
      <c r="AH297" s="42"/>
      <c r="AI297" s="46"/>
      <c r="AJ297" s="42"/>
      <c r="AK297" s="42"/>
      <c r="AL297" s="42"/>
      <c r="AM297" s="42"/>
      <c r="AN297" s="90">
        <f t="shared" si="200"/>
        <v>0</v>
      </c>
      <c r="AO297" s="90">
        <f t="shared" si="201"/>
        <v>0</v>
      </c>
      <c r="AP297" s="42" t="s">
        <v>111</v>
      </c>
      <c r="AQ297" s="46">
        <f t="shared" si="233"/>
        <v>0</v>
      </c>
      <c r="AR297" s="46"/>
      <c r="AS297" s="42"/>
      <c r="AT297" s="46"/>
      <c r="AU297" s="64">
        <f t="shared" si="223"/>
        <v>0</v>
      </c>
      <c r="AV297" s="47"/>
      <c r="AW297" s="64">
        <f t="shared" si="213"/>
        <v>0</v>
      </c>
      <c r="AX297" s="47" t="s">
        <v>113</v>
      </c>
      <c r="AY297" s="90">
        <f t="shared" si="235"/>
        <v>0</v>
      </c>
      <c r="AZ297" s="47"/>
      <c r="BA297" s="47"/>
      <c r="BB297" s="47"/>
      <c r="BC297" s="47">
        <f t="shared" si="222"/>
        <v>0</v>
      </c>
      <c r="BD297" s="47"/>
      <c r="BE297" s="47">
        <f t="shared" si="224"/>
        <v>0</v>
      </c>
      <c r="BF297" s="47"/>
      <c r="BG297" s="47"/>
      <c r="BH297" s="47"/>
      <c r="BI297" s="47"/>
      <c r="BJ297" s="47"/>
      <c r="BK297" s="46">
        <f t="shared" si="221"/>
        <v>0</v>
      </c>
      <c r="BL297" s="47"/>
      <c r="BM297" s="47">
        <f t="shared" si="214"/>
        <v>0</v>
      </c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6"/>
      <c r="CQ297" s="47"/>
      <c r="CR297" s="64">
        <f t="shared" si="231"/>
        <v>0</v>
      </c>
      <c r="CS297" s="47"/>
      <c r="CT297" s="47"/>
      <c r="CU297" s="47"/>
      <c r="CV297" s="47"/>
      <c r="CW297" s="47">
        <f t="shared" si="234"/>
        <v>0</v>
      </c>
      <c r="CX297" s="46"/>
      <c r="CY297" s="47">
        <f t="shared" si="210"/>
        <v>0</v>
      </c>
      <c r="CZ297" s="47"/>
      <c r="DA297" s="47"/>
      <c r="DB297" s="47"/>
      <c r="DC297" s="47"/>
      <c r="DD297" s="47"/>
      <c r="DE297" s="47"/>
      <c r="DF297" s="46">
        <f t="shared" si="215"/>
        <v>0</v>
      </c>
      <c r="DG297" s="47"/>
      <c r="DH297" s="46">
        <f t="shared" si="227"/>
        <v>0</v>
      </c>
      <c r="DI297" s="47"/>
      <c r="DJ297" s="47"/>
      <c r="DK297" s="64">
        <f t="shared" si="225"/>
        <v>0</v>
      </c>
      <c r="DL297" s="60">
        <f t="shared" si="202"/>
        <v>0</v>
      </c>
      <c r="DM297" s="94"/>
      <c r="DN297" s="46">
        <f t="shared" si="228"/>
        <v>0</v>
      </c>
      <c r="DO297" s="47"/>
      <c r="DP297" s="90">
        <f t="shared" si="229"/>
        <v>0</v>
      </c>
      <c r="DQ297" s="47"/>
      <c r="DR297" s="90">
        <f t="shared" si="232"/>
        <v>0</v>
      </c>
      <c r="DS297" s="47"/>
      <c r="DT297" s="46">
        <f t="shared" si="212"/>
        <v>0</v>
      </c>
      <c r="DU297" s="47"/>
      <c r="DV297" s="46">
        <f t="shared" si="217"/>
        <v>0</v>
      </c>
      <c r="DW297" s="47"/>
      <c r="DX297" s="64">
        <f t="shared" si="230"/>
        <v>0</v>
      </c>
      <c r="DY297" s="91"/>
      <c r="DZ297" s="47"/>
      <c r="EA297" s="47"/>
      <c r="EB297" s="47"/>
      <c r="EC297" s="47"/>
      <c r="ED297" s="47"/>
      <c r="EE297" s="47">
        <f t="shared" si="219"/>
        <v>0</v>
      </c>
      <c r="EF297" s="47"/>
      <c r="EG297" s="47"/>
      <c r="EH297" s="47"/>
      <c r="EI297" s="91"/>
      <c r="EJ297" s="47"/>
      <c r="EK297" s="47">
        <f t="shared" si="204"/>
        <v>0</v>
      </c>
      <c r="EL297" s="46">
        <f t="shared" si="205"/>
        <v>0</v>
      </c>
      <c r="EM297" s="46"/>
      <c r="EN297" s="46">
        <f t="shared" si="206"/>
        <v>0</v>
      </c>
    </row>
    <row r="298" spans="1:144" s="48" customFormat="1" ht="15" customHeight="1" x14ac:dyDescent="0.25">
      <c r="B298" s="88">
        <v>45</v>
      </c>
      <c r="C298" s="99"/>
      <c r="D298" s="100"/>
      <c r="E298" s="99"/>
      <c r="F298" s="99"/>
      <c r="G298" s="99"/>
      <c r="H298" s="99"/>
      <c r="I298" s="99"/>
      <c r="J298" s="99"/>
      <c r="K298" s="99"/>
      <c r="L298" s="99"/>
      <c r="M298" s="99"/>
      <c r="N298" s="101"/>
      <c r="O298" s="101"/>
      <c r="P298" s="99"/>
      <c r="Q298" s="102"/>
      <c r="R298" s="102"/>
      <c r="S298" s="99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47">
        <f t="shared" si="200"/>
        <v>0</v>
      </c>
      <c r="AO298" s="46">
        <f t="shared" si="201"/>
        <v>0</v>
      </c>
      <c r="AP298" s="57" t="s">
        <v>111</v>
      </c>
      <c r="AQ298" s="46">
        <f t="shared" si="233"/>
        <v>0</v>
      </c>
      <c r="AR298" s="57"/>
      <c r="AS298" s="57"/>
      <c r="AT298" s="57"/>
      <c r="AU298" s="47">
        <f t="shared" si="223"/>
        <v>0</v>
      </c>
      <c r="AV298" s="57"/>
      <c r="AW298" s="64">
        <f t="shared" si="213"/>
        <v>0</v>
      </c>
      <c r="AX298" s="57" t="s">
        <v>113</v>
      </c>
      <c r="AY298" s="90">
        <f t="shared" si="235"/>
        <v>0</v>
      </c>
      <c r="AZ298" s="57"/>
      <c r="BA298" s="57"/>
      <c r="BB298" s="57"/>
      <c r="BC298" s="47">
        <f t="shared" si="222"/>
        <v>0</v>
      </c>
      <c r="BD298" s="57"/>
      <c r="BE298" s="47">
        <f t="shared" si="224"/>
        <v>0</v>
      </c>
      <c r="BF298" s="57"/>
      <c r="BG298" s="57"/>
      <c r="BH298" s="57"/>
      <c r="BI298" s="57"/>
      <c r="BJ298" s="57"/>
      <c r="BK298" s="46">
        <f t="shared" si="221"/>
        <v>0</v>
      </c>
      <c r="BL298" s="57"/>
      <c r="BM298" s="47">
        <f t="shared" si="214"/>
        <v>0</v>
      </c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7"/>
      <c r="BZ298" s="57"/>
      <c r="CA298" s="57"/>
      <c r="CB298" s="57"/>
      <c r="CC298" s="57"/>
      <c r="CD298" s="57"/>
      <c r="CE298" s="57"/>
      <c r="CF298" s="57"/>
      <c r="CG298" s="57"/>
      <c r="CH298" s="57"/>
      <c r="CI298" s="57"/>
      <c r="CJ298" s="57"/>
      <c r="CK298" s="57"/>
      <c r="CL298" s="57"/>
      <c r="CM298" s="57"/>
      <c r="CN298" s="57"/>
      <c r="CO298" s="57"/>
      <c r="CP298" s="57"/>
      <c r="CQ298" s="57"/>
      <c r="CR298" s="47">
        <f t="shared" si="231"/>
        <v>0</v>
      </c>
      <c r="CS298" s="57"/>
      <c r="CT298" s="57"/>
      <c r="CU298" s="57"/>
      <c r="CV298" s="57"/>
      <c r="CW298" s="47">
        <f t="shared" si="234"/>
        <v>0</v>
      </c>
      <c r="CX298" s="46"/>
      <c r="CY298" s="47">
        <f t="shared" si="210"/>
        <v>0</v>
      </c>
      <c r="CZ298" s="57"/>
      <c r="DA298" s="57"/>
      <c r="DB298" s="57"/>
      <c r="DC298" s="57"/>
      <c r="DD298" s="47">
        <f>+DB298*DC298</f>
        <v>0</v>
      </c>
      <c r="DE298" s="57"/>
      <c r="DF298" s="46">
        <f t="shared" si="215"/>
        <v>0</v>
      </c>
      <c r="DG298" s="57"/>
      <c r="DH298" s="46">
        <f t="shared" si="227"/>
        <v>0</v>
      </c>
      <c r="DI298" s="57"/>
      <c r="DJ298" s="57"/>
      <c r="DK298" s="64">
        <f t="shared" si="225"/>
        <v>0</v>
      </c>
      <c r="DL298" s="47">
        <f t="shared" si="202"/>
        <v>0</v>
      </c>
      <c r="DM298" s="57"/>
      <c r="DN298" s="46">
        <f t="shared" si="228"/>
        <v>0</v>
      </c>
      <c r="DO298" s="57"/>
      <c r="DP298" s="90">
        <f t="shared" si="229"/>
        <v>0</v>
      </c>
      <c r="DQ298" s="57"/>
      <c r="DR298" s="90">
        <f t="shared" si="232"/>
        <v>0</v>
      </c>
      <c r="DS298" s="57"/>
      <c r="DT298" s="46">
        <f t="shared" si="212"/>
        <v>0</v>
      </c>
      <c r="DU298" s="57"/>
      <c r="DV298" s="46">
        <f t="shared" si="217"/>
        <v>0</v>
      </c>
      <c r="DW298" s="57"/>
      <c r="DX298" s="47">
        <f t="shared" si="230"/>
        <v>0</v>
      </c>
      <c r="DY298" s="57"/>
      <c r="DZ298" s="57"/>
      <c r="EA298" s="57"/>
      <c r="EB298" s="57"/>
      <c r="EC298" s="57"/>
      <c r="ED298" s="57"/>
      <c r="EE298" s="47">
        <f t="shared" si="219"/>
        <v>0</v>
      </c>
      <c r="EF298" s="57"/>
      <c r="EG298" s="57"/>
      <c r="EH298" s="57"/>
      <c r="EI298" s="57"/>
      <c r="EJ298" s="57"/>
      <c r="EK298" s="47">
        <f t="shared" si="204"/>
        <v>0</v>
      </c>
      <c r="EL298" s="46">
        <f t="shared" si="205"/>
        <v>0</v>
      </c>
      <c r="EM298" s="57"/>
      <c r="EN298" s="46">
        <f t="shared" si="206"/>
        <v>0</v>
      </c>
    </row>
    <row r="299" spans="1:144" s="48" customFormat="1" ht="15" customHeight="1" x14ac:dyDescent="0.25">
      <c r="A299" s="58"/>
      <c r="B299" s="88">
        <v>46</v>
      </c>
      <c r="C299" s="42"/>
      <c r="D299" s="43"/>
      <c r="E299" s="42"/>
      <c r="F299" s="42"/>
      <c r="G299" s="49"/>
      <c r="H299" s="49"/>
      <c r="I299" s="49"/>
      <c r="J299" s="49"/>
      <c r="K299" s="49"/>
      <c r="L299" s="49"/>
      <c r="M299" s="42"/>
      <c r="N299" s="41"/>
      <c r="O299" s="41"/>
      <c r="P299" s="42"/>
      <c r="Q299" s="45"/>
      <c r="R299" s="45"/>
      <c r="S299" s="42"/>
      <c r="T299" s="46"/>
      <c r="U299" s="46"/>
      <c r="V299" s="46"/>
      <c r="W299" s="46"/>
      <c r="X299" s="46"/>
      <c r="Y299" s="46"/>
      <c r="Z299" s="42"/>
      <c r="AA299" s="42"/>
      <c r="AB299" s="42"/>
      <c r="AC299" s="42"/>
      <c r="AD299" s="42"/>
      <c r="AE299" s="42"/>
      <c r="AF299" s="42"/>
      <c r="AG299" s="42"/>
      <c r="AH299" s="42"/>
      <c r="AI299" s="46"/>
      <c r="AJ299" s="42"/>
      <c r="AK299" s="42"/>
      <c r="AL299" s="42"/>
      <c r="AM299" s="42"/>
      <c r="AN299" s="46">
        <f t="shared" si="200"/>
        <v>0</v>
      </c>
      <c r="AO299" s="46">
        <f t="shared" si="201"/>
        <v>0</v>
      </c>
      <c r="AP299" s="42" t="s">
        <v>111</v>
      </c>
      <c r="AQ299" s="46">
        <f t="shared" si="233"/>
        <v>0</v>
      </c>
      <c r="AR299" s="46"/>
      <c r="AS299" s="42"/>
      <c r="AT299" s="46"/>
      <c r="AU299" s="47">
        <f t="shared" si="223"/>
        <v>0</v>
      </c>
      <c r="AV299" s="47"/>
      <c r="AW299" s="64">
        <f t="shared" si="213"/>
        <v>0</v>
      </c>
      <c r="AX299" s="47" t="s">
        <v>113</v>
      </c>
      <c r="AY299" s="90">
        <f t="shared" si="235"/>
        <v>0</v>
      </c>
      <c r="AZ299" s="47"/>
      <c r="BA299" s="47"/>
      <c r="BB299" s="47"/>
      <c r="BC299" s="47">
        <f t="shared" si="222"/>
        <v>0</v>
      </c>
      <c r="BD299" s="47"/>
      <c r="BE299" s="47">
        <f t="shared" si="224"/>
        <v>0</v>
      </c>
      <c r="BF299" s="47"/>
      <c r="BG299" s="47"/>
      <c r="BH299" s="47"/>
      <c r="BI299" s="47"/>
      <c r="BJ299" s="47"/>
      <c r="BK299" s="46">
        <f t="shared" si="221"/>
        <v>0</v>
      </c>
      <c r="BL299" s="47"/>
      <c r="BM299" s="47">
        <f t="shared" si="214"/>
        <v>0</v>
      </c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6"/>
      <c r="CQ299" s="47"/>
      <c r="CR299" s="47">
        <f t="shared" si="231"/>
        <v>0</v>
      </c>
      <c r="CS299" s="47"/>
      <c r="CT299" s="47"/>
      <c r="CU299" s="47"/>
      <c r="CV299" s="47"/>
      <c r="CW299" s="47">
        <f t="shared" si="234"/>
        <v>0</v>
      </c>
      <c r="CX299" s="46"/>
      <c r="CY299" s="47">
        <f t="shared" si="210"/>
        <v>0</v>
      </c>
      <c r="CZ299" s="47"/>
      <c r="DA299" s="47"/>
      <c r="DB299" s="47"/>
      <c r="DC299" s="47"/>
      <c r="DD299" s="47"/>
      <c r="DE299" s="47"/>
      <c r="DF299" s="46">
        <f t="shared" si="215"/>
        <v>0</v>
      </c>
      <c r="DG299" s="47"/>
      <c r="DH299" s="46">
        <f t="shared" si="227"/>
        <v>0</v>
      </c>
      <c r="DI299" s="47"/>
      <c r="DJ299" s="47"/>
      <c r="DK299" s="64">
        <f t="shared" si="225"/>
        <v>0</v>
      </c>
      <c r="DL299" s="60">
        <f t="shared" si="202"/>
        <v>0</v>
      </c>
      <c r="DM299" s="94"/>
      <c r="DN299" s="46">
        <f t="shared" si="228"/>
        <v>0</v>
      </c>
      <c r="DO299" s="47"/>
      <c r="DP299" s="90">
        <f t="shared" si="229"/>
        <v>0</v>
      </c>
      <c r="DQ299" s="47"/>
      <c r="DR299" s="90">
        <f t="shared" si="232"/>
        <v>0</v>
      </c>
      <c r="DS299" s="47"/>
      <c r="DT299" s="46">
        <f t="shared" si="212"/>
        <v>0</v>
      </c>
      <c r="DU299" s="47"/>
      <c r="DV299" s="46">
        <f t="shared" si="217"/>
        <v>0</v>
      </c>
      <c r="DW299" s="47"/>
      <c r="DX299" s="47">
        <f t="shared" si="230"/>
        <v>0</v>
      </c>
      <c r="DY299" s="91"/>
      <c r="DZ299" s="47"/>
      <c r="EA299" s="47"/>
      <c r="EB299" s="47"/>
      <c r="EC299" s="47"/>
      <c r="ED299" s="47"/>
      <c r="EE299" s="47">
        <f t="shared" si="219"/>
        <v>0</v>
      </c>
      <c r="EF299" s="47"/>
      <c r="EG299" s="47"/>
      <c r="EH299" s="47"/>
      <c r="EI299" s="91"/>
      <c r="EJ299" s="47"/>
      <c r="EK299" s="47">
        <f t="shared" si="204"/>
        <v>0</v>
      </c>
      <c r="EL299" s="46">
        <f t="shared" si="205"/>
        <v>0</v>
      </c>
      <c r="EM299" s="46"/>
      <c r="EN299" s="46">
        <f t="shared" si="206"/>
        <v>0</v>
      </c>
    </row>
    <row r="300" spans="1:144" s="48" customFormat="1" ht="15" customHeight="1" x14ac:dyDescent="0.25">
      <c r="A300" s="58"/>
      <c r="B300" s="88">
        <v>47</v>
      </c>
      <c r="C300" s="42"/>
      <c r="D300" s="43"/>
      <c r="E300" s="42"/>
      <c r="F300" s="42"/>
      <c r="G300" s="49"/>
      <c r="H300" s="49"/>
      <c r="I300" s="49"/>
      <c r="J300" s="49"/>
      <c r="K300" s="49"/>
      <c r="L300" s="49"/>
      <c r="M300" s="42"/>
      <c r="N300" s="41"/>
      <c r="O300" s="41"/>
      <c r="P300" s="42"/>
      <c r="Q300" s="45"/>
      <c r="R300" s="45"/>
      <c r="S300" s="42"/>
      <c r="T300" s="46"/>
      <c r="U300" s="46"/>
      <c r="V300" s="46"/>
      <c r="W300" s="46"/>
      <c r="X300" s="46"/>
      <c r="Y300" s="46"/>
      <c r="Z300" s="42"/>
      <c r="AA300" s="42"/>
      <c r="AB300" s="42"/>
      <c r="AC300" s="42"/>
      <c r="AD300" s="42"/>
      <c r="AE300" s="42"/>
      <c r="AF300" s="42"/>
      <c r="AG300" s="42"/>
      <c r="AH300" s="42"/>
      <c r="AI300" s="46"/>
      <c r="AJ300" s="42"/>
      <c r="AK300" s="42"/>
      <c r="AL300" s="42"/>
      <c r="AM300" s="42"/>
      <c r="AN300" s="46">
        <f t="shared" si="200"/>
        <v>0</v>
      </c>
      <c r="AO300" s="46">
        <f t="shared" si="201"/>
        <v>0</v>
      </c>
      <c r="AP300" s="42" t="s">
        <v>111</v>
      </c>
      <c r="AQ300" s="46">
        <f t="shared" si="233"/>
        <v>0</v>
      </c>
      <c r="AR300" s="46"/>
      <c r="AS300" s="42"/>
      <c r="AT300" s="46"/>
      <c r="AU300" s="47">
        <f t="shared" si="223"/>
        <v>0</v>
      </c>
      <c r="AV300" s="47"/>
      <c r="AW300" s="64">
        <f t="shared" si="213"/>
        <v>0</v>
      </c>
      <c r="AX300" s="47" t="s">
        <v>113</v>
      </c>
      <c r="AY300" s="46">
        <f t="shared" si="235"/>
        <v>0</v>
      </c>
      <c r="AZ300" s="47"/>
      <c r="BA300" s="47"/>
      <c r="BB300" s="47"/>
      <c r="BC300" s="47">
        <f t="shared" si="222"/>
        <v>0</v>
      </c>
      <c r="BD300" s="47"/>
      <c r="BE300" s="47">
        <f t="shared" si="224"/>
        <v>0</v>
      </c>
      <c r="BF300" s="47"/>
      <c r="BG300" s="47"/>
      <c r="BH300" s="47"/>
      <c r="BI300" s="47"/>
      <c r="BJ300" s="47"/>
      <c r="BK300" s="46">
        <f t="shared" si="221"/>
        <v>0</v>
      </c>
      <c r="BL300" s="47"/>
      <c r="BM300" s="47">
        <f t="shared" si="214"/>
        <v>0</v>
      </c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6"/>
      <c r="CQ300" s="47"/>
      <c r="CR300" s="47">
        <f t="shared" si="231"/>
        <v>0</v>
      </c>
      <c r="CS300" s="47"/>
      <c r="CT300" s="47"/>
      <c r="CU300" s="47"/>
      <c r="CV300" s="47"/>
      <c r="CW300" s="47">
        <f t="shared" si="234"/>
        <v>0</v>
      </c>
      <c r="CX300" s="46"/>
      <c r="CY300" s="47">
        <f t="shared" si="210"/>
        <v>0</v>
      </c>
      <c r="CZ300" s="47"/>
      <c r="DA300" s="47"/>
      <c r="DB300" s="47"/>
      <c r="DC300" s="47"/>
      <c r="DD300" s="47"/>
      <c r="DE300" s="47"/>
      <c r="DF300" s="46">
        <f t="shared" si="215"/>
        <v>0</v>
      </c>
      <c r="DG300" s="47"/>
      <c r="DH300" s="46">
        <f t="shared" si="227"/>
        <v>0</v>
      </c>
      <c r="DI300" s="47"/>
      <c r="DJ300" s="47"/>
      <c r="DK300" s="47">
        <f t="shared" si="225"/>
        <v>0</v>
      </c>
      <c r="DL300" s="60">
        <f t="shared" si="202"/>
        <v>0</v>
      </c>
      <c r="DM300" s="94"/>
      <c r="DN300" s="46">
        <f t="shared" si="228"/>
        <v>0</v>
      </c>
      <c r="DO300" s="47"/>
      <c r="DP300" s="90">
        <f t="shared" si="229"/>
        <v>0</v>
      </c>
      <c r="DQ300" s="47"/>
      <c r="DR300" s="46">
        <f t="shared" si="232"/>
        <v>0</v>
      </c>
      <c r="DS300" s="47"/>
      <c r="DT300" s="46">
        <f t="shared" si="212"/>
        <v>0</v>
      </c>
      <c r="DU300" s="47"/>
      <c r="DV300" s="46">
        <f t="shared" si="217"/>
        <v>0</v>
      </c>
      <c r="DW300" s="47"/>
      <c r="DX300" s="47">
        <f t="shared" si="230"/>
        <v>0</v>
      </c>
      <c r="DY300" s="91"/>
      <c r="DZ300" s="47"/>
      <c r="EA300" s="47"/>
      <c r="EB300" s="47"/>
      <c r="EC300" s="47"/>
      <c r="ED300" s="47"/>
      <c r="EE300" s="47">
        <f t="shared" si="219"/>
        <v>0</v>
      </c>
      <c r="EF300" s="47"/>
      <c r="EG300" s="47"/>
      <c r="EH300" s="47"/>
      <c r="EI300" s="91"/>
      <c r="EJ300" s="47"/>
      <c r="EK300" s="47">
        <f t="shared" si="204"/>
        <v>0</v>
      </c>
      <c r="EL300" s="46">
        <f t="shared" si="205"/>
        <v>0</v>
      </c>
      <c r="EM300" s="46"/>
      <c r="EN300" s="46">
        <f t="shared" si="206"/>
        <v>0</v>
      </c>
    </row>
    <row r="301" spans="1:144" s="48" customFormat="1" ht="15" customHeight="1" x14ac:dyDescent="0.25">
      <c r="A301" s="58"/>
      <c r="B301" s="88">
        <v>48</v>
      </c>
      <c r="C301" s="42"/>
      <c r="D301" s="43"/>
      <c r="E301" s="42"/>
      <c r="F301" s="42"/>
      <c r="G301" s="49"/>
      <c r="H301" s="49"/>
      <c r="I301" s="49"/>
      <c r="J301" s="49"/>
      <c r="K301" s="49"/>
      <c r="L301" s="49"/>
      <c r="M301" s="42"/>
      <c r="N301" s="41"/>
      <c r="O301" s="41"/>
      <c r="P301" s="42"/>
      <c r="Q301" s="45"/>
      <c r="R301" s="45"/>
      <c r="S301" s="42"/>
      <c r="T301" s="46"/>
      <c r="U301" s="46"/>
      <c r="V301" s="46"/>
      <c r="W301" s="46"/>
      <c r="X301" s="46"/>
      <c r="Y301" s="46"/>
      <c r="Z301" s="42"/>
      <c r="AA301" s="42"/>
      <c r="AB301" s="42"/>
      <c r="AC301" s="42"/>
      <c r="AD301" s="42"/>
      <c r="AE301" s="42"/>
      <c r="AF301" s="42"/>
      <c r="AG301" s="42"/>
      <c r="AH301" s="42"/>
      <c r="AI301" s="46"/>
      <c r="AJ301" s="42"/>
      <c r="AK301" s="42"/>
      <c r="AL301" s="42"/>
      <c r="AM301" s="42"/>
      <c r="AN301" s="90">
        <f t="shared" si="200"/>
        <v>0</v>
      </c>
      <c r="AO301" s="90">
        <f t="shared" si="201"/>
        <v>0</v>
      </c>
      <c r="AP301" s="42" t="s">
        <v>102</v>
      </c>
      <c r="AQ301" s="46"/>
      <c r="AR301" s="46"/>
      <c r="AS301" s="42"/>
      <c r="AT301" s="46"/>
      <c r="AU301" s="64">
        <f t="shared" si="223"/>
        <v>0</v>
      </c>
      <c r="AV301" s="47"/>
      <c r="AW301" s="64">
        <f t="shared" si="213"/>
        <v>0</v>
      </c>
      <c r="AX301" s="47"/>
      <c r="AY301" s="46"/>
      <c r="AZ301" s="47"/>
      <c r="BA301" s="47"/>
      <c r="BB301" s="47"/>
      <c r="BC301" s="47">
        <f t="shared" si="222"/>
        <v>0</v>
      </c>
      <c r="BD301" s="47"/>
      <c r="BE301" s="47">
        <f t="shared" si="224"/>
        <v>0</v>
      </c>
      <c r="BF301" s="47"/>
      <c r="BG301" s="47"/>
      <c r="BH301" s="47"/>
      <c r="BI301" s="47"/>
      <c r="BJ301" s="47"/>
      <c r="BK301" s="46">
        <f t="shared" si="221"/>
        <v>0</v>
      </c>
      <c r="BL301" s="47"/>
      <c r="BM301" s="47">
        <f t="shared" si="214"/>
        <v>0</v>
      </c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6"/>
      <c r="CQ301" s="47"/>
      <c r="CR301" s="64">
        <f t="shared" si="231"/>
        <v>0</v>
      </c>
      <c r="CS301" s="47"/>
      <c r="CT301" s="47"/>
      <c r="CU301" s="47"/>
      <c r="CV301" s="47"/>
      <c r="CW301" s="47">
        <f t="shared" si="234"/>
        <v>0</v>
      </c>
      <c r="CX301" s="46"/>
      <c r="CY301" s="47">
        <f t="shared" si="210"/>
        <v>0</v>
      </c>
      <c r="CZ301" s="47"/>
      <c r="DA301" s="47"/>
      <c r="DB301" s="47"/>
      <c r="DC301" s="47"/>
      <c r="DD301" s="47"/>
      <c r="DE301" s="47"/>
      <c r="DF301" s="46">
        <f t="shared" si="215"/>
        <v>0</v>
      </c>
      <c r="DG301" s="47"/>
      <c r="DH301" s="46">
        <f t="shared" si="227"/>
        <v>0</v>
      </c>
      <c r="DI301" s="47"/>
      <c r="DJ301" s="47"/>
      <c r="DK301" s="64">
        <f t="shared" si="225"/>
        <v>0</v>
      </c>
      <c r="DL301" s="60">
        <f t="shared" si="202"/>
        <v>0</v>
      </c>
      <c r="DM301" s="94"/>
      <c r="DN301" s="46">
        <f t="shared" si="228"/>
        <v>0</v>
      </c>
      <c r="DO301" s="47"/>
      <c r="DP301" s="90">
        <f t="shared" si="229"/>
        <v>0</v>
      </c>
      <c r="DQ301" s="47"/>
      <c r="DR301" s="90">
        <f t="shared" si="232"/>
        <v>0</v>
      </c>
      <c r="DS301" s="47"/>
      <c r="DT301" s="46">
        <f t="shared" si="212"/>
        <v>0</v>
      </c>
      <c r="DU301" s="47"/>
      <c r="DV301" s="46">
        <f t="shared" si="217"/>
        <v>0</v>
      </c>
      <c r="DW301" s="47"/>
      <c r="DX301" s="64">
        <f t="shared" si="230"/>
        <v>0</v>
      </c>
      <c r="DY301" s="91"/>
      <c r="DZ301" s="47"/>
      <c r="EA301" s="47"/>
      <c r="EB301" s="47"/>
      <c r="EC301" s="47"/>
      <c r="ED301" s="47"/>
      <c r="EE301" s="47">
        <f t="shared" si="219"/>
        <v>0</v>
      </c>
      <c r="EF301" s="47"/>
      <c r="EG301" s="47"/>
      <c r="EH301" s="47"/>
      <c r="EI301" s="91"/>
      <c r="EJ301" s="47"/>
      <c r="EK301" s="47">
        <f t="shared" si="204"/>
        <v>0</v>
      </c>
      <c r="EL301" s="46">
        <f t="shared" si="205"/>
        <v>0</v>
      </c>
      <c r="EM301" s="46"/>
      <c r="EN301" s="46">
        <f t="shared" si="206"/>
        <v>0</v>
      </c>
    </row>
    <row r="302" spans="1:144" s="48" customFormat="1" ht="15" customHeight="1" x14ac:dyDescent="0.25">
      <c r="A302" s="58"/>
      <c r="B302" s="88">
        <v>49</v>
      </c>
      <c r="C302" s="42"/>
      <c r="D302" s="43"/>
      <c r="E302" s="42"/>
      <c r="F302" s="42"/>
      <c r="G302" s="49"/>
      <c r="H302" s="49"/>
      <c r="I302" s="49"/>
      <c r="J302" s="49"/>
      <c r="K302" s="49"/>
      <c r="L302" s="49"/>
      <c r="M302" s="42"/>
      <c r="N302" s="41"/>
      <c r="O302" s="41"/>
      <c r="P302" s="42"/>
      <c r="Q302" s="45"/>
      <c r="R302" s="45"/>
      <c r="S302" s="42"/>
      <c r="T302" s="46"/>
      <c r="U302" s="46"/>
      <c r="V302" s="46"/>
      <c r="W302" s="46"/>
      <c r="X302" s="46"/>
      <c r="Y302" s="46"/>
      <c r="Z302" s="42"/>
      <c r="AA302" s="42"/>
      <c r="AB302" s="42"/>
      <c r="AC302" s="42"/>
      <c r="AD302" s="42"/>
      <c r="AE302" s="42"/>
      <c r="AF302" s="42"/>
      <c r="AG302" s="42"/>
      <c r="AH302" s="42"/>
      <c r="AI302" s="46"/>
      <c r="AJ302" s="42"/>
      <c r="AK302" s="42"/>
      <c r="AL302" s="42"/>
      <c r="AM302" s="42"/>
      <c r="AN302" s="90">
        <f t="shared" si="200"/>
        <v>0</v>
      </c>
      <c r="AO302" s="90">
        <f t="shared" si="201"/>
        <v>0</v>
      </c>
      <c r="AP302" s="42" t="s">
        <v>111</v>
      </c>
      <c r="AQ302" s="46">
        <f>20%*AO302</f>
        <v>0</v>
      </c>
      <c r="AR302" s="46"/>
      <c r="AS302" s="42"/>
      <c r="AT302" s="46"/>
      <c r="AU302" s="64">
        <f t="shared" si="223"/>
        <v>0</v>
      </c>
      <c r="AV302" s="47"/>
      <c r="AW302" s="64">
        <f t="shared" si="213"/>
        <v>0</v>
      </c>
      <c r="AX302" s="47" t="s">
        <v>113</v>
      </c>
      <c r="AY302" s="90">
        <f>25%*AQ302</f>
        <v>0</v>
      </c>
      <c r="AZ302" s="47"/>
      <c r="BA302" s="47"/>
      <c r="BB302" s="47"/>
      <c r="BC302" s="47">
        <f t="shared" si="222"/>
        <v>0</v>
      </c>
      <c r="BD302" s="47"/>
      <c r="BE302" s="47">
        <f t="shared" si="224"/>
        <v>0</v>
      </c>
      <c r="BF302" s="47"/>
      <c r="BG302" s="47"/>
      <c r="BH302" s="47"/>
      <c r="BI302" s="47"/>
      <c r="BJ302" s="47"/>
      <c r="BK302" s="46">
        <f t="shared" si="221"/>
        <v>0</v>
      </c>
      <c r="BL302" s="47"/>
      <c r="BM302" s="47">
        <f t="shared" si="214"/>
        <v>0</v>
      </c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6"/>
      <c r="CQ302" s="47"/>
      <c r="CR302" s="64">
        <f t="shared" si="231"/>
        <v>0</v>
      </c>
      <c r="CS302" s="47"/>
      <c r="CT302" s="47"/>
      <c r="CU302" s="47"/>
      <c r="CV302" s="47"/>
      <c r="CW302" s="47">
        <f t="shared" si="234"/>
        <v>0</v>
      </c>
      <c r="CX302" s="46"/>
      <c r="CY302" s="47">
        <f t="shared" si="210"/>
        <v>0</v>
      </c>
      <c r="CZ302" s="47"/>
      <c r="DA302" s="47"/>
      <c r="DB302" s="47"/>
      <c r="DC302" s="47"/>
      <c r="DD302" s="47"/>
      <c r="DE302" s="47"/>
      <c r="DF302" s="46">
        <f t="shared" si="215"/>
        <v>0</v>
      </c>
      <c r="DG302" s="47"/>
      <c r="DH302" s="46">
        <f t="shared" si="227"/>
        <v>0</v>
      </c>
      <c r="DI302" s="47"/>
      <c r="DJ302" s="47"/>
      <c r="DK302" s="64">
        <f t="shared" si="225"/>
        <v>0</v>
      </c>
      <c r="DL302" s="60">
        <f t="shared" si="202"/>
        <v>0</v>
      </c>
      <c r="DM302" s="94"/>
      <c r="DN302" s="46">
        <f t="shared" si="228"/>
        <v>0</v>
      </c>
      <c r="DO302" s="47"/>
      <c r="DP302" s="90">
        <f t="shared" si="229"/>
        <v>0</v>
      </c>
      <c r="DQ302" s="47"/>
      <c r="DR302" s="90">
        <f t="shared" si="232"/>
        <v>0</v>
      </c>
      <c r="DS302" s="47"/>
      <c r="DT302" s="46">
        <f t="shared" si="212"/>
        <v>0</v>
      </c>
      <c r="DU302" s="47"/>
      <c r="DV302" s="46">
        <f t="shared" si="217"/>
        <v>0</v>
      </c>
      <c r="DW302" s="47"/>
      <c r="DX302" s="64">
        <f t="shared" si="230"/>
        <v>0</v>
      </c>
      <c r="DY302" s="91"/>
      <c r="DZ302" s="47"/>
      <c r="EA302" s="47"/>
      <c r="EB302" s="47"/>
      <c r="EC302" s="47"/>
      <c r="ED302" s="47"/>
      <c r="EE302" s="47">
        <f t="shared" si="219"/>
        <v>0</v>
      </c>
      <c r="EF302" s="47"/>
      <c r="EG302" s="47"/>
      <c r="EH302" s="47"/>
      <c r="EI302" s="91"/>
      <c r="EJ302" s="47"/>
      <c r="EK302" s="47">
        <f t="shared" si="204"/>
        <v>0</v>
      </c>
      <c r="EL302" s="46">
        <f t="shared" si="205"/>
        <v>0</v>
      </c>
      <c r="EM302" s="46"/>
      <c r="EN302" s="46">
        <f t="shared" si="206"/>
        <v>0</v>
      </c>
    </row>
    <row r="303" spans="1:144" s="48" customFormat="1" ht="15" customHeight="1" x14ac:dyDescent="0.25">
      <c r="A303" s="58"/>
      <c r="B303" s="41">
        <v>60</v>
      </c>
      <c r="C303" s="42"/>
      <c r="D303" s="43"/>
      <c r="E303" s="42"/>
      <c r="F303" s="42"/>
      <c r="G303" s="49"/>
      <c r="H303" s="49"/>
      <c r="I303" s="49"/>
      <c r="J303" s="49"/>
      <c r="K303" s="49"/>
      <c r="L303" s="49"/>
      <c r="M303" s="42"/>
      <c r="N303" s="41"/>
      <c r="O303" s="41"/>
      <c r="P303" s="42"/>
      <c r="Q303" s="45"/>
      <c r="R303" s="45"/>
      <c r="S303" s="42"/>
      <c r="T303" s="46"/>
      <c r="U303" s="46"/>
      <c r="V303" s="46"/>
      <c r="W303" s="46"/>
      <c r="X303" s="46"/>
      <c r="Y303" s="46"/>
      <c r="Z303" s="42"/>
      <c r="AA303" s="42"/>
      <c r="AB303" s="42"/>
      <c r="AC303" s="42"/>
      <c r="AD303" s="42"/>
      <c r="AE303" s="42"/>
      <c r="AF303" s="42"/>
      <c r="AG303" s="42"/>
      <c r="AH303" s="42"/>
      <c r="AI303" s="46"/>
      <c r="AJ303" s="42"/>
      <c r="AK303" s="42"/>
      <c r="AL303" s="42"/>
      <c r="AM303" s="42"/>
      <c r="AN303" s="46">
        <f t="shared" si="200"/>
        <v>0</v>
      </c>
      <c r="AO303" s="46">
        <f t="shared" si="201"/>
        <v>0</v>
      </c>
      <c r="AP303" s="42" t="s">
        <v>111</v>
      </c>
      <c r="AQ303" s="46">
        <f>20%*AO303</f>
        <v>0</v>
      </c>
      <c r="AR303" s="46"/>
      <c r="AS303" s="42"/>
      <c r="AT303" s="46"/>
      <c r="AU303" s="47">
        <f t="shared" si="223"/>
        <v>0</v>
      </c>
      <c r="AV303" s="47"/>
      <c r="AW303" s="47">
        <f t="shared" si="213"/>
        <v>0</v>
      </c>
      <c r="AX303" s="47" t="s">
        <v>113</v>
      </c>
      <c r="AY303" s="90">
        <f>25%*AQ303</f>
        <v>0</v>
      </c>
      <c r="AZ303" s="47"/>
      <c r="BA303" s="47"/>
      <c r="BB303" s="47"/>
      <c r="BC303" s="47">
        <f t="shared" si="222"/>
        <v>0</v>
      </c>
      <c r="BD303" s="47"/>
      <c r="BE303" s="47">
        <f t="shared" si="224"/>
        <v>0</v>
      </c>
      <c r="BF303" s="47"/>
      <c r="BG303" s="47"/>
      <c r="BH303" s="47"/>
      <c r="BI303" s="47"/>
      <c r="BJ303" s="47"/>
      <c r="BK303" s="46">
        <f t="shared" si="221"/>
        <v>0</v>
      </c>
      <c r="BL303" s="47"/>
      <c r="BM303" s="47">
        <f t="shared" si="214"/>
        <v>0</v>
      </c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6"/>
      <c r="CQ303" s="47"/>
      <c r="CR303" s="47">
        <f t="shared" si="231"/>
        <v>0</v>
      </c>
      <c r="CS303" s="47"/>
      <c r="CT303" s="47"/>
      <c r="CU303" s="47"/>
      <c r="CV303" s="47"/>
      <c r="CW303" s="47"/>
      <c r="CX303" s="46"/>
      <c r="CY303" s="47">
        <f t="shared" si="210"/>
        <v>0</v>
      </c>
      <c r="CZ303" s="47"/>
      <c r="DA303" s="47"/>
      <c r="DB303" s="47"/>
      <c r="DC303" s="47"/>
      <c r="DD303" s="47"/>
      <c r="DE303" s="47"/>
      <c r="DF303" s="46">
        <f t="shared" si="215"/>
        <v>0</v>
      </c>
      <c r="DG303" s="47"/>
      <c r="DH303" s="46">
        <f t="shared" si="227"/>
        <v>0</v>
      </c>
      <c r="DI303" s="47"/>
      <c r="DJ303" s="47"/>
      <c r="DK303" s="47">
        <f t="shared" si="225"/>
        <v>0</v>
      </c>
      <c r="DL303" s="60">
        <f t="shared" si="202"/>
        <v>0</v>
      </c>
      <c r="DM303" s="94"/>
      <c r="DN303" s="46">
        <f t="shared" si="228"/>
        <v>0</v>
      </c>
      <c r="DO303" s="47"/>
      <c r="DP303" s="46">
        <f t="shared" si="229"/>
        <v>0</v>
      </c>
      <c r="DQ303" s="47"/>
      <c r="DR303" s="46">
        <f t="shared" si="232"/>
        <v>0</v>
      </c>
      <c r="DS303" s="47"/>
      <c r="DT303" s="46">
        <f t="shared" si="212"/>
        <v>0</v>
      </c>
      <c r="DU303" s="47"/>
      <c r="DV303" s="46">
        <f t="shared" si="217"/>
        <v>0</v>
      </c>
      <c r="DW303" s="47"/>
      <c r="DX303" s="47">
        <f t="shared" si="230"/>
        <v>0</v>
      </c>
      <c r="DY303" s="91"/>
      <c r="DZ303" s="47"/>
      <c r="EA303" s="47"/>
      <c r="EB303" s="47"/>
      <c r="EC303" s="47"/>
      <c r="ED303" s="47"/>
      <c r="EE303" s="47">
        <f t="shared" si="219"/>
        <v>0</v>
      </c>
      <c r="EF303" s="47"/>
      <c r="EG303" s="47"/>
      <c r="EH303" s="47"/>
      <c r="EI303" s="91"/>
      <c r="EJ303" s="47"/>
      <c r="EK303" s="47">
        <f t="shared" si="204"/>
        <v>0</v>
      </c>
      <c r="EL303" s="46">
        <f t="shared" si="205"/>
        <v>0</v>
      </c>
      <c r="EM303" s="46"/>
      <c r="EN303" s="46">
        <f t="shared" si="206"/>
        <v>0</v>
      </c>
    </row>
    <row r="304" spans="1:144" s="48" customFormat="1" ht="15" customHeight="1" x14ac:dyDescent="0.25">
      <c r="A304" s="58"/>
      <c r="B304" s="88">
        <v>61</v>
      </c>
      <c r="C304" s="42"/>
      <c r="D304" s="43"/>
      <c r="E304" s="42"/>
      <c r="F304" s="42"/>
      <c r="G304" s="49"/>
      <c r="H304" s="49"/>
      <c r="I304" s="49"/>
      <c r="J304" s="49"/>
      <c r="K304" s="49"/>
      <c r="L304" s="49"/>
      <c r="M304" s="42"/>
      <c r="N304" s="41"/>
      <c r="O304" s="41"/>
      <c r="P304" s="42"/>
      <c r="Q304" s="45"/>
      <c r="R304" s="45"/>
      <c r="S304" s="42"/>
      <c r="T304" s="46"/>
      <c r="U304" s="46"/>
      <c r="V304" s="46"/>
      <c r="W304" s="46"/>
      <c r="X304" s="46"/>
      <c r="Y304" s="46"/>
      <c r="Z304" s="42"/>
      <c r="AA304" s="42"/>
      <c r="AB304" s="42"/>
      <c r="AC304" s="42"/>
      <c r="AD304" s="42"/>
      <c r="AE304" s="42"/>
      <c r="AF304" s="42"/>
      <c r="AG304" s="42"/>
      <c r="AH304" s="42"/>
      <c r="AI304" s="46"/>
      <c r="AJ304" s="42"/>
      <c r="AK304" s="42"/>
      <c r="AL304" s="42"/>
      <c r="AM304" s="42"/>
      <c r="AN304" s="90">
        <f t="shared" si="200"/>
        <v>0</v>
      </c>
      <c r="AO304" s="90">
        <f t="shared" si="201"/>
        <v>0</v>
      </c>
      <c r="AP304" s="42" t="s">
        <v>111</v>
      </c>
      <c r="AQ304" s="46">
        <f>20%*AO304</f>
        <v>0</v>
      </c>
      <c r="AR304" s="46"/>
      <c r="AS304" s="42"/>
      <c r="AT304" s="46"/>
      <c r="AU304" s="64">
        <f t="shared" si="223"/>
        <v>0</v>
      </c>
      <c r="AV304" s="47"/>
      <c r="AW304" s="64">
        <f t="shared" si="213"/>
        <v>0</v>
      </c>
      <c r="AX304" s="47" t="s">
        <v>113</v>
      </c>
      <c r="AY304" s="90">
        <f>25%*AQ304</f>
        <v>0</v>
      </c>
      <c r="AZ304" s="47"/>
      <c r="BA304" s="47"/>
      <c r="BB304" s="47"/>
      <c r="BC304" s="47">
        <f t="shared" si="222"/>
        <v>0</v>
      </c>
      <c r="BD304" s="47"/>
      <c r="BE304" s="47">
        <f t="shared" si="224"/>
        <v>0</v>
      </c>
      <c r="BF304" s="47"/>
      <c r="BG304" s="47"/>
      <c r="BH304" s="47"/>
      <c r="BI304" s="47"/>
      <c r="BJ304" s="47"/>
      <c r="BK304" s="46">
        <f t="shared" si="221"/>
        <v>0</v>
      </c>
      <c r="BL304" s="47"/>
      <c r="BM304" s="47">
        <f t="shared" si="214"/>
        <v>0</v>
      </c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6"/>
      <c r="CQ304" s="47"/>
      <c r="CR304" s="47">
        <f t="shared" si="231"/>
        <v>0</v>
      </c>
      <c r="CS304" s="47"/>
      <c r="CT304" s="47"/>
      <c r="CU304" s="47"/>
      <c r="CV304" s="47"/>
      <c r="CW304" s="47"/>
      <c r="CX304" s="46"/>
      <c r="CY304" s="47">
        <f t="shared" si="210"/>
        <v>0</v>
      </c>
      <c r="CZ304" s="47"/>
      <c r="DA304" s="47"/>
      <c r="DB304" s="47"/>
      <c r="DC304" s="47"/>
      <c r="DD304" s="47"/>
      <c r="DE304" s="47"/>
      <c r="DF304" s="46">
        <f t="shared" si="215"/>
        <v>0</v>
      </c>
      <c r="DG304" s="47"/>
      <c r="DH304" s="46">
        <f t="shared" si="227"/>
        <v>0</v>
      </c>
      <c r="DI304" s="47"/>
      <c r="DJ304" s="47"/>
      <c r="DK304" s="64">
        <f t="shared" si="225"/>
        <v>0</v>
      </c>
      <c r="DL304" s="60">
        <f t="shared" si="202"/>
        <v>0</v>
      </c>
      <c r="DM304" s="94"/>
      <c r="DN304" s="46">
        <f t="shared" si="228"/>
        <v>0</v>
      </c>
      <c r="DO304" s="47"/>
      <c r="DP304" s="90">
        <f t="shared" si="229"/>
        <v>0</v>
      </c>
      <c r="DQ304" s="47"/>
      <c r="DR304" s="46">
        <f t="shared" si="232"/>
        <v>0</v>
      </c>
      <c r="DS304" s="47"/>
      <c r="DT304" s="46">
        <f t="shared" si="212"/>
        <v>0</v>
      </c>
      <c r="DU304" s="47"/>
      <c r="DV304" s="46">
        <f t="shared" si="217"/>
        <v>0</v>
      </c>
      <c r="DW304" s="47"/>
      <c r="DX304" s="47">
        <f t="shared" si="230"/>
        <v>0</v>
      </c>
      <c r="DY304" s="91"/>
      <c r="DZ304" s="47"/>
      <c r="EA304" s="47"/>
      <c r="EB304" s="47"/>
      <c r="EC304" s="47"/>
      <c r="ED304" s="47"/>
      <c r="EE304" s="47">
        <f t="shared" si="219"/>
        <v>0</v>
      </c>
      <c r="EF304" s="47"/>
      <c r="EG304" s="47"/>
      <c r="EH304" s="47"/>
      <c r="EI304" s="91"/>
      <c r="EJ304" s="47"/>
      <c r="EK304" s="47">
        <f t="shared" si="204"/>
        <v>0</v>
      </c>
      <c r="EL304" s="46">
        <f t="shared" si="205"/>
        <v>0</v>
      </c>
      <c r="EM304" s="46"/>
      <c r="EN304" s="46">
        <f t="shared" si="206"/>
        <v>0</v>
      </c>
    </row>
    <row r="305" spans="1:145" s="48" customFormat="1" ht="15" customHeight="1" x14ac:dyDescent="0.25">
      <c r="A305" s="58"/>
      <c r="B305" s="88">
        <v>62</v>
      </c>
      <c r="C305" s="42"/>
      <c r="D305" s="43"/>
      <c r="E305" s="42"/>
      <c r="F305" s="42"/>
      <c r="G305" s="49"/>
      <c r="H305" s="49"/>
      <c r="I305" s="49"/>
      <c r="J305" s="49"/>
      <c r="K305" s="49"/>
      <c r="L305" s="49"/>
      <c r="M305" s="42"/>
      <c r="N305" s="41"/>
      <c r="O305" s="41"/>
      <c r="P305" s="42"/>
      <c r="Q305" s="45"/>
      <c r="R305" s="45"/>
      <c r="S305" s="42"/>
      <c r="T305" s="46"/>
      <c r="U305" s="46"/>
      <c r="V305" s="46"/>
      <c r="W305" s="46"/>
      <c r="X305" s="46"/>
      <c r="Y305" s="46"/>
      <c r="Z305" s="42"/>
      <c r="AA305" s="42"/>
      <c r="AB305" s="42"/>
      <c r="AC305" s="42"/>
      <c r="AD305" s="42"/>
      <c r="AE305" s="42"/>
      <c r="AF305" s="42"/>
      <c r="AG305" s="42"/>
      <c r="AH305" s="42"/>
      <c r="AI305" s="46"/>
      <c r="AJ305" s="42"/>
      <c r="AK305" s="42"/>
      <c r="AL305" s="42"/>
      <c r="AM305" s="42"/>
      <c r="AN305" s="90">
        <f t="shared" si="200"/>
        <v>0</v>
      </c>
      <c r="AO305" s="90">
        <f t="shared" si="201"/>
        <v>0</v>
      </c>
      <c r="AP305" s="42" t="s">
        <v>111</v>
      </c>
      <c r="AQ305" s="46">
        <f>20%*AO305</f>
        <v>0</v>
      </c>
      <c r="AR305" s="46"/>
      <c r="AS305" s="42"/>
      <c r="AT305" s="46"/>
      <c r="AU305" s="64">
        <f t="shared" si="223"/>
        <v>0</v>
      </c>
      <c r="AV305" s="47"/>
      <c r="AW305" s="64">
        <f t="shared" si="213"/>
        <v>0</v>
      </c>
      <c r="AX305" s="47" t="s">
        <v>113</v>
      </c>
      <c r="AY305" s="90">
        <f>25%*AQ305</f>
        <v>0</v>
      </c>
      <c r="AZ305" s="47"/>
      <c r="BA305" s="47"/>
      <c r="BB305" s="47"/>
      <c r="BC305" s="47">
        <f t="shared" si="222"/>
        <v>0</v>
      </c>
      <c r="BD305" s="47"/>
      <c r="BE305" s="47">
        <f t="shared" si="224"/>
        <v>0</v>
      </c>
      <c r="BF305" s="47"/>
      <c r="BG305" s="47"/>
      <c r="BH305" s="47"/>
      <c r="BI305" s="47"/>
      <c r="BJ305" s="47"/>
      <c r="BK305" s="46">
        <f t="shared" si="221"/>
        <v>0</v>
      </c>
      <c r="BL305" s="47"/>
      <c r="BM305" s="47">
        <f t="shared" si="214"/>
        <v>0</v>
      </c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6"/>
      <c r="CQ305" s="47"/>
      <c r="CR305" s="47">
        <f t="shared" si="231"/>
        <v>0</v>
      </c>
      <c r="CS305" s="47"/>
      <c r="CT305" s="47"/>
      <c r="CU305" s="47"/>
      <c r="CV305" s="47"/>
      <c r="CW305" s="47"/>
      <c r="CX305" s="46"/>
      <c r="CY305" s="47">
        <f t="shared" si="210"/>
        <v>0</v>
      </c>
      <c r="CZ305" s="47"/>
      <c r="DA305" s="47"/>
      <c r="DB305" s="47"/>
      <c r="DC305" s="47"/>
      <c r="DD305" s="47"/>
      <c r="DE305" s="47"/>
      <c r="DF305" s="46">
        <f t="shared" si="215"/>
        <v>0</v>
      </c>
      <c r="DG305" s="47"/>
      <c r="DH305" s="46">
        <f t="shared" si="227"/>
        <v>0</v>
      </c>
      <c r="DI305" s="47"/>
      <c r="DJ305" s="47"/>
      <c r="DK305" s="64">
        <f t="shared" si="225"/>
        <v>0</v>
      </c>
      <c r="DL305" s="60">
        <f t="shared" si="202"/>
        <v>0</v>
      </c>
      <c r="DM305" s="94"/>
      <c r="DN305" s="46">
        <f t="shared" si="228"/>
        <v>0</v>
      </c>
      <c r="DO305" s="47"/>
      <c r="DP305" s="90">
        <f t="shared" si="229"/>
        <v>0</v>
      </c>
      <c r="DQ305" s="47"/>
      <c r="DR305" s="46">
        <f t="shared" si="232"/>
        <v>0</v>
      </c>
      <c r="DS305" s="47"/>
      <c r="DT305" s="46">
        <f t="shared" si="212"/>
        <v>0</v>
      </c>
      <c r="DU305" s="47"/>
      <c r="DV305" s="46">
        <f t="shared" si="217"/>
        <v>0</v>
      </c>
      <c r="DW305" s="47"/>
      <c r="DX305" s="47">
        <f t="shared" si="230"/>
        <v>0</v>
      </c>
      <c r="DY305" s="91"/>
      <c r="DZ305" s="47"/>
      <c r="EA305" s="47"/>
      <c r="EB305" s="47"/>
      <c r="EC305" s="47"/>
      <c r="ED305" s="47"/>
      <c r="EE305" s="47">
        <f t="shared" si="219"/>
        <v>0</v>
      </c>
      <c r="EF305" s="47"/>
      <c r="EG305" s="47"/>
      <c r="EH305" s="47"/>
      <c r="EI305" s="91"/>
      <c r="EJ305" s="47"/>
      <c r="EK305" s="47">
        <f t="shared" si="204"/>
        <v>0</v>
      </c>
      <c r="EL305" s="46">
        <f t="shared" si="205"/>
        <v>0</v>
      </c>
      <c r="EM305" s="46"/>
      <c r="EN305" s="46">
        <f t="shared" si="206"/>
        <v>0</v>
      </c>
    </row>
    <row r="306" spans="1:145" s="48" customFormat="1" ht="15" customHeight="1" x14ac:dyDescent="0.25">
      <c r="A306" s="58"/>
      <c r="B306" s="88">
        <v>52</v>
      </c>
      <c r="C306" s="42"/>
      <c r="D306" s="43"/>
      <c r="E306" s="42"/>
      <c r="F306" s="42"/>
      <c r="G306" s="49"/>
      <c r="H306" s="49"/>
      <c r="I306" s="49"/>
      <c r="J306" s="49"/>
      <c r="K306" s="49"/>
      <c r="L306" s="49"/>
      <c r="M306" s="42"/>
      <c r="N306" s="41"/>
      <c r="O306" s="41"/>
      <c r="P306" s="42"/>
      <c r="Q306" s="45"/>
      <c r="R306" s="45"/>
      <c r="S306" s="42"/>
      <c r="T306" s="46"/>
      <c r="U306" s="46"/>
      <c r="V306" s="46"/>
      <c r="W306" s="46"/>
      <c r="X306" s="46"/>
      <c r="Y306" s="46"/>
      <c r="Z306" s="42"/>
      <c r="AA306" s="42"/>
      <c r="AB306" s="42"/>
      <c r="AC306" s="42"/>
      <c r="AD306" s="42"/>
      <c r="AE306" s="42"/>
      <c r="AF306" s="42"/>
      <c r="AG306" s="42"/>
      <c r="AH306" s="42"/>
      <c r="AI306" s="46"/>
      <c r="AJ306" s="42"/>
      <c r="AK306" s="42"/>
      <c r="AL306" s="42"/>
      <c r="AM306" s="42"/>
      <c r="AN306" s="90">
        <f t="shared" si="200"/>
        <v>0</v>
      </c>
      <c r="AO306" s="90">
        <f t="shared" si="201"/>
        <v>0</v>
      </c>
      <c r="AP306" s="42" t="s">
        <v>114</v>
      </c>
      <c r="AQ306" s="46">
        <f>20%*AO306</f>
        <v>0</v>
      </c>
      <c r="AR306" s="46"/>
      <c r="AS306" s="42"/>
      <c r="AT306" s="46"/>
      <c r="AU306" s="64">
        <f t="shared" si="223"/>
        <v>0</v>
      </c>
      <c r="AV306" s="47"/>
      <c r="AW306" s="64">
        <f t="shared" si="213"/>
        <v>0</v>
      </c>
      <c r="AX306" s="47"/>
      <c r="AY306" s="90"/>
      <c r="AZ306" s="47"/>
      <c r="BA306" s="47"/>
      <c r="BB306" s="47"/>
      <c r="BC306" s="47">
        <f t="shared" si="222"/>
        <v>0</v>
      </c>
      <c r="BD306" s="47"/>
      <c r="BE306" s="47">
        <f t="shared" si="224"/>
        <v>0</v>
      </c>
      <c r="BF306" s="47"/>
      <c r="BG306" s="47"/>
      <c r="BH306" s="47"/>
      <c r="BI306" s="47"/>
      <c r="BJ306" s="47"/>
      <c r="BK306" s="46">
        <f t="shared" si="221"/>
        <v>0</v>
      </c>
      <c r="BL306" s="47"/>
      <c r="BM306" s="47">
        <f t="shared" si="214"/>
        <v>0</v>
      </c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6"/>
      <c r="CQ306" s="47"/>
      <c r="CR306" s="64">
        <f t="shared" si="231"/>
        <v>0</v>
      </c>
      <c r="CS306" s="47"/>
      <c r="CT306" s="47"/>
      <c r="CU306" s="47"/>
      <c r="CV306" s="47"/>
      <c r="CW306" s="47">
        <f>CU306*CV306</f>
        <v>0</v>
      </c>
      <c r="CX306" s="46"/>
      <c r="CY306" s="47">
        <f t="shared" si="210"/>
        <v>0</v>
      </c>
      <c r="CZ306" s="47"/>
      <c r="DA306" s="47"/>
      <c r="DB306" s="47"/>
      <c r="DC306" s="47"/>
      <c r="DD306" s="47"/>
      <c r="DE306" s="47"/>
      <c r="DF306" s="46">
        <f t="shared" si="215"/>
        <v>0</v>
      </c>
      <c r="DG306" s="47"/>
      <c r="DH306" s="46">
        <f t="shared" si="227"/>
        <v>0</v>
      </c>
      <c r="DI306" s="47"/>
      <c r="DJ306" s="47"/>
      <c r="DK306" s="64">
        <f t="shared" si="225"/>
        <v>0</v>
      </c>
      <c r="DL306" s="60">
        <f t="shared" si="202"/>
        <v>0</v>
      </c>
      <c r="DM306" s="94"/>
      <c r="DN306" s="46">
        <f t="shared" si="228"/>
        <v>0</v>
      </c>
      <c r="DO306" s="47"/>
      <c r="DP306" s="90"/>
      <c r="DQ306" s="47"/>
      <c r="DR306" s="90">
        <f t="shared" si="232"/>
        <v>0</v>
      </c>
      <c r="DS306" s="47"/>
      <c r="DT306" s="46">
        <f t="shared" si="212"/>
        <v>0</v>
      </c>
      <c r="DU306" s="47"/>
      <c r="DV306" s="46">
        <f t="shared" si="217"/>
        <v>0</v>
      </c>
      <c r="DW306" s="47"/>
      <c r="DX306" s="64">
        <f t="shared" si="230"/>
        <v>0</v>
      </c>
      <c r="DY306" s="91"/>
      <c r="DZ306" s="47"/>
      <c r="EA306" s="47"/>
      <c r="EB306" s="47"/>
      <c r="EC306" s="47"/>
      <c r="ED306" s="47"/>
      <c r="EE306" s="47">
        <f t="shared" si="219"/>
        <v>0</v>
      </c>
      <c r="EF306" s="47"/>
      <c r="EG306" s="47"/>
      <c r="EH306" s="47"/>
      <c r="EI306" s="91"/>
      <c r="EJ306" s="47"/>
      <c r="EK306" s="47">
        <f t="shared" si="204"/>
        <v>0</v>
      </c>
      <c r="EL306" s="46">
        <f t="shared" si="205"/>
        <v>0</v>
      </c>
      <c r="EM306" s="46"/>
      <c r="EN306" s="46">
        <f t="shared" si="206"/>
        <v>0</v>
      </c>
    </row>
    <row r="307" spans="1:145" s="48" customFormat="1" ht="15" customHeight="1" x14ac:dyDescent="0.25">
      <c r="A307" s="58"/>
      <c r="B307" s="88">
        <v>55</v>
      </c>
      <c r="C307" s="42"/>
      <c r="D307" s="43"/>
      <c r="E307" s="42"/>
      <c r="F307" s="42"/>
      <c r="G307" s="49"/>
      <c r="H307" s="49"/>
      <c r="I307" s="49"/>
      <c r="J307" s="49"/>
      <c r="K307" s="49"/>
      <c r="L307" s="49"/>
      <c r="M307" s="42"/>
      <c r="N307" s="41"/>
      <c r="O307" s="41"/>
      <c r="P307" s="42"/>
      <c r="Q307" s="45"/>
      <c r="R307" s="45"/>
      <c r="S307" s="42"/>
      <c r="T307" s="46"/>
      <c r="U307" s="46"/>
      <c r="V307" s="46"/>
      <c r="W307" s="46"/>
      <c r="X307" s="46"/>
      <c r="Y307" s="46"/>
      <c r="Z307" s="42"/>
      <c r="AA307" s="42"/>
      <c r="AB307" s="42"/>
      <c r="AC307" s="42"/>
      <c r="AD307" s="42"/>
      <c r="AE307" s="42"/>
      <c r="AF307" s="42"/>
      <c r="AG307" s="42"/>
      <c r="AH307" s="42"/>
      <c r="AI307" s="46"/>
      <c r="AJ307" s="42"/>
      <c r="AK307" s="42"/>
      <c r="AL307" s="42"/>
      <c r="AM307" s="42"/>
      <c r="AN307" s="90">
        <f t="shared" si="200"/>
        <v>0</v>
      </c>
      <c r="AO307" s="90">
        <f t="shared" si="201"/>
        <v>0</v>
      </c>
      <c r="AP307" s="42" t="s">
        <v>102</v>
      </c>
      <c r="AQ307" s="46"/>
      <c r="AR307" s="46"/>
      <c r="AS307" s="42"/>
      <c r="AT307" s="46"/>
      <c r="AU307" s="64">
        <f t="shared" si="223"/>
        <v>0</v>
      </c>
      <c r="AV307" s="47"/>
      <c r="AW307" s="64">
        <f t="shared" si="213"/>
        <v>0</v>
      </c>
      <c r="AX307" s="47" t="s">
        <v>113</v>
      </c>
      <c r="AY307" s="46">
        <f>25%*AQ307</f>
        <v>0</v>
      </c>
      <c r="AZ307" s="47"/>
      <c r="BA307" s="47"/>
      <c r="BB307" s="47"/>
      <c r="BC307" s="47">
        <f t="shared" si="222"/>
        <v>0</v>
      </c>
      <c r="BD307" s="47"/>
      <c r="BE307" s="47">
        <f t="shared" si="224"/>
        <v>0</v>
      </c>
      <c r="BF307" s="47"/>
      <c r="BG307" s="47"/>
      <c r="BH307" s="47"/>
      <c r="BI307" s="47"/>
      <c r="BJ307" s="47"/>
      <c r="BK307" s="46">
        <f t="shared" si="221"/>
        <v>0</v>
      </c>
      <c r="BL307" s="47"/>
      <c r="BM307" s="47">
        <f t="shared" si="214"/>
        <v>0</v>
      </c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6"/>
      <c r="CQ307" s="47"/>
      <c r="CR307" s="47">
        <f t="shared" si="231"/>
        <v>0</v>
      </c>
      <c r="CS307" s="47"/>
      <c r="CT307" s="47"/>
      <c r="CU307" s="47"/>
      <c r="CV307" s="47"/>
      <c r="CW307" s="47">
        <f>CU307*CV307</f>
        <v>0</v>
      </c>
      <c r="CX307" s="46"/>
      <c r="CY307" s="47">
        <f t="shared" si="210"/>
        <v>0</v>
      </c>
      <c r="CZ307" s="47"/>
      <c r="DA307" s="47"/>
      <c r="DB307" s="47"/>
      <c r="DC307" s="47"/>
      <c r="DD307" s="47"/>
      <c r="DE307" s="47"/>
      <c r="DF307" s="46">
        <f t="shared" si="215"/>
        <v>0</v>
      </c>
      <c r="DG307" s="47"/>
      <c r="DH307" s="46">
        <f t="shared" si="227"/>
        <v>0</v>
      </c>
      <c r="DI307" s="47"/>
      <c r="DJ307" s="47"/>
      <c r="DK307" s="64">
        <f t="shared" si="225"/>
        <v>0</v>
      </c>
      <c r="DL307" s="60">
        <f t="shared" si="202"/>
        <v>0</v>
      </c>
      <c r="DM307" s="94"/>
      <c r="DN307" s="46">
        <f t="shared" si="228"/>
        <v>0</v>
      </c>
      <c r="DO307" s="47"/>
      <c r="DP307" s="90">
        <f>10%*AQ307</f>
        <v>0</v>
      </c>
      <c r="DQ307" s="47"/>
      <c r="DR307" s="46">
        <f t="shared" si="232"/>
        <v>0</v>
      </c>
      <c r="DS307" s="47"/>
      <c r="DT307" s="46">
        <f t="shared" si="212"/>
        <v>0</v>
      </c>
      <c r="DU307" s="47"/>
      <c r="DV307" s="46">
        <f t="shared" si="217"/>
        <v>0</v>
      </c>
      <c r="DW307" s="47"/>
      <c r="DX307" s="47">
        <f t="shared" si="230"/>
        <v>0</v>
      </c>
      <c r="DY307" s="91"/>
      <c r="DZ307" s="47"/>
      <c r="EA307" s="47"/>
      <c r="EB307" s="47"/>
      <c r="EC307" s="47"/>
      <c r="ED307" s="47"/>
      <c r="EE307" s="47">
        <f t="shared" si="219"/>
        <v>0</v>
      </c>
      <c r="EF307" s="47"/>
      <c r="EG307" s="47"/>
      <c r="EH307" s="47"/>
      <c r="EI307" s="91"/>
      <c r="EJ307" s="47"/>
      <c r="EK307" s="47">
        <f t="shared" si="204"/>
        <v>0</v>
      </c>
      <c r="EL307" s="46">
        <f t="shared" si="205"/>
        <v>0</v>
      </c>
      <c r="EM307" s="46"/>
      <c r="EN307" s="46">
        <f t="shared" si="206"/>
        <v>0</v>
      </c>
    </row>
    <row r="308" spans="1:145" s="48" customFormat="1" ht="15" customHeight="1" x14ac:dyDescent="0.25">
      <c r="A308" s="58"/>
      <c r="B308" s="88">
        <v>57</v>
      </c>
      <c r="C308" s="42"/>
      <c r="D308" s="43"/>
      <c r="E308" s="42"/>
      <c r="F308" s="42"/>
      <c r="G308" s="49"/>
      <c r="H308" s="49"/>
      <c r="I308" s="49"/>
      <c r="J308" s="49"/>
      <c r="K308" s="49"/>
      <c r="L308" s="49"/>
      <c r="M308" s="42"/>
      <c r="N308" s="41"/>
      <c r="O308" s="41"/>
      <c r="P308" s="42"/>
      <c r="Q308" s="45"/>
      <c r="R308" s="45"/>
      <c r="S308" s="42"/>
      <c r="T308" s="46"/>
      <c r="U308" s="46"/>
      <c r="V308" s="46"/>
      <c r="W308" s="46"/>
      <c r="X308" s="46"/>
      <c r="Y308" s="46"/>
      <c r="Z308" s="42"/>
      <c r="AA308" s="42"/>
      <c r="AB308" s="42"/>
      <c r="AC308" s="42"/>
      <c r="AD308" s="42"/>
      <c r="AE308" s="42"/>
      <c r="AF308" s="42"/>
      <c r="AG308" s="42"/>
      <c r="AH308" s="42"/>
      <c r="AI308" s="46"/>
      <c r="AJ308" s="42"/>
      <c r="AK308" s="42"/>
      <c r="AL308" s="42"/>
      <c r="AM308" s="42"/>
      <c r="AN308" s="90">
        <f t="shared" si="200"/>
        <v>0</v>
      </c>
      <c r="AO308" s="90">
        <f t="shared" si="201"/>
        <v>0</v>
      </c>
      <c r="AP308" s="42" t="s">
        <v>116</v>
      </c>
      <c r="AQ308" s="46">
        <f t="shared" ref="AQ308:AQ320" si="236">20%*AO308</f>
        <v>0</v>
      </c>
      <c r="AR308" s="46"/>
      <c r="AS308" s="42"/>
      <c r="AT308" s="46"/>
      <c r="AU308" s="64">
        <f t="shared" si="223"/>
        <v>0</v>
      </c>
      <c r="AV308" s="47"/>
      <c r="AW308" s="64">
        <f t="shared" si="213"/>
        <v>0</v>
      </c>
      <c r="AX308" s="47" t="s">
        <v>113</v>
      </c>
      <c r="AY308" s="46">
        <f>25%*AQ308</f>
        <v>0</v>
      </c>
      <c r="AZ308" s="47"/>
      <c r="BA308" s="47"/>
      <c r="BB308" s="47"/>
      <c r="BC308" s="47">
        <f t="shared" si="222"/>
        <v>0</v>
      </c>
      <c r="BD308" s="47"/>
      <c r="BE308" s="47">
        <f t="shared" si="224"/>
        <v>0</v>
      </c>
      <c r="BF308" s="47"/>
      <c r="BG308" s="47"/>
      <c r="BH308" s="47"/>
      <c r="BI308" s="47"/>
      <c r="BJ308" s="47"/>
      <c r="BK308" s="46">
        <f t="shared" si="221"/>
        <v>0</v>
      </c>
      <c r="BL308" s="47"/>
      <c r="BM308" s="47">
        <f t="shared" si="214"/>
        <v>0</v>
      </c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6"/>
      <c r="CQ308" s="47"/>
      <c r="CR308" s="47">
        <f t="shared" si="231"/>
        <v>0</v>
      </c>
      <c r="CS308" s="47"/>
      <c r="CT308" s="47"/>
      <c r="CU308" s="47"/>
      <c r="CV308" s="47"/>
      <c r="CW308" s="47"/>
      <c r="CX308" s="46"/>
      <c r="CY308" s="47">
        <f t="shared" si="210"/>
        <v>0</v>
      </c>
      <c r="CZ308" s="47"/>
      <c r="DA308" s="47"/>
      <c r="DB308" s="47"/>
      <c r="DC308" s="47"/>
      <c r="DD308" s="47"/>
      <c r="DE308" s="47"/>
      <c r="DF308" s="46">
        <f t="shared" si="215"/>
        <v>0</v>
      </c>
      <c r="DG308" s="47"/>
      <c r="DH308" s="46">
        <f t="shared" si="227"/>
        <v>0</v>
      </c>
      <c r="DI308" s="47"/>
      <c r="DJ308" s="47"/>
      <c r="DK308" s="64">
        <f t="shared" si="225"/>
        <v>0</v>
      </c>
      <c r="DL308" s="60">
        <f t="shared" si="202"/>
        <v>0</v>
      </c>
      <c r="DM308" s="94"/>
      <c r="DN308" s="46">
        <f t="shared" si="228"/>
        <v>0</v>
      </c>
      <c r="DO308" s="47"/>
      <c r="DP308" s="90">
        <f>10%*AQ308</f>
        <v>0</v>
      </c>
      <c r="DQ308" s="47"/>
      <c r="DR308" s="46">
        <f t="shared" si="232"/>
        <v>0</v>
      </c>
      <c r="DS308" s="47"/>
      <c r="DT308" s="46">
        <f t="shared" si="212"/>
        <v>0</v>
      </c>
      <c r="DU308" s="47"/>
      <c r="DV308" s="46">
        <f t="shared" si="217"/>
        <v>0</v>
      </c>
      <c r="DW308" s="47"/>
      <c r="DX308" s="47">
        <f t="shared" si="230"/>
        <v>0</v>
      </c>
      <c r="DY308" s="91"/>
      <c r="DZ308" s="47"/>
      <c r="EA308" s="47"/>
      <c r="EB308" s="47"/>
      <c r="EC308" s="47"/>
      <c r="ED308" s="47"/>
      <c r="EE308" s="47">
        <f t="shared" si="219"/>
        <v>0</v>
      </c>
      <c r="EF308" s="47"/>
      <c r="EG308" s="47"/>
      <c r="EH308" s="47"/>
      <c r="EI308" s="91"/>
      <c r="EJ308" s="47"/>
      <c r="EK308" s="47">
        <f t="shared" si="204"/>
        <v>0</v>
      </c>
      <c r="EL308" s="46">
        <f t="shared" si="205"/>
        <v>0</v>
      </c>
      <c r="EM308" s="46"/>
      <c r="EN308" s="46">
        <f t="shared" si="206"/>
        <v>0</v>
      </c>
    </row>
    <row r="309" spans="1:145" s="48" customFormat="1" ht="15" customHeight="1" x14ac:dyDescent="0.25">
      <c r="A309" s="58"/>
      <c r="B309" s="88">
        <v>56</v>
      </c>
      <c r="C309" s="42"/>
      <c r="D309" s="43"/>
      <c r="E309" s="42"/>
      <c r="F309" s="42"/>
      <c r="G309" s="49"/>
      <c r="H309" s="49"/>
      <c r="I309" s="49"/>
      <c r="J309" s="49"/>
      <c r="K309" s="49"/>
      <c r="L309" s="49"/>
      <c r="M309" s="42"/>
      <c r="N309" s="41"/>
      <c r="O309" s="41"/>
      <c r="P309" s="42"/>
      <c r="Q309" s="45"/>
      <c r="R309" s="45"/>
      <c r="S309" s="42"/>
      <c r="T309" s="46"/>
      <c r="U309" s="46"/>
      <c r="V309" s="46"/>
      <c r="W309" s="46"/>
      <c r="X309" s="46"/>
      <c r="Y309" s="46"/>
      <c r="Z309" s="42"/>
      <c r="AA309" s="42"/>
      <c r="AB309" s="42"/>
      <c r="AC309" s="42"/>
      <c r="AD309" s="42"/>
      <c r="AE309" s="42"/>
      <c r="AF309" s="42"/>
      <c r="AG309" s="42"/>
      <c r="AH309" s="42"/>
      <c r="AI309" s="46"/>
      <c r="AJ309" s="42"/>
      <c r="AK309" s="42"/>
      <c r="AL309" s="42"/>
      <c r="AM309" s="42"/>
      <c r="AN309" s="90">
        <f t="shared" si="200"/>
        <v>0</v>
      </c>
      <c r="AO309" s="90">
        <f t="shared" si="201"/>
        <v>0</v>
      </c>
      <c r="AP309" s="42" t="s">
        <v>111</v>
      </c>
      <c r="AQ309" s="46">
        <f t="shared" si="236"/>
        <v>0</v>
      </c>
      <c r="AR309" s="46"/>
      <c r="AS309" s="42"/>
      <c r="AT309" s="46"/>
      <c r="AU309" s="64">
        <f t="shared" si="223"/>
        <v>0</v>
      </c>
      <c r="AV309" s="47"/>
      <c r="AW309" s="64">
        <f t="shared" si="213"/>
        <v>0</v>
      </c>
      <c r="AX309" s="47" t="s">
        <v>113</v>
      </c>
      <c r="AY309" s="46">
        <f>25%*AQ309</f>
        <v>0</v>
      </c>
      <c r="AZ309" s="47"/>
      <c r="BA309" s="47"/>
      <c r="BB309" s="47"/>
      <c r="BC309" s="47">
        <f t="shared" si="222"/>
        <v>0</v>
      </c>
      <c r="BD309" s="47"/>
      <c r="BE309" s="47">
        <f t="shared" si="224"/>
        <v>0</v>
      </c>
      <c r="BF309" s="47"/>
      <c r="BG309" s="47"/>
      <c r="BH309" s="47"/>
      <c r="BI309" s="47"/>
      <c r="BJ309" s="47"/>
      <c r="BK309" s="46">
        <f t="shared" si="221"/>
        <v>0</v>
      </c>
      <c r="BL309" s="47"/>
      <c r="BM309" s="47">
        <f t="shared" si="214"/>
        <v>0</v>
      </c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6"/>
      <c r="CQ309" s="47"/>
      <c r="CR309" s="47">
        <f t="shared" si="231"/>
        <v>0</v>
      </c>
      <c r="CS309" s="47"/>
      <c r="CT309" s="47"/>
      <c r="CU309" s="47"/>
      <c r="CV309" s="47"/>
      <c r="CW309" s="47"/>
      <c r="CX309" s="46"/>
      <c r="CY309" s="47">
        <f t="shared" si="210"/>
        <v>0</v>
      </c>
      <c r="CZ309" s="47"/>
      <c r="DA309" s="47"/>
      <c r="DB309" s="47"/>
      <c r="DC309" s="47"/>
      <c r="DD309" s="47"/>
      <c r="DE309" s="47"/>
      <c r="DF309" s="46">
        <f t="shared" si="215"/>
        <v>0</v>
      </c>
      <c r="DG309" s="47"/>
      <c r="DH309" s="46">
        <f t="shared" si="227"/>
        <v>0</v>
      </c>
      <c r="DI309" s="47"/>
      <c r="DJ309" s="47"/>
      <c r="DK309" s="64">
        <f t="shared" si="225"/>
        <v>0</v>
      </c>
      <c r="DL309" s="60">
        <f t="shared" si="202"/>
        <v>0</v>
      </c>
      <c r="DM309" s="94"/>
      <c r="DN309" s="46">
        <f t="shared" si="228"/>
        <v>0</v>
      </c>
      <c r="DO309" s="47"/>
      <c r="DP309" s="90">
        <f>10%*AQ309</f>
        <v>0</v>
      </c>
      <c r="DQ309" s="47"/>
      <c r="DR309" s="46">
        <f t="shared" si="232"/>
        <v>0</v>
      </c>
      <c r="DS309" s="47"/>
      <c r="DT309" s="46">
        <f t="shared" si="212"/>
        <v>0</v>
      </c>
      <c r="DU309" s="47"/>
      <c r="DV309" s="46">
        <f t="shared" si="217"/>
        <v>0</v>
      </c>
      <c r="DW309" s="47"/>
      <c r="DX309" s="47">
        <f t="shared" si="230"/>
        <v>0</v>
      </c>
      <c r="DY309" s="91"/>
      <c r="DZ309" s="47"/>
      <c r="EA309" s="47"/>
      <c r="EB309" s="47"/>
      <c r="EC309" s="47"/>
      <c r="ED309" s="47"/>
      <c r="EE309" s="47">
        <f t="shared" si="219"/>
        <v>0</v>
      </c>
      <c r="EF309" s="47"/>
      <c r="EG309" s="47"/>
      <c r="EH309" s="47"/>
      <c r="EI309" s="91"/>
      <c r="EJ309" s="47"/>
      <c r="EK309" s="47">
        <f t="shared" si="204"/>
        <v>0</v>
      </c>
      <c r="EL309" s="46">
        <f t="shared" si="205"/>
        <v>0</v>
      </c>
      <c r="EM309" s="46"/>
      <c r="EN309" s="46">
        <f t="shared" si="206"/>
        <v>0</v>
      </c>
    </row>
    <row r="310" spans="1:145" s="48" customFormat="1" ht="15" customHeight="1" x14ac:dyDescent="0.25">
      <c r="B310" s="88">
        <v>53</v>
      </c>
      <c r="C310" s="42"/>
      <c r="D310" s="43"/>
      <c r="E310" s="42"/>
      <c r="F310" s="42"/>
      <c r="G310" s="42"/>
      <c r="H310" s="42"/>
      <c r="I310" s="42"/>
      <c r="J310" s="42"/>
      <c r="K310" s="42"/>
      <c r="L310" s="42"/>
      <c r="M310" s="42"/>
      <c r="N310" s="41"/>
      <c r="O310" s="41"/>
      <c r="P310" s="42"/>
      <c r="Q310" s="45"/>
      <c r="R310" s="45"/>
      <c r="S310" s="42"/>
      <c r="T310" s="46"/>
      <c r="U310" s="46"/>
      <c r="V310" s="42"/>
      <c r="W310" s="42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>
        <f t="shared" si="200"/>
        <v>0</v>
      </c>
      <c r="AO310" s="46">
        <f t="shared" si="201"/>
        <v>0</v>
      </c>
      <c r="AP310" s="46" t="s">
        <v>111</v>
      </c>
      <c r="AQ310" s="46">
        <f t="shared" si="236"/>
        <v>0</v>
      </c>
      <c r="AR310" s="46"/>
      <c r="AS310" s="46"/>
      <c r="AT310" s="46"/>
      <c r="AU310" s="47">
        <f t="shared" si="223"/>
        <v>0</v>
      </c>
      <c r="AV310" s="46"/>
      <c r="AW310" s="47">
        <f t="shared" si="213"/>
        <v>0</v>
      </c>
      <c r="AX310" s="46" t="s">
        <v>113</v>
      </c>
      <c r="AY310" s="46">
        <f>25%*AQ310</f>
        <v>0</v>
      </c>
      <c r="AZ310" s="46"/>
      <c r="BA310" s="46"/>
      <c r="BB310" s="46"/>
      <c r="BC310" s="47">
        <f t="shared" si="222"/>
        <v>0</v>
      </c>
      <c r="BD310" s="46"/>
      <c r="BE310" s="47">
        <f t="shared" si="224"/>
        <v>0</v>
      </c>
      <c r="BF310" s="46"/>
      <c r="BG310" s="46"/>
      <c r="BH310" s="46"/>
      <c r="BI310" s="46"/>
      <c r="BJ310" s="46"/>
      <c r="BK310" s="46">
        <f t="shared" si="221"/>
        <v>0</v>
      </c>
      <c r="BL310" s="46"/>
      <c r="BM310" s="47">
        <f t="shared" si="214"/>
        <v>0</v>
      </c>
      <c r="BN310" s="46"/>
      <c r="BO310" s="46"/>
      <c r="BP310" s="46"/>
      <c r="BQ310" s="46"/>
      <c r="BR310" s="46"/>
      <c r="BS310" s="46"/>
      <c r="BT310" s="46"/>
      <c r="BU310" s="47">
        <f>+BO310+BP310+BS310+BT310</f>
        <v>0</v>
      </c>
      <c r="BV310" s="46"/>
      <c r="BW310" s="46"/>
      <c r="BX310" s="46"/>
      <c r="BY310" s="46"/>
      <c r="BZ310" s="46"/>
      <c r="CA310" s="46"/>
      <c r="CB310" s="46"/>
      <c r="CC310" s="47">
        <f>+BW310+BX310+CA310+CB310</f>
        <v>0</v>
      </c>
      <c r="CD310" s="46"/>
      <c r="CE310" s="46"/>
      <c r="CF310" s="46"/>
      <c r="CG310" s="46"/>
      <c r="CH310" s="46"/>
      <c r="CI310" s="46"/>
      <c r="CJ310" s="46"/>
      <c r="CK310" s="47">
        <f>+CE310+CF310+CI310+CJ310</f>
        <v>0</v>
      </c>
      <c r="CL310" s="46"/>
      <c r="CM310" s="46"/>
      <c r="CN310" s="46"/>
      <c r="CO310" s="46"/>
      <c r="CP310" s="46">
        <f>CN310*CO310</f>
        <v>0</v>
      </c>
      <c r="CQ310" s="46"/>
      <c r="CR310" s="47">
        <f t="shared" si="231"/>
        <v>0</v>
      </c>
      <c r="CS310" s="46"/>
      <c r="CT310" s="46"/>
      <c r="CU310" s="46"/>
      <c r="CV310" s="46"/>
      <c r="CW310" s="47">
        <f>CU310*CV310</f>
        <v>0</v>
      </c>
      <c r="CX310" s="46"/>
      <c r="CY310" s="47">
        <f t="shared" si="210"/>
        <v>0</v>
      </c>
      <c r="CZ310" s="46"/>
      <c r="DA310" s="46"/>
      <c r="DB310" s="46"/>
      <c r="DC310" s="46"/>
      <c r="DD310" s="47">
        <f>+DB310*DC310</f>
        <v>0</v>
      </c>
      <c r="DE310" s="46"/>
      <c r="DF310" s="46">
        <f t="shared" si="215"/>
        <v>0</v>
      </c>
      <c r="DG310" s="46"/>
      <c r="DH310" s="46">
        <f t="shared" si="227"/>
        <v>0</v>
      </c>
      <c r="DI310" s="46"/>
      <c r="DJ310" s="46"/>
      <c r="DK310" s="47">
        <f t="shared" si="225"/>
        <v>0</v>
      </c>
      <c r="DL310" s="47">
        <f t="shared" si="202"/>
        <v>0</v>
      </c>
      <c r="DM310" s="46"/>
      <c r="DN310" s="46">
        <f t="shared" si="228"/>
        <v>0</v>
      </c>
      <c r="DO310" s="46"/>
      <c r="DP310" s="90">
        <f>10%*AQ310</f>
        <v>0</v>
      </c>
      <c r="DQ310" s="46"/>
      <c r="DR310" s="46">
        <f t="shared" si="232"/>
        <v>0</v>
      </c>
      <c r="DS310" s="46"/>
      <c r="DT310" s="46">
        <f t="shared" si="212"/>
        <v>0</v>
      </c>
      <c r="DU310" s="46"/>
      <c r="DV310" s="46">
        <f t="shared" si="217"/>
        <v>0</v>
      </c>
      <c r="DW310" s="46"/>
      <c r="DX310" s="47">
        <f t="shared" si="230"/>
        <v>0</v>
      </c>
      <c r="DY310" s="46"/>
      <c r="DZ310" s="46"/>
      <c r="EA310" s="46"/>
      <c r="EB310" s="46"/>
      <c r="EC310" s="46"/>
      <c r="ED310" s="46"/>
      <c r="EE310" s="47">
        <f t="shared" si="219"/>
        <v>0</v>
      </c>
      <c r="EF310" s="46"/>
      <c r="EG310" s="46"/>
      <c r="EH310" s="46"/>
      <c r="EI310" s="46"/>
      <c r="EJ310" s="46"/>
      <c r="EK310" s="47">
        <f t="shared" si="204"/>
        <v>0</v>
      </c>
      <c r="EL310" s="46">
        <f t="shared" si="205"/>
        <v>0</v>
      </c>
      <c r="EM310" s="46"/>
      <c r="EN310" s="46">
        <f t="shared" si="206"/>
        <v>0</v>
      </c>
    </row>
    <row r="311" spans="1:145" s="73" customFormat="1" ht="15.75" customHeight="1" x14ac:dyDescent="0.25">
      <c r="A311" s="112"/>
      <c r="B311" s="67">
        <v>50</v>
      </c>
      <c r="C311" s="68"/>
      <c r="D311" s="69"/>
      <c r="E311" s="68"/>
      <c r="F311" s="68"/>
      <c r="G311" s="113"/>
      <c r="H311" s="113"/>
      <c r="I311" s="113"/>
      <c r="J311" s="113"/>
      <c r="K311" s="113"/>
      <c r="L311" s="113"/>
      <c r="M311" s="68"/>
      <c r="N311" s="67"/>
      <c r="O311" s="67"/>
      <c r="P311" s="68"/>
      <c r="Q311" s="70"/>
      <c r="R311" s="70"/>
      <c r="S311" s="68"/>
      <c r="T311" s="71"/>
      <c r="U311" s="71"/>
      <c r="V311" s="71"/>
      <c r="W311" s="71"/>
      <c r="X311" s="71"/>
      <c r="Y311" s="71"/>
      <c r="Z311" s="68"/>
      <c r="AA311" s="68"/>
      <c r="AB311" s="68"/>
      <c r="AC311" s="68"/>
      <c r="AD311" s="68"/>
      <c r="AE311" s="68"/>
      <c r="AF311" s="68"/>
      <c r="AG311" s="68"/>
      <c r="AH311" s="68"/>
      <c r="AI311" s="71"/>
      <c r="AJ311" s="68"/>
      <c r="AK311" s="68"/>
      <c r="AL311" s="68"/>
      <c r="AM311" s="68"/>
      <c r="AN311" s="71">
        <f t="shared" si="200"/>
        <v>0</v>
      </c>
      <c r="AO311" s="71">
        <f t="shared" si="201"/>
        <v>0</v>
      </c>
      <c r="AP311" s="68" t="s">
        <v>114</v>
      </c>
      <c r="AQ311" s="71">
        <f t="shared" si="236"/>
        <v>0</v>
      </c>
      <c r="AR311" s="71"/>
      <c r="AS311" s="68"/>
      <c r="AT311" s="71"/>
      <c r="AU311" s="72">
        <f t="shared" si="223"/>
        <v>0</v>
      </c>
      <c r="AV311" s="72"/>
      <c r="AW311" s="72">
        <f t="shared" si="213"/>
        <v>0</v>
      </c>
      <c r="AX311" s="72"/>
      <c r="AY311" s="71"/>
      <c r="AZ311" s="72"/>
      <c r="BA311" s="72"/>
      <c r="BB311" s="72"/>
      <c r="BC311" s="72">
        <f t="shared" si="222"/>
        <v>0</v>
      </c>
      <c r="BD311" s="72"/>
      <c r="BE311" s="72">
        <f t="shared" si="224"/>
        <v>0</v>
      </c>
      <c r="BF311" s="72"/>
      <c r="BG311" s="72"/>
      <c r="BH311" s="72"/>
      <c r="BI311" s="72"/>
      <c r="BJ311" s="72"/>
      <c r="BK311" s="71">
        <f t="shared" si="221"/>
        <v>0</v>
      </c>
      <c r="BL311" s="72"/>
      <c r="BM311" s="72">
        <f t="shared" si="214"/>
        <v>0</v>
      </c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1"/>
      <c r="CQ311" s="72"/>
      <c r="CR311" s="72">
        <f t="shared" si="231"/>
        <v>0</v>
      </c>
      <c r="CS311" s="72"/>
      <c r="CT311" s="72"/>
      <c r="CU311" s="72"/>
      <c r="CV311" s="72"/>
      <c r="CW311" s="72">
        <f>CU311*CV311</f>
        <v>0</v>
      </c>
      <c r="CX311" s="71"/>
      <c r="CY311" s="72">
        <f t="shared" si="210"/>
        <v>0</v>
      </c>
      <c r="CZ311" s="72"/>
      <c r="DA311" s="72"/>
      <c r="DB311" s="72"/>
      <c r="DC311" s="72"/>
      <c r="DD311" s="72"/>
      <c r="DE311" s="72"/>
      <c r="DF311" s="71">
        <f t="shared" si="215"/>
        <v>0</v>
      </c>
      <c r="DG311" s="72"/>
      <c r="DH311" s="71">
        <f t="shared" si="227"/>
        <v>0</v>
      </c>
      <c r="DI311" s="72"/>
      <c r="DJ311" s="72"/>
      <c r="DK311" s="72">
        <f t="shared" si="225"/>
        <v>0</v>
      </c>
      <c r="DL311" s="114">
        <f t="shared" si="202"/>
        <v>0</v>
      </c>
      <c r="DM311" s="115"/>
      <c r="DN311" s="71">
        <f t="shared" si="228"/>
        <v>0</v>
      </c>
      <c r="DO311" s="72"/>
      <c r="DP311" s="71"/>
      <c r="DQ311" s="72"/>
      <c r="DR311" s="71">
        <f t="shared" si="232"/>
        <v>0</v>
      </c>
      <c r="DS311" s="72"/>
      <c r="DT311" s="71">
        <f t="shared" si="212"/>
        <v>0</v>
      </c>
      <c r="DU311" s="72"/>
      <c r="DV311" s="71">
        <f t="shared" si="217"/>
        <v>0</v>
      </c>
      <c r="DW311" s="72"/>
      <c r="DX311" s="72">
        <f t="shared" si="230"/>
        <v>0</v>
      </c>
      <c r="DY311" s="116"/>
      <c r="DZ311" s="72"/>
      <c r="EA311" s="72"/>
      <c r="EB311" s="72"/>
      <c r="EC311" s="72"/>
      <c r="ED311" s="72"/>
      <c r="EE311" s="72">
        <f t="shared" si="219"/>
        <v>0</v>
      </c>
      <c r="EF311" s="72"/>
      <c r="EG311" s="72"/>
      <c r="EH311" s="72"/>
      <c r="EI311" s="116"/>
      <c r="EJ311" s="72"/>
      <c r="EK311" s="72">
        <f t="shared" si="204"/>
        <v>0</v>
      </c>
      <c r="EL311" s="71">
        <f t="shared" si="205"/>
        <v>0</v>
      </c>
      <c r="EM311" s="71"/>
      <c r="EN311" s="71">
        <f t="shared" si="206"/>
        <v>0</v>
      </c>
    </row>
    <row r="312" spans="1:145" s="48" customFormat="1" ht="15" customHeight="1" x14ac:dyDescent="0.25">
      <c r="B312" s="88">
        <v>51</v>
      </c>
      <c r="C312" s="42"/>
      <c r="D312" s="43"/>
      <c r="E312" s="42"/>
      <c r="F312" s="42"/>
      <c r="G312" s="42"/>
      <c r="H312" s="42"/>
      <c r="I312" s="42"/>
      <c r="J312" s="42"/>
      <c r="K312" s="42"/>
      <c r="L312" s="42"/>
      <c r="M312" s="42"/>
      <c r="N312" s="41"/>
      <c r="O312" s="41"/>
      <c r="P312" s="42"/>
      <c r="Q312" s="45"/>
      <c r="R312" s="45"/>
      <c r="S312" s="42"/>
      <c r="T312" s="46"/>
      <c r="U312" s="46"/>
      <c r="V312" s="46"/>
      <c r="W312" s="46"/>
      <c r="X312" s="46"/>
      <c r="Y312" s="46"/>
      <c r="Z312" s="42"/>
      <c r="AA312" s="42"/>
      <c r="AB312" s="42"/>
      <c r="AC312" s="42"/>
      <c r="AD312" s="42"/>
      <c r="AE312" s="42"/>
      <c r="AF312" s="42"/>
      <c r="AG312" s="42"/>
      <c r="AH312" s="42"/>
      <c r="AI312" s="46"/>
      <c r="AJ312" s="42"/>
      <c r="AK312" s="42"/>
      <c r="AL312" s="42"/>
      <c r="AM312" s="42"/>
      <c r="AN312" s="46">
        <f t="shared" si="200"/>
        <v>0</v>
      </c>
      <c r="AO312" s="46">
        <f t="shared" si="201"/>
        <v>0</v>
      </c>
      <c r="AP312" s="42" t="s">
        <v>111</v>
      </c>
      <c r="AQ312" s="46">
        <f t="shared" si="236"/>
        <v>0</v>
      </c>
      <c r="AR312" s="46"/>
      <c r="AS312" s="42"/>
      <c r="AT312" s="46"/>
      <c r="AU312" s="47">
        <f t="shared" si="223"/>
        <v>0</v>
      </c>
      <c r="AV312" s="47"/>
      <c r="AW312" s="47">
        <f t="shared" si="213"/>
        <v>0</v>
      </c>
      <c r="AX312" s="47" t="s">
        <v>113</v>
      </c>
      <c r="AY312" s="90">
        <f>25%*AQ312</f>
        <v>0</v>
      </c>
      <c r="AZ312" s="47"/>
      <c r="BA312" s="47"/>
      <c r="BB312" s="47"/>
      <c r="BC312" s="47">
        <f t="shared" si="222"/>
        <v>0</v>
      </c>
      <c r="BD312" s="47"/>
      <c r="BE312" s="47">
        <f t="shared" si="224"/>
        <v>0</v>
      </c>
      <c r="BF312" s="47"/>
      <c r="BG312" s="47"/>
      <c r="BH312" s="47"/>
      <c r="BI312" s="47"/>
      <c r="BJ312" s="47"/>
      <c r="BK312" s="46">
        <f t="shared" si="221"/>
        <v>0</v>
      </c>
      <c r="BL312" s="47"/>
      <c r="BM312" s="47">
        <f t="shared" si="214"/>
        <v>0</v>
      </c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6"/>
      <c r="CQ312" s="47"/>
      <c r="CR312" s="47">
        <f t="shared" si="231"/>
        <v>0</v>
      </c>
      <c r="CS312" s="47"/>
      <c r="CT312" s="47"/>
      <c r="CU312" s="47"/>
      <c r="CV312" s="47"/>
      <c r="CW312" s="47">
        <f>CU312*CV312</f>
        <v>0</v>
      </c>
      <c r="CX312" s="46"/>
      <c r="CY312" s="47">
        <f t="shared" si="210"/>
        <v>0</v>
      </c>
      <c r="CZ312" s="47"/>
      <c r="DA312" s="47"/>
      <c r="DB312" s="47"/>
      <c r="DC312" s="47"/>
      <c r="DD312" s="47"/>
      <c r="DE312" s="47"/>
      <c r="DF312" s="46">
        <f t="shared" si="215"/>
        <v>0</v>
      </c>
      <c r="DG312" s="47"/>
      <c r="DH312" s="46">
        <f t="shared" si="227"/>
        <v>0</v>
      </c>
      <c r="DI312" s="47"/>
      <c r="DJ312" s="47"/>
      <c r="DK312" s="47">
        <f t="shared" si="225"/>
        <v>0</v>
      </c>
      <c r="DL312" s="60">
        <f t="shared" si="202"/>
        <v>0</v>
      </c>
      <c r="DM312" s="94"/>
      <c r="DN312" s="46">
        <f t="shared" si="228"/>
        <v>0</v>
      </c>
      <c r="DO312" s="47"/>
      <c r="DP312" s="90">
        <f>10%*AQ312</f>
        <v>0</v>
      </c>
      <c r="DQ312" s="47"/>
      <c r="DR312" s="46">
        <f t="shared" si="232"/>
        <v>0</v>
      </c>
      <c r="DS312" s="47"/>
      <c r="DT312" s="46">
        <f t="shared" si="212"/>
        <v>0</v>
      </c>
      <c r="DU312" s="47"/>
      <c r="DV312" s="46">
        <f t="shared" si="217"/>
        <v>0</v>
      </c>
      <c r="DW312" s="47"/>
      <c r="DX312" s="47">
        <f t="shared" si="230"/>
        <v>0</v>
      </c>
      <c r="DY312" s="91"/>
      <c r="DZ312" s="47"/>
      <c r="EA312" s="47"/>
      <c r="EB312" s="47"/>
      <c r="EC312" s="47"/>
      <c r="ED312" s="47"/>
      <c r="EE312" s="47">
        <f t="shared" si="219"/>
        <v>0</v>
      </c>
      <c r="EF312" s="47"/>
      <c r="EG312" s="47"/>
      <c r="EH312" s="47"/>
      <c r="EI312" s="91"/>
      <c r="EJ312" s="47"/>
      <c r="EK312" s="47">
        <f t="shared" si="204"/>
        <v>0</v>
      </c>
      <c r="EL312" s="46">
        <f t="shared" si="205"/>
        <v>0</v>
      </c>
      <c r="EM312" s="46"/>
      <c r="EN312" s="46">
        <f t="shared" si="206"/>
        <v>0</v>
      </c>
    </row>
    <row r="313" spans="1:145" s="48" customFormat="1" ht="15" customHeight="1" x14ac:dyDescent="0.25">
      <c r="A313" s="58"/>
      <c r="B313" s="88">
        <v>54</v>
      </c>
      <c r="C313" s="42"/>
      <c r="D313" s="43"/>
      <c r="E313" s="42"/>
      <c r="F313" s="42"/>
      <c r="G313" s="49"/>
      <c r="H313" s="49"/>
      <c r="I313" s="49"/>
      <c r="J313" s="49"/>
      <c r="K313" s="49"/>
      <c r="L313" s="49"/>
      <c r="M313" s="42"/>
      <c r="N313" s="41"/>
      <c r="O313" s="41"/>
      <c r="P313" s="42"/>
      <c r="Q313" s="45"/>
      <c r="R313" s="45"/>
      <c r="S313" s="42"/>
      <c r="T313" s="46"/>
      <c r="U313" s="46"/>
      <c r="V313" s="46"/>
      <c r="W313" s="46"/>
      <c r="X313" s="46"/>
      <c r="Y313" s="46"/>
      <c r="Z313" s="42"/>
      <c r="AA313" s="42"/>
      <c r="AB313" s="42"/>
      <c r="AC313" s="42"/>
      <c r="AD313" s="42"/>
      <c r="AE313" s="42"/>
      <c r="AF313" s="42"/>
      <c r="AG313" s="42"/>
      <c r="AH313" s="42"/>
      <c r="AI313" s="46"/>
      <c r="AJ313" s="42"/>
      <c r="AK313" s="42"/>
      <c r="AL313" s="42"/>
      <c r="AM313" s="42"/>
      <c r="AN313" s="90">
        <f t="shared" si="200"/>
        <v>0</v>
      </c>
      <c r="AO313" s="90">
        <f t="shared" si="201"/>
        <v>0</v>
      </c>
      <c r="AP313" s="42" t="s">
        <v>114</v>
      </c>
      <c r="AQ313" s="46">
        <f t="shared" si="236"/>
        <v>0</v>
      </c>
      <c r="AR313" s="46"/>
      <c r="AS313" s="42"/>
      <c r="AT313" s="46"/>
      <c r="AU313" s="64">
        <f t="shared" si="223"/>
        <v>0</v>
      </c>
      <c r="AV313" s="47"/>
      <c r="AW313" s="64">
        <f t="shared" si="213"/>
        <v>0</v>
      </c>
      <c r="AX313" s="47"/>
      <c r="AY313" s="46"/>
      <c r="AZ313" s="47"/>
      <c r="BA313" s="47"/>
      <c r="BB313" s="47"/>
      <c r="BC313" s="47">
        <f t="shared" si="222"/>
        <v>0</v>
      </c>
      <c r="BD313" s="47"/>
      <c r="BE313" s="47">
        <f t="shared" si="224"/>
        <v>0</v>
      </c>
      <c r="BF313" s="47"/>
      <c r="BG313" s="47"/>
      <c r="BH313" s="47"/>
      <c r="BI313" s="47"/>
      <c r="BJ313" s="47"/>
      <c r="BK313" s="46"/>
      <c r="BL313" s="47"/>
      <c r="BM313" s="64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6"/>
      <c r="CQ313" s="47"/>
      <c r="CR313" s="47">
        <f t="shared" si="231"/>
        <v>0</v>
      </c>
      <c r="CS313" s="47"/>
      <c r="CT313" s="47"/>
      <c r="CU313" s="47"/>
      <c r="CV313" s="47"/>
      <c r="CW313" s="47">
        <f>CU313*CV313</f>
        <v>0</v>
      </c>
      <c r="CX313" s="46"/>
      <c r="CY313" s="47">
        <f t="shared" si="210"/>
        <v>0</v>
      </c>
      <c r="CZ313" s="47"/>
      <c r="DA313" s="47"/>
      <c r="DB313" s="47"/>
      <c r="DC313" s="47"/>
      <c r="DD313" s="47"/>
      <c r="DE313" s="47"/>
      <c r="DF313" s="46">
        <f t="shared" si="215"/>
        <v>0</v>
      </c>
      <c r="DG313" s="47"/>
      <c r="DH313" s="46">
        <f t="shared" si="227"/>
        <v>0</v>
      </c>
      <c r="DI313" s="47"/>
      <c r="DJ313" s="47"/>
      <c r="DK313" s="64">
        <f t="shared" si="225"/>
        <v>0</v>
      </c>
      <c r="DL313" s="60">
        <f t="shared" si="202"/>
        <v>0</v>
      </c>
      <c r="DM313" s="94"/>
      <c r="DN313" s="46">
        <f t="shared" si="228"/>
        <v>0</v>
      </c>
      <c r="DO313" s="47"/>
      <c r="DP313" s="90"/>
      <c r="DQ313" s="47"/>
      <c r="DR313" s="46">
        <f t="shared" si="232"/>
        <v>0</v>
      </c>
      <c r="DS313" s="47"/>
      <c r="DT313" s="46">
        <f t="shared" si="212"/>
        <v>0</v>
      </c>
      <c r="DU313" s="47"/>
      <c r="DV313" s="46">
        <f t="shared" si="217"/>
        <v>0</v>
      </c>
      <c r="DW313" s="47"/>
      <c r="DX313" s="47">
        <f t="shared" si="230"/>
        <v>0</v>
      </c>
      <c r="DY313" s="91"/>
      <c r="DZ313" s="47"/>
      <c r="EA313" s="47"/>
      <c r="EB313" s="47"/>
      <c r="EC313" s="47"/>
      <c r="ED313" s="47"/>
      <c r="EE313" s="47">
        <f t="shared" si="219"/>
        <v>0</v>
      </c>
      <c r="EF313" s="47"/>
      <c r="EG313" s="47"/>
      <c r="EH313" s="47"/>
      <c r="EI313" s="91"/>
      <c r="EJ313" s="47"/>
      <c r="EK313" s="47">
        <f t="shared" si="204"/>
        <v>0</v>
      </c>
      <c r="EL313" s="46">
        <f t="shared" si="205"/>
        <v>0</v>
      </c>
      <c r="EM313" s="46"/>
      <c r="EN313" s="46">
        <f t="shared" si="206"/>
        <v>0</v>
      </c>
    </row>
    <row r="314" spans="1:145" s="48" customFormat="1" ht="15" customHeight="1" x14ac:dyDescent="0.25">
      <c r="A314" s="58"/>
      <c r="B314" s="88">
        <v>58</v>
      </c>
      <c r="C314" s="42"/>
      <c r="D314" s="43"/>
      <c r="E314" s="42"/>
      <c r="F314" s="42"/>
      <c r="G314" s="49"/>
      <c r="H314" s="49"/>
      <c r="I314" s="49"/>
      <c r="J314" s="49"/>
      <c r="K314" s="49"/>
      <c r="L314" s="49"/>
      <c r="M314" s="42"/>
      <c r="N314" s="41"/>
      <c r="O314" s="41"/>
      <c r="P314" s="42"/>
      <c r="Q314" s="45"/>
      <c r="R314" s="45"/>
      <c r="S314" s="42"/>
      <c r="T314" s="46"/>
      <c r="U314" s="46"/>
      <c r="V314" s="46"/>
      <c r="W314" s="46"/>
      <c r="X314" s="46"/>
      <c r="Y314" s="46"/>
      <c r="Z314" s="42"/>
      <c r="AA314" s="42"/>
      <c r="AB314" s="42"/>
      <c r="AC314" s="42"/>
      <c r="AD314" s="42"/>
      <c r="AE314" s="42"/>
      <c r="AF314" s="42"/>
      <c r="AG314" s="42"/>
      <c r="AH314" s="42"/>
      <c r="AI314" s="46"/>
      <c r="AJ314" s="42"/>
      <c r="AK314" s="42"/>
      <c r="AL314" s="42"/>
      <c r="AM314" s="42"/>
      <c r="AN314" s="90">
        <f t="shared" si="200"/>
        <v>0</v>
      </c>
      <c r="AO314" s="90">
        <f t="shared" si="201"/>
        <v>0</v>
      </c>
      <c r="AP314" s="42" t="s">
        <v>119</v>
      </c>
      <c r="AQ314" s="46">
        <f t="shared" si="236"/>
        <v>0</v>
      </c>
      <c r="AR314" s="46"/>
      <c r="AS314" s="42"/>
      <c r="AT314" s="46"/>
      <c r="AU314" s="64">
        <f t="shared" si="223"/>
        <v>0</v>
      </c>
      <c r="AV314" s="47"/>
      <c r="AW314" s="64">
        <f t="shared" si="213"/>
        <v>0</v>
      </c>
      <c r="AX314" s="47" t="s">
        <v>113</v>
      </c>
      <c r="AY314" s="46">
        <f>25%*AQ314</f>
        <v>0</v>
      </c>
      <c r="AZ314" s="47"/>
      <c r="BA314" s="47"/>
      <c r="BB314" s="47"/>
      <c r="BC314" s="47">
        <f t="shared" si="222"/>
        <v>0</v>
      </c>
      <c r="BD314" s="47"/>
      <c r="BE314" s="47">
        <f t="shared" si="224"/>
        <v>0</v>
      </c>
      <c r="BF314" s="47"/>
      <c r="BG314" s="47"/>
      <c r="BH314" s="47"/>
      <c r="BI314" s="47"/>
      <c r="BJ314" s="47"/>
      <c r="BK314" s="46"/>
      <c r="BL314" s="47"/>
      <c r="BM314" s="64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6"/>
      <c r="CQ314" s="47"/>
      <c r="CR314" s="47">
        <f t="shared" si="231"/>
        <v>0</v>
      </c>
      <c r="CS314" s="47"/>
      <c r="CT314" s="47"/>
      <c r="CU314" s="47"/>
      <c r="CV314" s="47"/>
      <c r="CW314" s="47"/>
      <c r="CX314" s="46"/>
      <c r="CY314" s="47">
        <f t="shared" si="210"/>
        <v>0</v>
      </c>
      <c r="CZ314" s="47"/>
      <c r="DA314" s="47"/>
      <c r="DB314" s="47"/>
      <c r="DC314" s="47"/>
      <c r="DD314" s="47"/>
      <c r="DE314" s="47"/>
      <c r="DF314" s="46">
        <f t="shared" si="215"/>
        <v>0</v>
      </c>
      <c r="DG314" s="47"/>
      <c r="DH314" s="46">
        <f t="shared" si="227"/>
        <v>0</v>
      </c>
      <c r="DI314" s="47"/>
      <c r="DJ314" s="47"/>
      <c r="DK314" s="64">
        <f t="shared" si="225"/>
        <v>0</v>
      </c>
      <c r="DL314" s="60">
        <f t="shared" si="202"/>
        <v>0</v>
      </c>
      <c r="DM314" s="94"/>
      <c r="DN314" s="46">
        <f t="shared" si="228"/>
        <v>0</v>
      </c>
      <c r="DO314" s="47"/>
      <c r="DP314" s="90">
        <f>10%*AQ314</f>
        <v>0</v>
      </c>
      <c r="DQ314" s="47"/>
      <c r="DR314" s="46"/>
      <c r="DS314" s="47"/>
      <c r="DT314" s="46">
        <f t="shared" si="212"/>
        <v>0</v>
      </c>
      <c r="DU314" s="47"/>
      <c r="DV314" s="46">
        <f t="shared" si="217"/>
        <v>0</v>
      </c>
      <c r="DW314" s="47"/>
      <c r="DX314" s="47">
        <f t="shared" si="230"/>
        <v>0</v>
      </c>
      <c r="DY314" s="91"/>
      <c r="DZ314" s="47"/>
      <c r="EA314" s="47"/>
      <c r="EB314" s="47"/>
      <c r="EC314" s="47"/>
      <c r="ED314" s="47"/>
      <c r="EE314" s="47">
        <f t="shared" si="219"/>
        <v>0</v>
      </c>
      <c r="EF314" s="47"/>
      <c r="EG314" s="47"/>
      <c r="EH314" s="47"/>
      <c r="EI314" s="91"/>
      <c r="EJ314" s="47"/>
      <c r="EK314" s="47">
        <f t="shared" si="204"/>
        <v>0</v>
      </c>
      <c r="EL314" s="46">
        <f t="shared" si="205"/>
        <v>0</v>
      </c>
      <c r="EM314" s="46"/>
      <c r="EN314" s="46">
        <f t="shared" si="206"/>
        <v>0</v>
      </c>
    </row>
    <row r="315" spans="1:145" ht="15" customHeight="1" x14ac:dyDescent="0.25">
      <c r="A315" s="117"/>
      <c r="B315" s="88">
        <v>59</v>
      </c>
      <c r="C315" s="86"/>
      <c r="D315" s="87"/>
      <c r="E315" s="86"/>
      <c r="F315" s="86"/>
      <c r="G315" s="118"/>
      <c r="H315" s="118"/>
      <c r="I315" s="118"/>
      <c r="J315" s="118"/>
      <c r="K315" s="118"/>
      <c r="L315" s="118"/>
      <c r="M315" s="86"/>
      <c r="N315" s="88"/>
      <c r="O315" s="88"/>
      <c r="P315" s="86"/>
      <c r="Q315" s="89"/>
      <c r="R315" s="89"/>
      <c r="S315" s="86"/>
      <c r="T315" s="90"/>
      <c r="U315" s="90"/>
      <c r="V315" s="90"/>
      <c r="W315" s="90"/>
      <c r="X315" s="90"/>
      <c r="Y315" s="90"/>
      <c r="Z315" s="86"/>
      <c r="AA315" s="86"/>
      <c r="AB315" s="86"/>
      <c r="AC315" s="86"/>
      <c r="AD315" s="86"/>
      <c r="AE315" s="86"/>
      <c r="AF315" s="86"/>
      <c r="AG315" s="86"/>
      <c r="AH315" s="86"/>
      <c r="AI315" s="90"/>
      <c r="AJ315" s="86"/>
      <c r="AK315" s="86"/>
      <c r="AL315" s="86"/>
      <c r="AM315" s="86"/>
      <c r="AN315" s="90">
        <f t="shared" si="200"/>
        <v>0</v>
      </c>
      <c r="AO315" s="90">
        <f t="shared" si="201"/>
        <v>0</v>
      </c>
      <c r="AP315" s="86" t="s">
        <v>116</v>
      </c>
      <c r="AQ315" s="90">
        <f t="shared" si="236"/>
        <v>0</v>
      </c>
      <c r="AR315" s="90"/>
      <c r="AS315" s="86"/>
      <c r="AT315" s="90"/>
      <c r="AU315" s="64">
        <f t="shared" si="223"/>
        <v>0</v>
      </c>
      <c r="AV315" s="64"/>
      <c r="AW315" s="64">
        <f t="shared" si="213"/>
        <v>0</v>
      </c>
      <c r="AX315" s="64" t="s">
        <v>113</v>
      </c>
      <c r="AY315" s="46">
        <f>25%*AQ315</f>
        <v>0</v>
      </c>
      <c r="AZ315" s="64"/>
      <c r="BA315" s="64"/>
      <c r="BB315" s="64"/>
      <c r="BC315" s="64">
        <f t="shared" si="222"/>
        <v>0</v>
      </c>
      <c r="BD315" s="64"/>
      <c r="BE315" s="64">
        <f t="shared" si="224"/>
        <v>0</v>
      </c>
      <c r="BF315" s="64"/>
      <c r="BG315" s="64"/>
      <c r="BH315" s="64"/>
      <c r="BI315" s="64"/>
      <c r="BJ315" s="64"/>
      <c r="BK315" s="90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90"/>
      <c r="CQ315" s="64"/>
      <c r="CR315" s="64">
        <f t="shared" si="231"/>
        <v>0</v>
      </c>
      <c r="CS315" s="64"/>
      <c r="CT315" s="64"/>
      <c r="CU315" s="64"/>
      <c r="CV315" s="64"/>
      <c r="CW315" s="64"/>
      <c r="CX315" s="90"/>
      <c r="CY315" s="64">
        <f t="shared" si="210"/>
        <v>0</v>
      </c>
      <c r="CZ315" s="64"/>
      <c r="DA315" s="64"/>
      <c r="DB315" s="64"/>
      <c r="DC315" s="64"/>
      <c r="DD315" s="64"/>
      <c r="DE315" s="64"/>
      <c r="DF315" s="90">
        <f t="shared" si="215"/>
        <v>0</v>
      </c>
      <c r="DG315" s="64"/>
      <c r="DH315" s="46">
        <f t="shared" si="227"/>
        <v>0</v>
      </c>
      <c r="DI315" s="64"/>
      <c r="DJ315" s="64"/>
      <c r="DK315" s="64">
        <f t="shared" si="225"/>
        <v>0</v>
      </c>
      <c r="DL315" s="119">
        <f t="shared" si="202"/>
        <v>0</v>
      </c>
      <c r="DM315" s="120"/>
      <c r="DN315" s="46">
        <f t="shared" si="228"/>
        <v>0</v>
      </c>
      <c r="DO315" s="64"/>
      <c r="DP315" s="90">
        <f>10%*AQ315</f>
        <v>0</v>
      </c>
      <c r="DQ315" s="64"/>
      <c r="DR315" s="90">
        <f t="shared" ref="DR315:DR342" si="237">DP315</f>
        <v>0</v>
      </c>
      <c r="DS315" s="64"/>
      <c r="DT315" s="90">
        <f t="shared" si="212"/>
        <v>0</v>
      </c>
      <c r="DU315" s="64"/>
      <c r="DV315" s="90">
        <f t="shared" si="217"/>
        <v>0</v>
      </c>
      <c r="DW315" s="64"/>
      <c r="DX315" s="64">
        <f t="shared" si="230"/>
        <v>0</v>
      </c>
      <c r="DY315" s="121"/>
      <c r="DZ315" s="64"/>
      <c r="EA315" s="64"/>
      <c r="EB315" s="64"/>
      <c r="EC315" s="64"/>
      <c r="ED315" s="64"/>
      <c r="EE315" s="64">
        <f t="shared" si="219"/>
        <v>0</v>
      </c>
      <c r="EF315" s="64"/>
      <c r="EG315" s="64"/>
      <c r="EH315" s="64"/>
      <c r="EI315" s="121"/>
      <c r="EJ315" s="64"/>
      <c r="EK315" s="64">
        <f t="shared" si="204"/>
        <v>0</v>
      </c>
      <c r="EL315" s="90">
        <f t="shared" si="205"/>
        <v>0</v>
      </c>
      <c r="EM315" s="90"/>
      <c r="EN315" s="90">
        <f t="shared" si="206"/>
        <v>0</v>
      </c>
    </row>
    <row r="316" spans="1:145" s="48" customFormat="1" ht="15" customHeight="1" x14ac:dyDescent="0.25">
      <c r="A316" s="58"/>
      <c r="B316" s="88">
        <v>63</v>
      </c>
      <c r="C316" s="42"/>
      <c r="D316" s="43"/>
      <c r="E316" s="42"/>
      <c r="F316" s="42"/>
      <c r="G316" s="49"/>
      <c r="H316" s="49"/>
      <c r="I316" s="49"/>
      <c r="J316" s="49"/>
      <c r="K316" s="49"/>
      <c r="L316" s="49"/>
      <c r="M316" s="42"/>
      <c r="N316" s="41"/>
      <c r="O316" s="41"/>
      <c r="P316" s="42"/>
      <c r="Q316" s="45"/>
      <c r="R316" s="45"/>
      <c r="S316" s="42"/>
      <c r="T316" s="46"/>
      <c r="U316" s="46"/>
      <c r="V316" s="46"/>
      <c r="W316" s="46"/>
      <c r="X316" s="46"/>
      <c r="Y316" s="46"/>
      <c r="Z316" s="42"/>
      <c r="AA316" s="42"/>
      <c r="AB316" s="42"/>
      <c r="AC316" s="42"/>
      <c r="AD316" s="42"/>
      <c r="AE316" s="42"/>
      <c r="AF316" s="42"/>
      <c r="AG316" s="42"/>
      <c r="AH316" s="42"/>
      <c r="AI316" s="46"/>
      <c r="AJ316" s="42"/>
      <c r="AK316" s="42"/>
      <c r="AL316" s="42"/>
      <c r="AM316" s="42"/>
      <c r="AN316" s="90">
        <f t="shared" si="200"/>
        <v>0</v>
      </c>
      <c r="AO316" s="90">
        <f t="shared" si="201"/>
        <v>0</v>
      </c>
      <c r="AP316" s="42" t="s">
        <v>111</v>
      </c>
      <c r="AQ316" s="46">
        <f t="shared" si="236"/>
        <v>0</v>
      </c>
      <c r="AR316" s="46"/>
      <c r="AS316" s="42"/>
      <c r="AT316" s="46"/>
      <c r="AU316" s="64">
        <f t="shared" si="223"/>
        <v>0</v>
      </c>
      <c r="AV316" s="47"/>
      <c r="AW316" s="64">
        <f t="shared" si="213"/>
        <v>0</v>
      </c>
      <c r="AX316" s="47"/>
      <c r="AY316" s="90"/>
      <c r="AZ316" s="47"/>
      <c r="BA316" s="47"/>
      <c r="BB316" s="47"/>
      <c r="BC316" s="47">
        <f t="shared" si="222"/>
        <v>0</v>
      </c>
      <c r="BD316" s="47"/>
      <c r="BE316" s="47">
        <f t="shared" si="224"/>
        <v>0</v>
      </c>
      <c r="BF316" s="47"/>
      <c r="BG316" s="47"/>
      <c r="BH316" s="47"/>
      <c r="BI316" s="47"/>
      <c r="BJ316" s="47"/>
      <c r="BK316" s="46"/>
      <c r="BL316" s="47"/>
      <c r="BM316" s="64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6"/>
      <c r="CQ316" s="47"/>
      <c r="CR316" s="47">
        <f t="shared" si="231"/>
        <v>0</v>
      </c>
      <c r="CS316" s="47"/>
      <c r="CT316" s="47"/>
      <c r="CU316" s="47"/>
      <c r="CV316" s="47"/>
      <c r="CW316" s="47"/>
      <c r="CX316" s="46"/>
      <c r="CY316" s="47">
        <f t="shared" si="210"/>
        <v>0</v>
      </c>
      <c r="CZ316" s="47"/>
      <c r="DA316" s="47"/>
      <c r="DB316" s="47"/>
      <c r="DC316" s="47"/>
      <c r="DD316" s="47"/>
      <c r="DE316" s="47"/>
      <c r="DF316" s="46">
        <f t="shared" si="215"/>
        <v>0</v>
      </c>
      <c r="DG316" s="47"/>
      <c r="DH316" s="46">
        <f t="shared" si="227"/>
        <v>0</v>
      </c>
      <c r="DI316" s="47"/>
      <c r="DJ316" s="47"/>
      <c r="DK316" s="64">
        <f t="shared" si="225"/>
        <v>0</v>
      </c>
      <c r="DL316" s="60">
        <f t="shared" si="202"/>
        <v>0</v>
      </c>
      <c r="DM316" s="94"/>
      <c r="DN316" s="46">
        <f t="shared" si="228"/>
        <v>0</v>
      </c>
      <c r="DO316" s="47"/>
      <c r="DP316" s="90">
        <f>10%*AQ316</f>
        <v>0</v>
      </c>
      <c r="DQ316" s="47"/>
      <c r="DR316" s="46">
        <f t="shared" si="237"/>
        <v>0</v>
      </c>
      <c r="DS316" s="47"/>
      <c r="DT316" s="46">
        <f t="shared" si="212"/>
        <v>0</v>
      </c>
      <c r="DU316" s="47"/>
      <c r="DV316" s="46">
        <f t="shared" si="217"/>
        <v>0</v>
      </c>
      <c r="DW316" s="47"/>
      <c r="DX316" s="47">
        <f t="shared" si="230"/>
        <v>0</v>
      </c>
      <c r="DY316" s="91"/>
      <c r="DZ316" s="47"/>
      <c r="EA316" s="47"/>
      <c r="EB316" s="47"/>
      <c r="EC316" s="47"/>
      <c r="ED316" s="47"/>
      <c r="EE316" s="47">
        <f t="shared" si="219"/>
        <v>0</v>
      </c>
      <c r="EF316" s="47"/>
      <c r="EG316" s="47"/>
      <c r="EH316" s="47"/>
      <c r="EI316" s="91"/>
      <c r="EJ316" s="47"/>
      <c r="EK316" s="47">
        <f t="shared" si="204"/>
        <v>0</v>
      </c>
      <c r="EL316" s="46">
        <f t="shared" si="205"/>
        <v>0</v>
      </c>
      <c r="EM316" s="46"/>
      <c r="EN316" s="46">
        <f t="shared" si="206"/>
        <v>0</v>
      </c>
    </row>
    <row r="317" spans="1:145" s="48" customFormat="1" ht="15" customHeight="1" x14ac:dyDescent="0.25">
      <c r="A317" s="58"/>
      <c r="B317" s="88">
        <v>64</v>
      </c>
      <c r="C317" s="42"/>
      <c r="D317" s="43"/>
      <c r="E317" s="42"/>
      <c r="F317" s="42"/>
      <c r="G317" s="49"/>
      <c r="H317" s="49"/>
      <c r="I317" s="49"/>
      <c r="J317" s="49"/>
      <c r="K317" s="49"/>
      <c r="L317" s="49"/>
      <c r="M317" s="42"/>
      <c r="N317" s="41"/>
      <c r="O317" s="41"/>
      <c r="P317" s="42"/>
      <c r="Q317" s="45"/>
      <c r="R317" s="45"/>
      <c r="S317" s="42"/>
      <c r="T317" s="46"/>
      <c r="U317" s="46"/>
      <c r="V317" s="46"/>
      <c r="W317" s="46"/>
      <c r="X317" s="46"/>
      <c r="Y317" s="46"/>
      <c r="Z317" s="42"/>
      <c r="AA317" s="42"/>
      <c r="AB317" s="42"/>
      <c r="AC317" s="42"/>
      <c r="AD317" s="42"/>
      <c r="AE317" s="42"/>
      <c r="AF317" s="42"/>
      <c r="AG317" s="42"/>
      <c r="AH317" s="42"/>
      <c r="AI317" s="46"/>
      <c r="AJ317" s="42"/>
      <c r="AK317" s="42"/>
      <c r="AL317" s="42"/>
      <c r="AM317" s="42"/>
      <c r="AN317" s="90">
        <f t="shared" si="200"/>
        <v>0</v>
      </c>
      <c r="AO317" s="90">
        <f t="shared" si="201"/>
        <v>0</v>
      </c>
      <c r="AP317" s="42" t="s">
        <v>111</v>
      </c>
      <c r="AQ317" s="46">
        <f t="shared" si="236"/>
        <v>0</v>
      </c>
      <c r="AR317" s="46"/>
      <c r="AS317" s="42"/>
      <c r="AT317" s="46"/>
      <c r="AU317" s="64">
        <f t="shared" si="223"/>
        <v>0</v>
      </c>
      <c r="AV317" s="47"/>
      <c r="AW317" s="64">
        <f t="shared" si="213"/>
        <v>0</v>
      </c>
      <c r="AX317" s="47" t="s">
        <v>113</v>
      </c>
      <c r="AY317" s="90">
        <f>25%*AQ317</f>
        <v>0</v>
      </c>
      <c r="AZ317" s="47"/>
      <c r="BA317" s="47"/>
      <c r="BB317" s="47"/>
      <c r="BC317" s="47">
        <f t="shared" si="222"/>
        <v>0</v>
      </c>
      <c r="BD317" s="47"/>
      <c r="BE317" s="47">
        <f t="shared" si="224"/>
        <v>0</v>
      </c>
      <c r="BF317" s="47"/>
      <c r="BG317" s="47"/>
      <c r="BH317" s="47"/>
      <c r="BI317" s="47"/>
      <c r="BJ317" s="47"/>
      <c r="BK317" s="46"/>
      <c r="BL317" s="47"/>
      <c r="BM317" s="64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6"/>
      <c r="CQ317" s="47"/>
      <c r="CR317" s="47">
        <f t="shared" si="231"/>
        <v>0</v>
      </c>
      <c r="CS317" s="47"/>
      <c r="CT317" s="47"/>
      <c r="CU317" s="47"/>
      <c r="CV317" s="47"/>
      <c r="CW317" s="47"/>
      <c r="CX317" s="46"/>
      <c r="CY317" s="47">
        <f t="shared" si="210"/>
        <v>0</v>
      </c>
      <c r="CZ317" s="47"/>
      <c r="DA317" s="47"/>
      <c r="DB317" s="47"/>
      <c r="DC317" s="47"/>
      <c r="DD317" s="47"/>
      <c r="DE317" s="47"/>
      <c r="DF317" s="46">
        <f t="shared" si="215"/>
        <v>0</v>
      </c>
      <c r="DG317" s="47"/>
      <c r="DH317" s="46">
        <f t="shared" si="227"/>
        <v>0</v>
      </c>
      <c r="DI317" s="47"/>
      <c r="DJ317" s="47"/>
      <c r="DK317" s="64">
        <f t="shared" si="225"/>
        <v>0</v>
      </c>
      <c r="DL317" s="60">
        <f t="shared" si="202"/>
        <v>0</v>
      </c>
      <c r="DM317" s="94"/>
      <c r="DN317" s="46">
        <f t="shared" si="228"/>
        <v>0</v>
      </c>
      <c r="DO317" s="47"/>
      <c r="DP317" s="90">
        <f>10%*AQ317</f>
        <v>0</v>
      </c>
      <c r="DQ317" s="47"/>
      <c r="DR317" s="46">
        <f t="shared" si="237"/>
        <v>0</v>
      </c>
      <c r="DS317" s="47"/>
      <c r="DT317" s="46">
        <f t="shared" si="212"/>
        <v>0</v>
      </c>
      <c r="DU317" s="47"/>
      <c r="DV317" s="46">
        <f t="shared" si="217"/>
        <v>0</v>
      </c>
      <c r="DW317" s="47"/>
      <c r="DX317" s="47">
        <f t="shared" si="230"/>
        <v>0</v>
      </c>
      <c r="DY317" s="91"/>
      <c r="DZ317" s="47"/>
      <c r="EA317" s="47"/>
      <c r="EB317" s="47"/>
      <c r="EC317" s="47"/>
      <c r="ED317" s="47"/>
      <c r="EE317" s="47">
        <f t="shared" si="219"/>
        <v>0</v>
      </c>
      <c r="EF317" s="47"/>
      <c r="EG317" s="47"/>
      <c r="EH317" s="47"/>
      <c r="EI317" s="91"/>
      <c r="EJ317" s="47"/>
      <c r="EK317" s="47">
        <f t="shared" si="204"/>
        <v>0</v>
      </c>
      <c r="EL317" s="46">
        <f t="shared" si="205"/>
        <v>0</v>
      </c>
      <c r="EM317" s="46"/>
      <c r="EN317" s="46">
        <f t="shared" si="206"/>
        <v>0</v>
      </c>
    </row>
    <row r="318" spans="1:145" s="48" customFormat="1" ht="15" customHeight="1" x14ac:dyDescent="0.25">
      <c r="A318" s="58"/>
      <c r="B318" s="88">
        <v>65</v>
      </c>
      <c r="C318" s="42"/>
      <c r="D318" s="43"/>
      <c r="E318" s="42"/>
      <c r="F318" s="42"/>
      <c r="G318" s="49"/>
      <c r="H318" s="49"/>
      <c r="I318" s="49"/>
      <c r="J318" s="49"/>
      <c r="K318" s="49"/>
      <c r="L318" s="49"/>
      <c r="M318" s="42"/>
      <c r="N318" s="41"/>
      <c r="O318" s="41"/>
      <c r="P318" s="42"/>
      <c r="Q318" s="45"/>
      <c r="R318" s="45"/>
      <c r="S318" s="42"/>
      <c r="T318" s="46"/>
      <c r="U318" s="46"/>
      <c r="V318" s="46"/>
      <c r="W318" s="46"/>
      <c r="X318" s="46"/>
      <c r="Y318" s="46"/>
      <c r="Z318" s="42"/>
      <c r="AA318" s="42"/>
      <c r="AB318" s="42"/>
      <c r="AC318" s="42"/>
      <c r="AD318" s="42"/>
      <c r="AE318" s="42"/>
      <c r="AF318" s="42"/>
      <c r="AG318" s="42"/>
      <c r="AH318" s="42"/>
      <c r="AI318" s="46"/>
      <c r="AJ318" s="42"/>
      <c r="AK318" s="42"/>
      <c r="AL318" s="42"/>
      <c r="AM318" s="42"/>
      <c r="AN318" s="90">
        <f t="shared" si="200"/>
        <v>0</v>
      </c>
      <c r="AO318" s="90">
        <f t="shared" si="201"/>
        <v>0</v>
      </c>
      <c r="AP318" s="42" t="s">
        <v>111</v>
      </c>
      <c r="AQ318" s="46">
        <f t="shared" si="236"/>
        <v>0</v>
      </c>
      <c r="AR318" s="46"/>
      <c r="AS318" s="42"/>
      <c r="AT318" s="46"/>
      <c r="AU318" s="64">
        <f t="shared" si="223"/>
        <v>0</v>
      </c>
      <c r="AV318" s="47"/>
      <c r="AW318" s="64">
        <f t="shared" si="213"/>
        <v>0</v>
      </c>
      <c r="AX318" s="47" t="s">
        <v>113</v>
      </c>
      <c r="AY318" s="90">
        <f>25%*AQ318</f>
        <v>0</v>
      </c>
      <c r="AZ318" s="47"/>
      <c r="BA318" s="47"/>
      <c r="BB318" s="47"/>
      <c r="BC318" s="47">
        <f t="shared" si="222"/>
        <v>0</v>
      </c>
      <c r="BD318" s="47"/>
      <c r="BE318" s="47">
        <f t="shared" si="224"/>
        <v>0</v>
      </c>
      <c r="BF318" s="47"/>
      <c r="BG318" s="47"/>
      <c r="BH318" s="47"/>
      <c r="BI318" s="47"/>
      <c r="BJ318" s="47"/>
      <c r="BK318" s="46"/>
      <c r="BL318" s="47"/>
      <c r="BM318" s="64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6"/>
      <c r="CQ318" s="47"/>
      <c r="CR318" s="47">
        <f t="shared" si="231"/>
        <v>0</v>
      </c>
      <c r="CS318" s="47"/>
      <c r="CT318" s="47"/>
      <c r="CU318" s="47"/>
      <c r="CV318" s="47"/>
      <c r="CW318" s="47"/>
      <c r="CX318" s="46"/>
      <c r="CY318" s="47">
        <f t="shared" si="210"/>
        <v>0</v>
      </c>
      <c r="CZ318" s="47"/>
      <c r="DA318" s="47"/>
      <c r="DB318" s="47"/>
      <c r="DC318" s="47"/>
      <c r="DD318" s="47"/>
      <c r="DE318" s="47"/>
      <c r="DF318" s="46">
        <f t="shared" si="215"/>
        <v>0</v>
      </c>
      <c r="DG318" s="47"/>
      <c r="DH318" s="46">
        <f t="shared" si="227"/>
        <v>0</v>
      </c>
      <c r="DI318" s="47"/>
      <c r="DJ318" s="47"/>
      <c r="DK318" s="64">
        <f t="shared" si="225"/>
        <v>0</v>
      </c>
      <c r="DL318" s="60">
        <f t="shared" si="202"/>
        <v>0</v>
      </c>
      <c r="DM318" s="94"/>
      <c r="DN318" s="46">
        <f t="shared" si="228"/>
        <v>0</v>
      </c>
      <c r="DO318" s="47"/>
      <c r="DP318" s="90">
        <f>10%*AQ318</f>
        <v>0</v>
      </c>
      <c r="DQ318" s="47"/>
      <c r="DR318" s="46">
        <f t="shared" si="237"/>
        <v>0</v>
      </c>
      <c r="DS318" s="47"/>
      <c r="DT318" s="46">
        <f t="shared" si="212"/>
        <v>0</v>
      </c>
      <c r="DU318" s="47"/>
      <c r="DV318" s="46">
        <f t="shared" si="217"/>
        <v>0</v>
      </c>
      <c r="DW318" s="47"/>
      <c r="DX318" s="47">
        <f t="shared" si="230"/>
        <v>0</v>
      </c>
      <c r="DY318" s="91"/>
      <c r="DZ318" s="47"/>
      <c r="EA318" s="47"/>
      <c r="EB318" s="47"/>
      <c r="EC318" s="47"/>
      <c r="ED318" s="47"/>
      <c r="EE318" s="47">
        <f t="shared" si="219"/>
        <v>0</v>
      </c>
      <c r="EF318" s="47"/>
      <c r="EG318" s="47"/>
      <c r="EH318" s="47"/>
      <c r="EI318" s="91"/>
      <c r="EJ318" s="47"/>
      <c r="EK318" s="47">
        <f t="shared" si="204"/>
        <v>0</v>
      </c>
      <c r="EL318" s="46">
        <f t="shared" si="205"/>
        <v>0</v>
      </c>
      <c r="EM318" s="46"/>
      <c r="EN318" s="46">
        <f t="shared" si="206"/>
        <v>0</v>
      </c>
    </row>
    <row r="319" spans="1:145" s="48" customFormat="1" ht="15" customHeight="1" x14ac:dyDescent="0.25">
      <c r="A319" s="58"/>
      <c r="B319" s="88">
        <v>66</v>
      </c>
      <c r="C319" s="42"/>
      <c r="D319" s="43"/>
      <c r="E319" s="42"/>
      <c r="F319" s="42"/>
      <c r="G319" s="49"/>
      <c r="H319" s="49"/>
      <c r="I319" s="49"/>
      <c r="J319" s="49"/>
      <c r="K319" s="49"/>
      <c r="L319" s="49"/>
      <c r="M319" s="42"/>
      <c r="N319" s="41"/>
      <c r="O319" s="41"/>
      <c r="P319" s="42"/>
      <c r="Q319" s="45"/>
      <c r="R319" s="45"/>
      <c r="S319" s="42"/>
      <c r="T319" s="46"/>
      <c r="U319" s="46"/>
      <c r="V319" s="46"/>
      <c r="W319" s="46"/>
      <c r="X319" s="46"/>
      <c r="Y319" s="46"/>
      <c r="Z319" s="42"/>
      <c r="AA319" s="42"/>
      <c r="AB319" s="42"/>
      <c r="AC319" s="42"/>
      <c r="AD319" s="42"/>
      <c r="AE319" s="42"/>
      <c r="AF319" s="42"/>
      <c r="AG319" s="42"/>
      <c r="AH319" s="42"/>
      <c r="AI319" s="46"/>
      <c r="AJ319" s="42"/>
      <c r="AK319" s="42"/>
      <c r="AL319" s="42"/>
      <c r="AM319" s="42"/>
      <c r="AN319" s="46">
        <f t="shared" si="200"/>
        <v>0</v>
      </c>
      <c r="AO319" s="46">
        <f t="shared" si="201"/>
        <v>0</v>
      </c>
      <c r="AP319" s="42" t="s">
        <v>118</v>
      </c>
      <c r="AQ319" s="46">
        <f t="shared" si="236"/>
        <v>0</v>
      </c>
      <c r="AR319" s="46"/>
      <c r="AS319" s="42"/>
      <c r="AT319" s="46"/>
      <c r="AU319" s="47">
        <f t="shared" si="223"/>
        <v>0</v>
      </c>
      <c r="AV319" s="47"/>
      <c r="AW319" s="47">
        <f t="shared" si="213"/>
        <v>0</v>
      </c>
      <c r="AX319" s="47"/>
      <c r="AY319" s="46"/>
      <c r="AZ319" s="47"/>
      <c r="BA319" s="47"/>
      <c r="BB319" s="47"/>
      <c r="BC319" s="47">
        <f t="shared" si="222"/>
        <v>0</v>
      </c>
      <c r="BD319" s="47"/>
      <c r="BE319" s="47">
        <f t="shared" si="224"/>
        <v>0</v>
      </c>
      <c r="BF319" s="47"/>
      <c r="BG319" s="47"/>
      <c r="BH319" s="47"/>
      <c r="BI319" s="47"/>
      <c r="BJ319" s="47"/>
      <c r="BK319" s="46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6"/>
      <c r="CQ319" s="47"/>
      <c r="CR319" s="47">
        <f t="shared" si="231"/>
        <v>0</v>
      </c>
      <c r="CS319" s="47"/>
      <c r="CT319" s="47"/>
      <c r="CU319" s="47"/>
      <c r="CV319" s="47"/>
      <c r="CW319" s="47"/>
      <c r="CX319" s="46"/>
      <c r="CY319" s="47">
        <f t="shared" si="210"/>
        <v>0</v>
      </c>
      <c r="CZ319" s="47"/>
      <c r="DA319" s="47"/>
      <c r="DB319" s="47"/>
      <c r="DC319" s="47"/>
      <c r="DD319" s="47"/>
      <c r="DE319" s="47"/>
      <c r="DF319" s="46">
        <f t="shared" si="215"/>
        <v>0</v>
      </c>
      <c r="DG319" s="47"/>
      <c r="DH319" s="46">
        <f t="shared" si="227"/>
        <v>0</v>
      </c>
      <c r="DI319" s="47"/>
      <c r="DJ319" s="47"/>
      <c r="DK319" s="47">
        <f t="shared" si="225"/>
        <v>0</v>
      </c>
      <c r="DL319" s="60">
        <f t="shared" si="202"/>
        <v>0</v>
      </c>
      <c r="DM319" s="94"/>
      <c r="DN319" s="46"/>
      <c r="DO319" s="47"/>
      <c r="DP319" s="90"/>
      <c r="DQ319" s="47"/>
      <c r="DR319" s="46">
        <f t="shared" si="237"/>
        <v>0</v>
      </c>
      <c r="DS319" s="47"/>
      <c r="DT319" s="46">
        <f t="shared" si="212"/>
        <v>0</v>
      </c>
      <c r="DU319" s="47"/>
      <c r="DV319" s="46">
        <f t="shared" si="217"/>
        <v>0</v>
      </c>
      <c r="DW319" s="47"/>
      <c r="DX319" s="47">
        <f t="shared" si="230"/>
        <v>0</v>
      </c>
      <c r="DY319" s="91"/>
      <c r="DZ319" s="47"/>
      <c r="EA319" s="47"/>
      <c r="EB319" s="47"/>
      <c r="EC319" s="47"/>
      <c r="ED319" s="47"/>
      <c r="EE319" s="47">
        <f t="shared" si="219"/>
        <v>0</v>
      </c>
      <c r="EF319" s="47"/>
      <c r="EG319" s="47"/>
      <c r="EH319" s="47"/>
      <c r="EI319" s="91"/>
      <c r="EJ319" s="47"/>
      <c r="EK319" s="47">
        <f t="shared" si="204"/>
        <v>0</v>
      </c>
      <c r="EL319" s="46">
        <f t="shared" si="205"/>
        <v>0</v>
      </c>
      <c r="EM319" s="46"/>
      <c r="EN319" s="46">
        <f t="shared" si="206"/>
        <v>0</v>
      </c>
      <c r="EO319" s="48" t="s">
        <v>117</v>
      </c>
    </row>
    <row r="320" spans="1:145" s="48" customFormat="1" ht="15" customHeight="1" x14ac:dyDescent="0.25">
      <c r="A320" s="58"/>
      <c r="B320" s="88">
        <v>67</v>
      </c>
      <c r="C320" s="42"/>
      <c r="D320" s="43"/>
      <c r="E320" s="42"/>
      <c r="F320" s="42"/>
      <c r="G320" s="49"/>
      <c r="H320" s="49"/>
      <c r="I320" s="49"/>
      <c r="J320" s="49"/>
      <c r="K320" s="49"/>
      <c r="L320" s="49"/>
      <c r="M320" s="42"/>
      <c r="N320" s="41"/>
      <c r="O320" s="41"/>
      <c r="P320" s="42"/>
      <c r="Q320" s="45"/>
      <c r="R320" s="45"/>
      <c r="S320" s="42"/>
      <c r="T320" s="46"/>
      <c r="U320" s="46"/>
      <c r="V320" s="46"/>
      <c r="W320" s="46"/>
      <c r="X320" s="46"/>
      <c r="Y320" s="46"/>
      <c r="Z320" s="42"/>
      <c r="AA320" s="42"/>
      <c r="AB320" s="42"/>
      <c r="AC320" s="42"/>
      <c r="AD320" s="42"/>
      <c r="AE320" s="42"/>
      <c r="AF320" s="42"/>
      <c r="AG320" s="42"/>
      <c r="AH320" s="42"/>
      <c r="AI320" s="46"/>
      <c r="AJ320" s="42"/>
      <c r="AK320" s="42"/>
      <c r="AL320" s="42"/>
      <c r="AM320" s="42"/>
      <c r="AN320" s="90">
        <f t="shared" si="200"/>
        <v>0</v>
      </c>
      <c r="AO320" s="90">
        <f t="shared" si="201"/>
        <v>0</v>
      </c>
      <c r="AP320" s="42" t="s">
        <v>114</v>
      </c>
      <c r="AQ320" s="46">
        <f t="shared" si="236"/>
        <v>0</v>
      </c>
      <c r="AR320" s="46"/>
      <c r="AS320" s="42"/>
      <c r="AT320" s="46"/>
      <c r="AU320" s="64">
        <f t="shared" si="223"/>
        <v>0</v>
      </c>
      <c r="AV320" s="47"/>
      <c r="AW320" s="64">
        <f t="shared" si="213"/>
        <v>0</v>
      </c>
      <c r="AX320" s="47"/>
      <c r="AY320" s="90"/>
      <c r="AZ320" s="47"/>
      <c r="BA320" s="47"/>
      <c r="BB320" s="47"/>
      <c r="BC320" s="47">
        <f t="shared" si="222"/>
        <v>0</v>
      </c>
      <c r="BD320" s="47"/>
      <c r="BE320" s="47">
        <f t="shared" si="224"/>
        <v>0</v>
      </c>
      <c r="BF320" s="47"/>
      <c r="BG320" s="47"/>
      <c r="BH320" s="47"/>
      <c r="BI320" s="47"/>
      <c r="BJ320" s="47"/>
      <c r="BK320" s="46"/>
      <c r="BL320" s="47"/>
      <c r="BM320" s="64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6"/>
      <c r="CQ320" s="47"/>
      <c r="CR320" s="47">
        <f t="shared" si="231"/>
        <v>0</v>
      </c>
      <c r="CS320" s="47"/>
      <c r="CT320" s="47"/>
      <c r="CU320" s="47"/>
      <c r="CV320" s="47"/>
      <c r="CW320" s="47"/>
      <c r="CX320" s="46"/>
      <c r="CY320" s="47">
        <f t="shared" si="210"/>
        <v>0</v>
      </c>
      <c r="CZ320" s="47"/>
      <c r="DA320" s="47"/>
      <c r="DB320" s="47"/>
      <c r="DC320" s="47"/>
      <c r="DD320" s="47">
        <f>DB320*DC320</f>
        <v>0</v>
      </c>
      <c r="DE320" s="47"/>
      <c r="DF320" s="46">
        <f t="shared" si="215"/>
        <v>0</v>
      </c>
      <c r="DG320" s="47"/>
      <c r="DH320" s="46"/>
      <c r="DI320" s="47"/>
      <c r="DJ320" s="47"/>
      <c r="DK320" s="64">
        <f t="shared" si="225"/>
        <v>0</v>
      </c>
      <c r="DL320" s="60">
        <f t="shared" si="202"/>
        <v>0</v>
      </c>
      <c r="DM320" s="94"/>
      <c r="DN320" s="46"/>
      <c r="DO320" s="47"/>
      <c r="DP320" s="90"/>
      <c r="DQ320" s="47"/>
      <c r="DR320" s="46">
        <f t="shared" si="237"/>
        <v>0</v>
      </c>
      <c r="DS320" s="47"/>
      <c r="DT320" s="46">
        <f t="shared" si="212"/>
        <v>0</v>
      </c>
      <c r="DU320" s="47"/>
      <c r="DV320" s="46">
        <f t="shared" si="217"/>
        <v>0</v>
      </c>
      <c r="DW320" s="47"/>
      <c r="DX320" s="47">
        <f t="shared" si="230"/>
        <v>0</v>
      </c>
      <c r="DY320" s="91"/>
      <c r="DZ320" s="47"/>
      <c r="EA320" s="47"/>
      <c r="EB320" s="47"/>
      <c r="EC320" s="47"/>
      <c r="ED320" s="47"/>
      <c r="EE320" s="47">
        <f t="shared" si="219"/>
        <v>0</v>
      </c>
      <c r="EF320" s="47"/>
      <c r="EG320" s="47"/>
      <c r="EH320" s="47"/>
      <c r="EI320" s="91"/>
      <c r="EJ320" s="47"/>
      <c r="EK320" s="47">
        <f t="shared" si="204"/>
        <v>0</v>
      </c>
      <c r="EL320" s="46">
        <f t="shared" si="205"/>
        <v>0</v>
      </c>
      <c r="EM320" s="46"/>
      <c r="EN320" s="46">
        <f t="shared" si="206"/>
        <v>0</v>
      </c>
    </row>
    <row r="321" spans="1:157" s="80" customFormat="1" ht="15" customHeight="1" x14ac:dyDescent="0.25">
      <c r="B321" s="88">
        <v>68</v>
      </c>
      <c r="C321" s="74"/>
      <c r="D321" s="75"/>
      <c r="E321" s="74"/>
      <c r="F321" s="74"/>
      <c r="G321" s="74"/>
      <c r="H321" s="74"/>
      <c r="I321" s="74"/>
      <c r="J321" s="74"/>
      <c r="K321" s="74"/>
      <c r="L321" s="74"/>
      <c r="M321" s="74"/>
      <c r="N321" s="76"/>
      <c r="O321" s="76"/>
      <c r="P321" s="74"/>
      <c r="Q321" s="77"/>
      <c r="R321" s="77"/>
      <c r="S321" s="74"/>
      <c r="T321" s="78"/>
      <c r="U321" s="78"/>
      <c r="V321" s="78"/>
      <c r="W321" s="78"/>
      <c r="X321" s="78"/>
      <c r="Y321" s="78"/>
      <c r="Z321" s="74"/>
      <c r="AA321" s="74"/>
      <c r="AB321" s="74"/>
      <c r="AC321" s="74"/>
      <c r="AD321" s="74"/>
      <c r="AE321" s="74"/>
      <c r="AF321" s="74"/>
      <c r="AG321" s="74"/>
      <c r="AH321" s="74"/>
      <c r="AI321" s="78"/>
      <c r="AJ321" s="74"/>
      <c r="AK321" s="74"/>
      <c r="AL321" s="74"/>
      <c r="AM321" s="74"/>
      <c r="AN321" s="78">
        <f t="shared" si="200"/>
        <v>0</v>
      </c>
      <c r="AO321" s="78">
        <f t="shared" si="201"/>
        <v>0</v>
      </c>
      <c r="AP321" s="74" t="s">
        <v>102</v>
      </c>
      <c r="AQ321" s="78"/>
      <c r="AR321" s="78"/>
      <c r="AS321" s="74"/>
      <c r="AT321" s="78"/>
      <c r="AU321" s="79">
        <f t="shared" si="223"/>
        <v>0</v>
      </c>
      <c r="AV321" s="79"/>
      <c r="AW321" s="79">
        <f t="shared" si="213"/>
        <v>0</v>
      </c>
      <c r="AX321" s="79"/>
      <c r="AY321" s="78"/>
      <c r="AZ321" s="79"/>
      <c r="BA321" s="79"/>
      <c r="BB321" s="79"/>
      <c r="BC321" s="79">
        <f t="shared" si="222"/>
        <v>0</v>
      </c>
      <c r="BD321" s="79"/>
      <c r="BE321" s="79">
        <f t="shared" si="224"/>
        <v>0</v>
      </c>
      <c r="BF321" s="79"/>
      <c r="BG321" s="79"/>
      <c r="BH321" s="79"/>
      <c r="BI321" s="79"/>
      <c r="BJ321" s="79"/>
      <c r="BK321" s="78">
        <f>BI321*BJ321</f>
        <v>0</v>
      </c>
      <c r="BL321" s="79"/>
      <c r="BM321" s="79">
        <f>+BG321+BH321+BK321+BL321</f>
        <v>0</v>
      </c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8"/>
      <c r="CQ321" s="79"/>
      <c r="CR321" s="79">
        <f t="shared" si="231"/>
        <v>0</v>
      </c>
      <c r="CS321" s="79"/>
      <c r="CT321" s="79"/>
      <c r="CU321" s="79"/>
      <c r="CV321" s="79"/>
      <c r="CW321" s="79">
        <f>CU321*CV321</f>
        <v>0</v>
      </c>
      <c r="CX321" s="78"/>
      <c r="CY321" s="79">
        <f t="shared" si="210"/>
        <v>0</v>
      </c>
      <c r="CZ321" s="79"/>
      <c r="DA321" s="79"/>
      <c r="DB321" s="79"/>
      <c r="DC321" s="79"/>
      <c r="DD321" s="122">
        <f>+DB321*DC321</f>
        <v>0</v>
      </c>
      <c r="DE321" s="79"/>
      <c r="DF321" s="78">
        <f t="shared" si="215"/>
        <v>0</v>
      </c>
      <c r="DG321" s="79"/>
      <c r="DH321" s="46">
        <f>AQ321/2</f>
        <v>0</v>
      </c>
      <c r="DI321" s="79"/>
      <c r="DJ321" s="79"/>
      <c r="DK321" s="79">
        <f t="shared" si="225"/>
        <v>0</v>
      </c>
      <c r="DL321" s="123">
        <f t="shared" si="202"/>
        <v>0</v>
      </c>
      <c r="DM321" s="124"/>
      <c r="DN321" s="46">
        <f>7.5%*AQ321</f>
        <v>0</v>
      </c>
      <c r="DO321" s="79"/>
      <c r="DP321" s="90">
        <f>DN321</f>
        <v>0</v>
      </c>
      <c r="DQ321" s="79"/>
      <c r="DR321" s="78">
        <f t="shared" si="237"/>
        <v>0</v>
      </c>
      <c r="DS321" s="79"/>
      <c r="DT321" s="78">
        <f t="shared" si="212"/>
        <v>0</v>
      </c>
      <c r="DU321" s="79"/>
      <c r="DV321" s="78">
        <f t="shared" si="217"/>
        <v>0</v>
      </c>
      <c r="DW321" s="79"/>
      <c r="DX321" s="79">
        <f t="shared" si="230"/>
        <v>0</v>
      </c>
      <c r="DY321" s="125"/>
      <c r="DZ321" s="79"/>
      <c r="EA321" s="79"/>
      <c r="EB321" s="79"/>
      <c r="EC321" s="79"/>
      <c r="ED321" s="79"/>
      <c r="EE321" s="79">
        <f t="shared" si="219"/>
        <v>0</v>
      </c>
      <c r="EF321" s="79"/>
      <c r="EG321" s="79"/>
      <c r="EH321" s="79"/>
      <c r="EI321" s="125"/>
      <c r="EJ321" s="79"/>
      <c r="EK321" s="79">
        <f t="shared" si="204"/>
        <v>0</v>
      </c>
      <c r="EL321" s="78">
        <f t="shared" si="205"/>
        <v>0</v>
      </c>
      <c r="EM321" s="78"/>
      <c r="EN321" s="78">
        <f t="shared" si="206"/>
        <v>0</v>
      </c>
    </row>
    <row r="322" spans="1:157" s="48" customFormat="1" ht="15" customHeight="1" x14ac:dyDescent="0.25">
      <c r="A322" s="58"/>
      <c r="B322" s="88">
        <v>69</v>
      </c>
      <c r="C322" s="42"/>
      <c r="D322" s="43"/>
      <c r="E322" s="42"/>
      <c r="F322" s="42"/>
      <c r="G322" s="49"/>
      <c r="H322" s="49"/>
      <c r="I322" s="49"/>
      <c r="J322" s="49"/>
      <c r="K322" s="49"/>
      <c r="L322" s="49"/>
      <c r="M322" s="42"/>
      <c r="N322" s="41"/>
      <c r="O322" s="41"/>
      <c r="P322" s="42"/>
      <c r="Q322" s="45"/>
      <c r="R322" s="45"/>
      <c r="S322" s="42"/>
      <c r="T322" s="46"/>
      <c r="U322" s="46"/>
      <c r="V322" s="46"/>
      <c r="W322" s="46"/>
      <c r="X322" s="46"/>
      <c r="Y322" s="46"/>
      <c r="Z322" s="42"/>
      <c r="AA322" s="42"/>
      <c r="AB322" s="42"/>
      <c r="AC322" s="42"/>
      <c r="AD322" s="42"/>
      <c r="AE322" s="42"/>
      <c r="AF322" s="42"/>
      <c r="AG322" s="42"/>
      <c r="AH322" s="42"/>
      <c r="AI322" s="46"/>
      <c r="AJ322" s="42"/>
      <c r="AK322" s="42"/>
      <c r="AL322" s="42"/>
      <c r="AM322" s="42"/>
      <c r="AN322" s="90">
        <f t="shared" si="200"/>
        <v>0</v>
      </c>
      <c r="AO322" s="90">
        <f t="shared" si="201"/>
        <v>0</v>
      </c>
      <c r="AP322" s="42" t="s">
        <v>114</v>
      </c>
      <c r="AQ322" s="46">
        <f t="shared" ref="AQ322:AQ332" si="238">20%*AO322</f>
        <v>0</v>
      </c>
      <c r="AR322" s="46"/>
      <c r="AS322" s="42"/>
      <c r="AT322" s="46"/>
      <c r="AU322" s="64">
        <f t="shared" si="223"/>
        <v>0</v>
      </c>
      <c r="AV322" s="47"/>
      <c r="AW322" s="64">
        <f t="shared" si="213"/>
        <v>0</v>
      </c>
      <c r="AX322" s="47" t="s">
        <v>113</v>
      </c>
      <c r="AY322" s="90"/>
      <c r="AZ322" s="47"/>
      <c r="BA322" s="47"/>
      <c r="BB322" s="47"/>
      <c r="BC322" s="47">
        <f t="shared" si="222"/>
        <v>0</v>
      </c>
      <c r="BD322" s="47"/>
      <c r="BE322" s="47">
        <f t="shared" si="224"/>
        <v>0</v>
      </c>
      <c r="BF322" s="47"/>
      <c r="BG322" s="47"/>
      <c r="BH322" s="47"/>
      <c r="BI322" s="47"/>
      <c r="BJ322" s="47"/>
      <c r="BK322" s="46">
        <f>BI322*BJ322</f>
        <v>0</v>
      </c>
      <c r="BL322" s="47"/>
      <c r="BM322" s="64">
        <f>+BG322+BH322+BK322+BL322</f>
        <v>0</v>
      </c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6"/>
      <c r="CQ322" s="47"/>
      <c r="CR322" s="64">
        <f t="shared" si="231"/>
        <v>0</v>
      </c>
      <c r="CS322" s="47"/>
      <c r="CT322" s="47"/>
      <c r="CU322" s="47"/>
      <c r="CV322" s="47"/>
      <c r="CW322" s="47">
        <f>CU322*CV322</f>
        <v>0</v>
      </c>
      <c r="CX322" s="46"/>
      <c r="CY322" s="47">
        <f t="shared" si="210"/>
        <v>0</v>
      </c>
      <c r="CZ322" s="47"/>
      <c r="DA322" s="47"/>
      <c r="DB322" s="47"/>
      <c r="DC322" s="47"/>
      <c r="DD322" s="47"/>
      <c r="DE322" s="47"/>
      <c r="DF322" s="46">
        <f t="shared" si="215"/>
        <v>0</v>
      </c>
      <c r="DG322" s="47"/>
      <c r="DH322" s="46"/>
      <c r="DI322" s="47"/>
      <c r="DJ322" s="47"/>
      <c r="DK322" s="64">
        <f t="shared" si="225"/>
        <v>0</v>
      </c>
      <c r="DL322" s="60">
        <f t="shared" si="202"/>
        <v>0</v>
      </c>
      <c r="DM322" s="94"/>
      <c r="DN322" s="46"/>
      <c r="DO322" s="47"/>
      <c r="DP322" s="90"/>
      <c r="DQ322" s="47"/>
      <c r="DR322" s="90">
        <f t="shared" si="237"/>
        <v>0</v>
      </c>
      <c r="DS322" s="47"/>
      <c r="DT322" s="46">
        <f t="shared" si="212"/>
        <v>0</v>
      </c>
      <c r="DU322" s="47"/>
      <c r="DV322" s="46">
        <f t="shared" si="217"/>
        <v>0</v>
      </c>
      <c r="DW322" s="47"/>
      <c r="DX322" s="64">
        <f t="shared" si="230"/>
        <v>0</v>
      </c>
      <c r="DY322" s="91"/>
      <c r="DZ322" s="47"/>
      <c r="EA322" s="47"/>
      <c r="EB322" s="47"/>
      <c r="EC322" s="47"/>
      <c r="ED322" s="47"/>
      <c r="EE322" s="47">
        <f t="shared" si="219"/>
        <v>0</v>
      </c>
      <c r="EF322" s="47"/>
      <c r="EG322" s="47"/>
      <c r="EH322" s="47"/>
      <c r="EI322" s="91"/>
      <c r="EJ322" s="47"/>
      <c r="EK322" s="47">
        <f t="shared" si="204"/>
        <v>0</v>
      </c>
      <c r="EL322" s="46">
        <f t="shared" si="205"/>
        <v>0</v>
      </c>
      <c r="EM322" s="46"/>
      <c r="EN322" s="46">
        <f t="shared" si="206"/>
        <v>0</v>
      </c>
    </row>
    <row r="323" spans="1:157" s="48" customFormat="1" ht="15" customHeight="1" x14ac:dyDescent="0.25">
      <c r="A323" s="58"/>
      <c r="B323" s="88">
        <v>70</v>
      </c>
      <c r="C323" s="42"/>
      <c r="D323" s="43"/>
      <c r="E323" s="42"/>
      <c r="F323" s="42"/>
      <c r="G323" s="49"/>
      <c r="H323" s="49"/>
      <c r="I323" s="49"/>
      <c r="J323" s="49"/>
      <c r="K323" s="49"/>
      <c r="L323" s="49"/>
      <c r="M323" s="42"/>
      <c r="N323" s="41"/>
      <c r="O323" s="41"/>
      <c r="P323" s="42"/>
      <c r="Q323" s="45"/>
      <c r="R323" s="45"/>
      <c r="S323" s="42"/>
      <c r="T323" s="46"/>
      <c r="U323" s="46"/>
      <c r="V323" s="46"/>
      <c r="W323" s="46"/>
      <c r="X323" s="46"/>
      <c r="Y323" s="46"/>
      <c r="Z323" s="42"/>
      <c r="AA323" s="42"/>
      <c r="AB323" s="42"/>
      <c r="AC323" s="42"/>
      <c r="AD323" s="42"/>
      <c r="AE323" s="42"/>
      <c r="AF323" s="42"/>
      <c r="AG323" s="42"/>
      <c r="AH323" s="42"/>
      <c r="AI323" s="46"/>
      <c r="AJ323" s="42"/>
      <c r="AK323" s="42"/>
      <c r="AL323" s="42"/>
      <c r="AM323" s="42"/>
      <c r="AN323" s="90">
        <f t="shared" si="200"/>
        <v>0</v>
      </c>
      <c r="AO323" s="90">
        <f t="shared" si="201"/>
        <v>0</v>
      </c>
      <c r="AP323" s="42" t="s">
        <v>114</v>
      </c>
      <c r="AQ323" s="46">
        <f t="shared" si="238"/>
        <v>0</v>
      </c>
      <c r="AR323" s="46"/>
      <c r="AS323" s="42"/>
      <c r="AT323" s="46"/>
      <c r="AU323" s="64">
        <f t="shared" si="223"/>
        <v>0</v>
      </c>
      <c r="AV323" s="47"/>
      <c r="AW323" s="64">
        <f t="shared" si="213"/>
        <v>0</v>
      </c>
      <c r="AX323" s="47"/>
      <c r="AY323" s="90"/>
      <c r="AZ323" s="47"/>
      <c r="BA323" s="47"/>
      <c r="BB323" s="47"/>
      <c r="BC323" s="47">
        <f t="shared" si="222"/>
        <v>0</v>
      </c>
      <c r="BD323" s="47"/>
      <c r="BE323" s="47">
        <f t="shared" si="224"/>
        <v>0</v>
      </c>
      <c r="BF323" s="47"/>
      <c r="BG323" s="47"/>
      <c r="BH323" s="47"/>
      <c r="BI323" s="47"/>
      <c r="BJ323" s="47"/>
      <c r="BK323" s="46">
        <f>BI323*BJ323</f>
        <v>0</v>
      </c>
      <c r="BL323" s="47"/>
      <c r="BM323" s="64">
        <f>+BG323+BH323+BK323+BL323</f>
        <v>0</v>
      </c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6"/>
      <c r="CQ323" s="47"/>
      <c r="CR323" s="64">
        <f t="shared" si="231"/>
        <v>0</v>
      </c>
      <c r="CS323" s="47"/>
      <c r="CT323" s="47"/>
      <c r="CU323" s="47"/>
      <c r="CV323" s="47"/>
      <c r="CW323" s="47">
        <f>CU323*CV323</f>
        <v>0</v>
      </c>
      <c r="CX323" s="46"/>
      <c r="CY323" s="47">
        <f t="shared" si="210"/>
        <v>0</v>
      </c>
      <c r="CZ323" s="47"/>
      <c r="DA323" s="47"/>
      <c r="DB323" s="47"/>
      <c r="DC323" s="47"/>
      <c r="DD323" s="47"/>
      <c r="DE323" s="47"/>
      <c r="DF323" s="46">
        <f t="shared" si="215"/>
        <v>0</v>
      </c>
      <c r="DG323" s="47"/>
      <c r="DH323" s="46"/>
      <c r="DI323" s="47"/>
      <c r="DJ323" s="47"/>
      <c r="DK323" s="64">
        <f t="shared" si="225"/>
        <v>0</v>
      </c>
      <c r="DL323" s="60">
        <f t="shared" si="202"/>
        <v>0</v>
      </c>
      <c r="DM323" s="94"/>
      <c r="DN323" s="46"/>
      <c r="DO323" s="47"/>
      <c r="DP323" s="90"/>
      <c r="DQ323" s="47"/>
      <c r="DR323" s="90">
        <f t="shared" si="237"/>
        <v>0</v>
      </c>
      <c r="DS323" s="47"/>
      <c r="DT323" s="46">
        <f t="shared" si="212"/>
        <v>0</v>
      </c>
      <c r="DU323" s="47"/>
      <c r="DV323" s="46">
        <f t="shared" si="217"/>
        <v>0</v>
      </c>
      <c r="DW323" s="47"/>
      <c r="DX323" s="64">
        <f t="shared" si="230"/>
        <v>0</v>
      </c>
      <c r="DY323" s="91"/>
      <c r="DZ323" s="47"/>
      <c r="EA323" s="47"/>
      <c r="EB323" s="47"/>
      <c r="EC323" s="47"/>
      <c r="ED323" s="47"/>
      <c r="EE323" s="47">
        <f t="shared" si="219"/>
        <v>0</v>
      </c>
      <c r="EF323" s="47"/>
      <c r="EG323" s="47"/>
      <c r="EH323" s="47"/>
      <c r="EI323" s="91"/>
      <c r="EJ323" s="47"/>
      <c r="EK323" s="47">
        <f t="shared" si="204"/>
        <v>0</v>
      </c>
      <c r="EL323" s="46">
        <f t="shared" si="205"/>
        <v>0</v>
      </c>
      <c r="EM323" s="46"/>
      <c r="EN323" s="46">
        <f t="shared" si="206"/>
        <v>0</v>
      </c>
    </row>
    <row r="324" spans="1:157" s="48" customFormat="1" ht="15" customHeight="1" x14ac:dyDescent="0.25">
      <c r="A324" s="58"/>
      <c r="B324" s="88">
        <v>71</v>
      </c>
      <c r="C324" s="42"/>
      <c r="D324" s="43"/>
      <c r="E324" s="42"/>
      <c r="F324" s="42"/>
      <c r="G324" s="49"/>
      <c r="H324" s="49"/>
      <c r="I324" s="49"/>
      <c r="J324" s="49"/>
      <c r="K324" s="49"/>
      <c r="L324" s="49"/>
      <c r="M324" s="42"/>
      <c r="N324" s="41"/>
      <c r="O324" s="41"/>
      <c r="P324" s="42"/>
      <c r="Q324" s="45"/>
      <c r="R324" s="45"/>
      <c r="S324" s="42"/>
      <c r="T324" s="46"/>
      <c r="U324" s="46"/>
      <c r="V324" s="46"/>
      <c r="W324" s="46"/>
      <c r="X324" s="46"/>
      <c r="Y324" s="46"/>
      <c r="Z324" s="42"/>
      <c r="AA324" s="42"/>
      <c r="AB324" s="42"/>
      <c r="AC324" s="42"/>
      <c r="AD324" s="42"/>
      <c r="AE324" s="42"/>
      <c r="AF324" s="42"/>
      <c r="AG324" s="42"/>
      <c r="AH324" s="42"/>
      <c r="AI324" s="46"/>
      <c r="AJ324" s="42"/>
      <c r="AK324" s="42"/>
      <c r="AL324" s="42"/>
      <c r="AM324" s="42"/>
      <c r="AN324" s="90">
        <f t="shared" si="200"/>
        <v>0</v>
      </c>
      <c r="AO324" s="90">
        <f t="shared" si="201"/>
        <v>0</v>
      </c>
      <c r="AP324" s="42" t="s">
        <v>111</v>
      </c>
      <c r="AQ324" s="46">
        <f t="shared" si="238"/>
        <v>0</v>
      </c>
      <c r="AR324" s="46"/>
      <c r="AS324" s="42"/>
      <c r="AT324" s="46"/>
      <c r="AU324" s="64">
        <f t="shared" si="223"/>
        <v>0</v>
      </c>
      <c r="AV324" s="47"/>
      <c r="AW324" s="64">
        <f t="shared" si="213"/>
        <v>0</v>
      </c>
      <c r="AX324" s="47" t="s">
        <v>113</v>
      </c>
      <c r="AY324" s="90">
        <f>25%*AQ324</f>
        <v>0</v>
      </c>
      <c r="AZ324" s="47"/>
      <c r="BA324" s="47"/>
      <c r="BB324" s="47"/>
      <c r="BC324" s="47">
        <f t="shared" si="222"/>
        <v>0</v>
      </c>
      <c r="BD324" s="47"/>
      <c r="BE324" s="47">
        <f t="shared" si="224"/>
        <v>0</v>
      </c>
      <c r="BF324" s="47"/>
      <c r="BG324" s="47"/>
      <c r="BH324" s="47"/>
      <c r="BI324" s="47"/>
      <c r="BJ324" s="47"/>
      <c r="BK324" s="46"/>
      <c r="BL324" s="47"/>
      <c r="BM324" s="64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6"/>
      <c r="CQ324" s="47"/>
      <c r="CR324" s="47">
        <f t="shared" si="231"/>
        <v>0</v>
      </c>
      <c r="CS324" s="47"/>
      <c r="CT324" s="47"/>
      <c r="CU324" s="47"/>
      <c r="CV324" s="47"/>
      <c r="CW324" s="47"/>
      <c r="CX324" s="46"/>
      <c r="CY324" s="47">
        <f t="shared" si="210"/>
        <v>0</v>
      </c>
      <c r="CZ324" s="47"/>
      <c r="DA324" s="47"/>
      <c r="DB324" s="47"/>
      <c r="DC324" s="47"/>
      <c r="DD324" s="47"/>
      <c r="DE324" s="47"/>
      <c r="DF324" s="46">
        <f t="shared" si="215"/>
        <v>0</v>
      </c>
      <c r="DG324" s="47"/>
      <c r="DH324" s="46">
        <f>AQ324/2</f>
        <v>0</v>
      </c>
      <c r="DI324" s="47"/>
      <c r="DJ324" s="47"/>
      <c r="DK324" s="64">
        <f t="shared" si="225"/>
        <v>0</v>
      </c>
      <c r="DL324" s="60">
        <f t="shared" si="202"/>
        <v>0</v>
      </c>
      <c r="DM324" s="94"/>
      <c r="DN324" s="46">
        <f>7.5%*AQ324</f>
        <v>0</v>
      </c>
      <c r="DO324" s="47"/>
      <c r="DP324" s="90">
        <f>10%*AQ324</f>
        <v>0</v>
      </c>
      <c r="DQ324" s="47"/>
      <c r="DR324" s="46">
        <f t="shared" si="237"/>
        <v>0</v>
      </c>
      <c r="DS324" s="47"/>
      <c r="DT324" s="46">
        <f t="shared" si="212"/>
        <v>0</v>
      </c>
      <c r="DU324" s="47"/>
      <c r="DV324" s="46">
        <f t="shared" si="217"/>
        <v>0</v>
      </c>
      <c r="DW324" s="47"/>
      <c r="DX324" s="47">
        <f t="shared" si="230"/>
        <v>0</v>
      </c>
      <c r="DY324" s="91"/>
      <c r="DZ324" s="47"/>
      <c r="EA324" s="47"/>
      <c r="EB324" s="47"/>
      <c r="EC324" s="47"/>
      <c r="ED324" s="47"/>
      <c r="EE324" s="47">
        <f t="shared" si="219"/>
        <v>0</v>
      </c>
      <c r="EF324" s="47"/>
      <c r="EG324" s="47"/>
      <c r="EH324" s="47"/>
      <c r="EI324" s="91"/>
      <c r="EJ324" s="47"/>
      <c r="EK324" s="47">
        <f t="shared" si="204"/>
        <v>0</v>
      </c>
      <c r="EL324" s="46">
        <f t="shared" si="205"/>
        <v>0</v>
      </c>
      <c r="EM324" s="46"/>
      <c r="EN324" s="46">
        <f t="shared" si="206"/>
        <v>0</v>
      </c>
    </row>
    <row r="325" spans="1:157" s="48" customFormat="1" ht="15" customHeight="1" x14ac:dyDescent="0.25">
      <c r="A325" s="58"/>
      <c r="B325" s="88">
        <v>71</v>
      </c>
      <c r="C325" s="42"/>
      <c r="D325" s="43"/>
      <c r="E325" s="42"/>
      <c r="F325" s="42"/>
      <c r="G325" s="49"/>
      <c r="H325" s="49"/>
      <c r="I325" s="49"/>
      <c r="J325" s="49"/>
      <c r="K325" s="49"/>
      <c r="L325" s="49"/>
      <c r="M325" s="42"/>
      <c r="N325" s="41"/>
      <c r="O325" s="41"/>
      <c r="P325" s="42"/>
      <c r="Q325" s="45"/>
      <c r="R325" s="45"/>
      <c r="S325" s="42"/>
      <c r="T325" s="46"/>
      <c r="U325" s="46"/>
      <c r="V325" s="46"/>
      <c r="W325" s="46"/>
      <c r="X325" s="46"/>
      <c r="Y325" s="46"/>
      <c r="Z325" s="42"/>
      <c r="AA325" s="42"/>
      <c r="AB325" s="42"/>
      <c r="AC325" s="42"/>
      <c r="AD325" s="42"/>
      <c r="AE325" s="42"/>
      <c r="AF325" s="42"/>
      <c r="AG325" s="42"/>
      <c r="AH325" s="42"/>
      <c r="AI325" s="46"/>
      <c r="AJ325" s="42"/>
      <c r="AK325" s="42"/>
      <c r="AL325" s="42"/>
      <c r="AM325" s="42"/>
      <c r="AN325" s="90">
        <f t="shared" ref="AN325:AN388" si="239">+X325+Y325+Z325+AA325+AB325+AC325+AD325+AE325+AF325+AG325+AH325+AI325+AJ325+AL325+AM325</f>
        <v>0</v>
      </c>
      <c r="AO325" s="90">
        <f t="shared" ref="AO325:AO388" si="240">+T325-AN325</f>
        <v>0</v>
      </c>
      <c r="AP325" s="42" t="s">
        <v>116</v>
      </c>
      <c r="AQ325" s="46">
        <f t="shared" si="238"/>
        <v>0</v>
      </c>
      <c r="AR325" s="46"/>
      <c r="AS325" s="42"/>
      <c r="AT325" s="46"/>
      <c r="AU325" s="64">
        <f t="shared" si="223"/>
        <v>0</v>
      </c>
      <c r="AV325" s="47"/>
      <c r="AW325" s="64">
        <f t="shared" si="213"/>
        <v>0</v>
      </c>
      <c r="AX325" s="47" t="s">
        <v>113</v>
      </c>
      <c r="AY325" s="90"/>
      <c r="AZ325" s="47"/>
      <c r="BA325" s="47"/>
      <c r="BB325" s="47"/>
      <c r="BC325" s="47">
        <f t="shared" si="222"/>
        <v>0</v>
      </c>
      <c r="BD325" s="47"/>
      <c r="BE325" s="47">
        <f t="shared" si="224"/>
        <v>0</v>
      </c>
      <c r="BF325" s="47"/>
      <c r="BG325" s="47"/>
      <c r="BH325" s="47"/>
      <c r="BI325" s="47"/>
      <c r="BJ325" s="47"/>
      <c r="BK325" s="46"/>
      <c r="BL325" s="47"/>
      <c r="BM325" s="64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6"/>
      <c r="CQ325" s="47"/>
      <c r="CR325" s="47">
        <f t="shared" si="231"/>
        <v>0</v>
      </c>
      <c r="CS325" s="47"/>
      <c r="CT325" s="47"/>
      <c r="CU325" s="47"/>
      <c r="CV325" s="47"/>
      <c r="CW325" s="47"/>
      <c r="CX325" s="46"/>
      <c r="CY325" s="47">
        <f t="shared" si="210"/>
        <v>0</v>
      </c>
      <c r="CZ325" s="47"/>
      <c r="DA325" s="47"/>
      <c r="DB325" s="47"/>
      <c r="DC325" s="47"/>
      <c r="DD325" s="47"/>
      <c r="DE325" s="47"/>
      <c r="DF325" s="46"/>
      <c r="DG325" s="47"/>
      <c r="DH325" s="46">
        <f>AQ325/2</f>
        <v>0</v>
      </c>
      <c r="DI325" s="47"/>
      <c r="DJ325" s="47"/>
      <c r="DK325" s="64">
        <f t="shared" si="225"/>
        <v>0</v>
      </c>
      <c r="DL325" s="60">
        <f t="shared" ref="DL325:DL342" si="241">+DH325+DK325</f>
        <v>0</v>
      </c>
      <c r="DM325" s="94"/>
      <c r="DN325" s="46">
        <f>7.5%*AQ325</f>
        <v>0</v>
      </c>
      <c r="DO325" s="47"/>
      <c r="DP325" s="90">
        <f>10%*AQ325</f>
        <v>0</v>
      </c>
      <c r="DQ325" s="47"/>
      <c r="DR325" s="46">
        <f t="shared" si="237"/>
        <v>0</v>
      </c>
      <c r="DS325" s="47"/>
      <c r="DT325" s="46">
        <f t="shared" si="212"/>
        <v>0</v>
      </c>
      <c r="DU325" s="47"/>
      <c r="DV325" s="46">
        <f t="shared" si="217"/>
        <v>0</v>
      </c>
      <c r="DW325" s="47"/>
      <c r="DX325" s="47">
        <f t="shared" si="230"/>
        <v>0</v>
      </c>
      <c r="DY325" s="91"/>
      <c r="DZ325" s="47"/>
      <c r="EA325" s="47"/>
      <c r="EB325" s="47"/>
      <c r="EC325" s="47"/>
      <c r="ED325" s="47"/>
      <c r="EE325" s="47">
        <f t="shared" si="219"/>
        <v>0</v>
      </c>
      <c r="EF325" s="47"/>
      <c r="EG325" s="47"/>
      <c r="EH325" s="47"/>
      <c r="EI325" s="91"/>
      <c r="EJ325" s="47"/>
      <c r="EK325" s="47">
        <f t="shared" ref="EK325:EK388" si="242">+EG325+EH325+EI325+EJ325</f>
        <v>0</v>
      </c>
      <c r="EL325" s="46">
        <f t="shared" ref="EL325:EL388" si="243">+AO325-EE325-EK325</f>
        <v>0</v>
      </c>
      <c r="EM325" s="46"/>
      <c r="EN325" s="46">
        <f t="shared" ref="EN325:EN388" si="244">EL325+EM325</f>
        <v>0</v>
      </c>
    </row>
    <row r="326" spans="1:157" s="48" customFormat="1" ht="15" customHeight="1" x14ac:dyDescent="0.25">
      <c r="A326" s="58"/>
      <c r="B326" s="88">
        <v>72</v>
      </c>
      <c r="C326" s="42"/>
      <c r="D326" s="43"/>
      <c r="E326" s="42"/>
      <c r="F326" s="42"/>
      <c r="G326" s="49"/>
      <c r="H326" s="49"/>
      <c r="I326" s="49"/>
      <c r="J326" s="49"/>
      <c r="K326" s="49"/>
      <c r="L326" s="49"/>
      <c r="M326" s="42"/>
      <c r="N326" s="41"/>
      <c r="O326" s="41"/>
      <c r="P326" s="42"/>
      <c r="Q326" s="45"/>
      <c r="R326" s="45"/>
      <c r="S326" s="42"/>
      <c r="T326" s="46"/>
      <c r="U326" s="46"/>
      <c r="V326" s="46"/>
      <c r="W326" s="46"/>
      <c r="X326" s="46"/>
      <c r="Y326" s="46"/>
      <c r="Z326" s="42"/>
      <c r="AA326" s="42"/>
      <c r="AB326" s="42"/>
      <c r="AC326" s="42"/>
      <c r="AD326" s="42"/>
      <c r="AE326" s="42"/>
      <c r="AF326" s="42"/>
      <c r="AG326" s="42"/>
      <c r="AH326" s="42"/>
      <c r="AI326" s="46"/>
      <c r="AJ326" s="42"/>
      <c r="AK326" s="42"/>
      <c r="AL326" s="42"/>
      <c r="AM326" s="42"/>
      <c r="AN326" s="90">
        <f t="shared" si="239"/>
        <v>0</v>
      </c>
      <c r="AO326" s="90">
        <f t="shared" si="240"/>
        <v>0</v>
      </c>
      <c r="AP326" s="42" t="s">
        <v>118</v>
      </c>
      <c r="AQ326" s="46">
        <f t="shared" si="238"/>
        <v>0</v>
      </c>
      <c r="AR326" s="46"/>
      <c r="AS326" s="42"/>
      <c r="AT326" s="46"/>
      <c r="AU326" s="64">
        <f t="shared" si="223"/>
        <v>0</v>
      </c>
      <c r="AV326" s="47"/>
      <c r="AW326" s="64">
        <f t="shared" si="213"/>
        <v>0</v>
      </c>
      <c r="AX326" s="47"/>
      <c r="AY326" s="90"/>
      <c r="AZ326" s="47"/>
      <c r="BA326" s="47"/>
      <c r="BB326" s="47"/>
      <c r="BC326" s="47">
        <f t="shared" si="222"/>
        <v>0</v>
      </c>
      <c r="BD326" s="47"/>
      <c r="BE326" s="47">
        <f t="shared" si="224"/>
        <v>0</v>
      </c>
      <c r="BF326" s="47"/>
      <c r="BG326" s="47"/>
      <c r="BH326" s="47"/>
      <c r="BI326" s="47"/>
      <c r="BJ326" s="47"/>
      <c r="BK326" s="46"/>
      <c r="BL326" s="47"/>
      <c r="BM326" s="64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6"/>
      <c r="CQ326" s="47"/>
      <c r="CR326" s="47">
        <f t="shared" si="231"/>
        <v>0</v>
      </c>
      <c r="CS326" s="47"/>
      <c r="CT326" s="47"/>
      <c r="CU326" s="47"/>
      <c r="CV326" s="47"/>
      <c r="CW326" s="47"/>
      <c r="CX326" s="46"/>
      <c r="CY326" s="47"/>
      <c r="CZ326" s="47"/>
      <c r="DA326" s="47"/>
      <c r="DB326" s="47"/>
      <c r="DC326" s="47"/>
      <c r="DD326" s="47"/>
      <c r="DE326" s="47"/>
      <c r="DF326" s="46"/>
      <c r="DG326" s="47"/>
      <c r="DH326" s="46"/>
      <c r="DI326" s="47"/>
      <c r="DJ326" s="47"/>
      <c r="DK326" s="64">
        <f t="shared" si="225"/>
        <v>0</v>
      </c>
      <c r="DL326" s="60">
        <f t="shared" si="241"/>
        <v>0</v>
      </c>
      <c r="DM326" s="94"/>
      <c r="DN326" s="46"/>
      <c r="DO326" s="47"/>
      <c r="DP326" s="90"/>
      <c r="DQ326" s="47"/>
      <c r="DR326" s="46">
        <f t="shared" si="237"/>
        <v>0</v>
      </c>
      <c r="DS326" s="47"/>
      <c r="DT326" s="46">
        <f t="shared" si="212"/>
        <v>0</v>
      </c>
      <c r="DU326" s="47"/>
      <c r="DV326" s="46">
        <f t="shared" si="217"/>
        <v>0</v>
      </c>
      <c r="DW326" s="47"/>
      <c r="DX326" s="47">
        <f t="shared" si="230"/>
        <v>0</v>
      </c>
      <c r="DY326" s="91"/>
      <c r="DZ326" s="47"/>
      <c r="EA326" s="47"/>
      <c r="EB326" s="47"/>
      <c r="EC326" s="47"/>
      <c r="ED326" s="47"/>
      <c r="EE326" s="47">
        <f t="shared" si="219"/>
        <v>0</v>
      </c>
      <c r="EF326" s="47"/>
      <c r="EG326" s="47"/>
      <c r="EH326" s="47"/>
      <c r="EI326" s="91"/>
      <c r="EJ326" s="47"/>
      <c r="EK326" s="47">
        <f t="shared" si="242"/>
        <v>0</v>
      </c>
      <c r="EL326" s="46">
        <f t="shared" si="243"/>
        <v>0</v>
      </c>
      <c r="EM326" s="46"/>
      <c r="EN326" s="46">
        <f t="shared" si="244"/>
        <v>0</v>
      </c>
    </row>
    <row r="327" spans="1:157" s="48" customFormat="1" ht="15" customHeight="1" x14ac:dyDescent="0.25">
      <c r="A327" s="58"/>
      <c r="B327" s="88">
        <v>73</v>
      </c>
      <c r="C327" s="42"/>
      <c r="D327" s="43"/>
      <c r="E327" s="42"/>
      <c r="F327" s="42"/>
      <c r="G327" s="49"/>
      <c r="H327" s="49"/>
      <c r="I327" s="49"/>
      <c r="J327" s="49"/>
      <c r="K327" s="49"/>
      <c r="L327" s="49"/>
      <c r="M327" s="42"/>
      <c r="N327" s="41"/>
      <c r="O327" s="41"/>
      <c r="P327" s="42"/>
      <c r="Q327" s="45"/>
      <c r="R327" s="45"/>
      <c r="S327" s="42"/>
      <c r="T327" s="46"/>
      <c r="U327" s="46"/>
      <c r="V327" s="46"/>
      <c r="W327" s="46"/>
      <c r="X327" s="46"/>
      <c r="Y327" s="46"/>
      <c r="Z327" s="42"/>
      <c r="AA327" s="42"/>
      <c r="AB327" s="42"/>
      <c r="AC327" s="42"/>
      <c r="AD327" s="42"/>
      <c r="AE327" s="42"/>
      <c r="AF327" s="42"/>
      <c r="AG327" s="42"/>
      <c r="AH327" s="42"/>
      <c r="AI327" s="46"/>
      <c r="AJ327" s="42"/>
      <c r="AK327" s="42"/>
      <c r="AL327" s="42"/>
      <c r="AM327" s="42"/>
      <c r="AN327" s="90">
        <f t="shared" si="239"/>
        <v>0</v>
      </c>
      <c r="AO327" s="90">
        <f t="shared" si="240"/>
        <v>0</v>
      </c>
      <c r="AP327" s="42" t="s">
        <v>111</v>
      </c>
      <c r="AQ327" s="46">
        <f t="shared" si="238"/>
        <v>0</v>
      </c>
      <c r="AR327" s="46"/>
      <c r="AS327" s="42"/>
      <c r="AT327" s="46"/>
      <c r="AU327" s="64">
        <f t="shared" si="223"/>
        <v>0</v>
      </c>
      <c r="AV327" s="47"/>
      <c r="AW327" s="64">
        <f t="shared" si="213"/>
        <v>0</v>
      </c>
      <c r="AX327" s="47" t="s">
        <v>113</v>
      </c>
      <c r="AY327" s="90">
        <f>25%*AQ327</f>
        <v>0</v>
      </c>
      <c r="AZ327" s="47"/>
      <c r="BA327" s="47"/>
      <c r="BB327" s="47"/>
      <c r="BC327" s="47">
        <f t="shared" si="222"/>
        <v>0</v>
      </c>
      <c r="BD327" s="47"/>
      <c r="BE327" s="47">
        <f t="shared" si="224"/>
        <v>0</v>
      </c>
      <c r="BF327" s="47"/>
      <c r="BG327" s="47"/>
      <c r="BH327" s="47"/>
      <c r="BI327" s="47"/>
      <c r="BJ327" s="47"/>
      <c r="BK327" s="46"/>
      <c r="BL327" s="47"/>
      <c r="BM327" s="64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6"/>
      <c r="CQ327" s="47"/>
      <c r="CR327" s="47">
        <f t="shared" si="231"/>
        <v>0</v>
      </c>
      <c r="CS327" s="47"/>
      <c r="CT327" s="47"/>
      <c r="CU327" s="47"/>
      <c r="CV327" s="47"/>
      <c r="CW327" s="47"/>
      <c r="CX327" s="46"/>
      <c r="CY327" s="47"/>
      <c r="CZ327" s="47"/>
      <c r="DA327" s="47"/>
      <c r="DB327" s="47"/>
      <c r="DC327" s="47"/>
      <c r="DD327" s="47"/>
      <c r="DE327" s="47"/>
      <c r="DF327" s="46"/>
      <c r="DG327" s="47"/>
      <c r="DH327" s="46">
        <f t="shared" ref="DH327:DH339" si="245">AQ327/2</f>
        <v>0</v>
      </c>
      <c r="DI327" s="47"/>
      <c r="DJ327" s="47"/>
      <c r="DK327" s="64">
        <f t="shared" si="225"/>
        <v>0</v>
      </c>
      <c r="DL327" s="60">
        <f t="shared" si="241"/>
        <v>0</v>
      </c>
      <c r="DM327" s="94"/>
      <c r="DN327" s="46">
        <f t="shared" ref="DN327:DN339" si="246">7.5%*AQ327</f>
        <v>0</v>
      </c>
      <c r="DO327" s="47"/>
      <c r="DP327" s="90">
        <f>10%*AQ327</f>
        <v>0</v>
      </c>
      <c r="DQ327" s="47"/>
      <c r="DR327" s="46">
        <f t="shared" si="237"/>
        <v>0</v>
      </c>
      <c r="DS327" s="47"/>
      <c r="DT327" s="46">
        <f t="shared" si="212"/>
        <v>0</v>
      </c>
      <c r="DU327" s="47"/>
      <c r="DV327" s="46">
        <f t="shared" si="217"/>
        <v>0</v>
      </c>
      <c r="DW327" s="47"/>
      <c r="DX327" s="47">
        <f t="shared" si="230"/>
        <v>0</v>
      </c>
      <c r="DY327" s="91"/>
      <c r="DZ327" s="47"/>
      <c r="EA327" s="47"/>
      <c r="EB327" s="47"/>
      <c r="EC327" s="47"/>
      <c r="ED327" s="47"/>
      <c r="EE327" s="47">
        <f t="shared" si="219"/>
        <v>0</v>
      </c>
      <c r="EF327" s="47"/>
      <c r="EG327" s="47"/>
      <c r="EH327" s="47"/>
      <c r="EI327" s="91"/>
      <c r="EJ327" s="47"/>
      <c r="EK327" s="47">
        <f t="shared" si="242"/>
        <v>0</v>
      </c>
      <c r="EL327" s="46">
        <f t="shared" si="243"/>
        <v>0</v>
      </c>
      <c r="EM327" s="46"/>
      <c r="EN327" s="46">
        <f t="shared" si="244"/>
        <v>0</v>
      </c>
    </row>
    <row r="328" spans="1:157" s="48" customFormat="1" ht="15" customHeight="1" x14ac:dyDescent="0.25">
      <c r="A328" s="58"/>
      <c r="B328" s="88">
        <v>74</v>
      </c>
      <c r="C328" s="42"/>
      <c r="D328" s="43"/>
      <c r="E328" s="42"/>
      <c r="F328" s="42"/>
      <c r="G328" s="49"/>
      <c r="H328" s="49"/>
      <c r="I328" s="49"/>
      <c r="J328" s="49"/>
      <c r="K328" s="49"/>
      <c r="L328" s="49"/>
      <c r="M328" s="42"/>
      <c r="N328" s="41"/>
      <c r="O328" s="41"/>
      <c r="P328" s="42"/>
      <c r="Q328" s="45"/>
      <c r="R328" s="45"/>
      <c r="S328" s="42"/>
      <c r="T328" s="46"/>
      <c r="U328" s="46"/>
      <c r="V328" s="46"/>
      <c r="W328" s="46"/>
      <c r="X328" s="46"/>
      <c r="Y328" s="46"/>
      <c r="Z328" s="42"/>
      <c r="AA328" s="42"/>
      <c r="AB328" s="42"/>
      <c r="AC328" s="42"/>
      <c r="AD328" s="42"/>
      <c r="AE328" s="42"/>
      <c r="AF328" s="42"/>
      <c r="AG328" s="42"/>
      <c r="AH328" s="42"/>
      <c r="AI328" s="46"/>
      <c r="AJ328" s="42"/>
      <c r="AK328" s="42"/>
      <c r="AL328" s="42"/>
      <c r="AM328" s="42"/>
      <c r="AN328" s="90">
        <f t="shared" si="239"/>
        <v>0</v>
      </c>
      <c r="AO328" s="90">
        <f t="shared" si="240"/>
        <v>0</v>
      </c>
      <c r="AP328" s="42" t="s">
        <v>111</v>
      </c>
      <c r="AQ328" s="46">
        <f t="shared" si="238"/>
        <v>0</v>
      </c>
      <c r="AR328" s="46"/>
      <c r="AS328" s="42"/>
      <c r="AT328" s="46"/>
      <c r="AU328" s="64">
        <f t="shared" si="223"/>
        <v>0</v>
      </c>
      <c r="AV328" s="47"/>
      <c r="AW328" s="64">
        <f t="shared" si="213"/>
        <v>0</v>
      </c>
      <c r="AX328" s="47" t="s">
        <v>113</v>
      </c>
      <c r="AY328" s="90">
        <f>25%*AQ328</f>
        <v>0</v>
      </c>
      <c r="AZ328" s="90">
        <f>25%*AR328</f>
        <v>0</v>
      </c>
      <c r="BA328" s="47"/>
      <c r="BB328" s="47"/>
      <c r="BC328" s="64">
        <f t="shared" si="222"/>
        <v>0</v>
      </c>
      <c r="BD328" s="47"/>
      <c r="BE328" s="47">
        <f t="shared" si="224"/>
        <v>0</v>
      </c>
      <c r="BF328" s="47"/>
      <c r="BG328" s="47"/>
      <c r="BH328" s="47"/>
      <c r="BI328" s="47"/>
      <c r="BJ328" s="47"/>
      <c r="BK328" s="46">
        <f t="shared" ref="BK328:BK349" si="247">BI328*BJ328</f>
        <v>0</v>
      </c>
      <c r="BL328" s="47"/>
      <c r="BM328" s="64">
        <f t="shared" ref="BM328:BM348" si="248">+BG328+BH328+BK328+BL328</f>
        <v>0</v>
      </c>
      <c r="BN328" s="47"/>
      <c r="BO328" s="47"/>
      <c r="BP328" s="47"/>
      <c r="BQ328" s="47"/>
      <c r="BR328" s="47"/>
      <c r="BS328" s="46">
        <f>BQ328*BR328</f>
        <v>0</v>
      </c>
      <c r="BT328" s="47"/>
      <c r="BU328" s="64">
        <f t="shared" ref="BU328:BU343" si="249">+BO328+BP328+BS328+BT328</f>
        <v>0</v>
      </c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6"/>
      <c r="CQ328" s="47"/>
      <c r="CR328" s="64">
        <f t="shared" si="231"/>
        <v>0</v>
      </c>
      <c r="CS328" s="47"/>
      <c r="CT328" s="47"/>
      <c r="CU328" s="47"/>
      <c r="CV328" s="47"/>
      <c r="CW328" s="47">
        <f t="shared" ref="CW328:CW391" si="250">CU328*CV328</f>
        <v>0</v>
      </c>
      <c r="CX328" s="46"/>
      <c r="CY328" s="47">
        <f t="shared" ref="CY328:CY391" si="251">+CT328+CW328+CX328</f>
        <v>0</v>
      </c>
      <c r="CZ328" s="47"/>
      <c r="DA328" s="47"/>
      <c r="DB328" s="47"/>
      <c r="DC328" s="47"/>
      <c r="DD328" s="47"/>
      <c r="DE328" s="47"/>
      <c r="DF328" s="46"/>
      <c r="DG328" s="47"/>
      <c r="DH328" s="90">
        <f t="shared" si="245"/>
        <v>0</v>
      </c>
      <c r="DI328" s="47"/>
      <c r="DJ328" s="47"/>
      <c r="DK328" s="64">
        <f t="shared" si="225"/>
        <v>0</v>
      </c>
      <c r="DL328" s="60">
        <f t="shared" si="241"/>
        <v>0</v>
      </c>
      <c r="DM328" s="94"/>
      <c r="DN328" s="46">
        <f t="shared" si="246"/>
        <v>0</v>
      </c>
      <c r="DO328" s="47"/>
      <c r="DP328" s="90">
        <f>DN328</f>
        <v>0</v>
      </c>
      <c r="DQ328" s="47"/>
      <c r="DR328" s="90">
        <f t="shared" si="237"/>
        <v>0</v>
      </c>
      <c r="DS328" s="47"/>
      <c r="DT328" s="90">
        <f t="shared" si="212"/>
        <v>0</v>
      </c>
      <c r="DU328" s="47"/>
      <c r="DV328" s="90">
        <f t="shared" si="217"/>
        <v>0</v>
      </c>
      <c r="DW328" s="47"/>
      <c r="DX328" s="64">
        <f t="shared" si="230"/>
        <v>0</v>
      </c>
      <c r="DY328" s="91"/>
      <c r="DZ328" s="47"/>
      <c r="EA328" s="47"/>
      <c r="EB328" s="47"/>
      <c r="EC328" s="47"/>
      <c r="ED328" s="47"/>
      <c r="EE328" s="47">
        <f t="shared" si="219"/>
        <v>0</v>
      </c>
      <c r="EF328" s="47"/>
      <c r="EG328" s="47"/>
      <c r="EH328" s="47"/>
      <c r="EI328" s="91"/>
      <c r="EJ328" s="47"/>
      <c r="EK328" s="47">
        <f t="shared" si="242"/>
        <v>0</v>
      </c>
      <c r="EL328" s="46">
        <f t="shared" si="243"/>
        <v>0</v>
      </c>
      <c r="EM328" s="46"/>
      <c r="EN328" s="46">
        <f t="shared" si="244"/>
        <v>0</v>
      </c>
    </row>
    <row r="329" spans="1:157" s="48" customFormat="1" ht="15" customHeight="1" x14ac:dyDescent="0.25">
      <c r="A329" s="58"/>
      <c r="B329" s="88">
        <v>75</v>
      </c>
      <c r="C329" s="42"/>
      <c r="D329" s="43"/>
      <c r="E329" s="42"/>
      <c r="F329" s="42"/>
      <c r="G329" s="49"/>
      <c r="H329" s="49"/>
      <c r="I329" s="49"/>
      <c r="J329" s="49"/>
      <c r="K329" s="49"/>
      <c r="L329" s="49"/>
      <c r="M329" s="42"/>
      <c r="N329" s="41"/>
      <c r="O329" s="41"/>
      <c r="P329" s="42"/>
      <c r="Q329" s="45"/>
      <c r="R329" s="45"/>
      <c r="S329" s="42"/>
      <c r="T329" s="46"/>
      <c r="U329" s="46"/>
      <c r="V329" s="46"/>
      <c r="W329" s="46"/>
      <c r="X329" s="46"/>
      <c r="Y329" s="46"/>
      <c r="Z329" s="42"/>
      <c r="AA329" s="42"/>
      <c r="AB329" s="42"/>
      <c r="AC329" s="42"/>
      <c r="AD329" s="42"/>
      <c r="AE329" s="42"/>
      <c r="AF329" s="42"/>
      <c r="AG329" s="42"/>
      <c r="AH329" s="42"/>
      <c r="AI329" s="46"/>
      <c r="AJ329" s="42"/>
      <c r="AK329" s="42"/>
      <c r="AL329" s="42"/>
      <c r="AM329" s="42"/>
      <c r="AN329" s="90">
        <f t="shared" si="239"/>
        <v>0</v>
      </c>
      <c r="AO329" s="90">
        <f t="shared" si="240"/>
        <v>0</v>
      </c>
      <c r="AP329" s="42" t="s">
        <v>119</v>
      </c>
      <c r="AQ329" s="46">
        <f t="shared" si="238"/>
        <v>0</v>
      </c>
      <c r="AR329" s="46"/>
      <c r="AS329" s="42"/>
      <c r="AT329" s="46"/>
      <c r="AU329" s="64">
        <f t="shared" si="223"/>
        <v>0</v>
      </c>
      <c r="AV329" s="47"/>
      <c r="AW329" s="64">
        <f t="shared" si="213"/>
        <v>0</v>
      </c>
      <c r="AX329" s="47" t="s">
        <v>113</v>
      </c>
      <c r="AY329" s="90">
        <f>25%*AQ329</f>
        <v>0</v>
      </c>
      <c r="AZ329" s="90">
        <f>25%*AR329</f>
        <v>0</v>
      </c>
      <c r="BA329" s="47"/>
      <c r="BB329" s="47"/>
      <c r="BC329" s="64">
        <f t="shared" si="222"/>
        <v>0</v>
      </c>
      <c r="BD329" s="47"/>
      <c r="BE329" s="47">
        <f t="shared" si="224"/>
        <v>0</v>
      </c>
      <c r="BF329" s="47"/>
      <c r="BG329" s="47"/>
      <c r="BH329" s="47"/>
      <c r="BI329" s="47"/>
      <c r="BJ329" s="47"/>
      <c r="BK329" s="46">
        <f t="shared" si="247"/>
        <v>0</v>
      </c>
      <c r="BL329" s="47"/>
      <c r="BM329" s="64">
        <f t="shared" si="248"/>
        <v>0</v>
      </c>
      <c r="BN329" s="47"/>
      <c r="BO329" s="47"/>
      <c r="BP329" s="47"/>
      <c r="BQ329" s="47"/>
      <c r="BR329" s="47"/>
      <c r="BS329" s="46">
        <f>BQ329*BR329</f>
        <v>0</v>
      </c>
      <c r="BT329" s="47"/>
      <c r="BU329" s="64">
        <f t="shared" si="249"/>
        <v>0</v>
      </c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6"/>
      <c r="CQ329" s="47"/>
      <c r="CR329" s="64">
        <f t="shared" si="231"/>
        <v>0</v>
      </c>
      <c r="CS329" s="47"/>
      <c r="CT329" s="47"/>
      <c r="CU329" s="47"/>
      <c r="CV329" s="47"/>
      <c r="CW329" s="47">
        <f t="shared" si="250"/>
        <v>0</v>
      </c>
      <c r="CX329" s="46"/>
      <c r="CY329" s="47">
        <f t="shared" si="251"/>
        <v>0</v>
      </c>
      <c r="CZ329" s="47"/>
      <c r="DA329" s="47"/>
      <c r="DB329" s="47"/>
      <c r="DC329" s="47"/>
      <c r="DD329" s="47"/>
      <c r="DE329" s="47"/>
      <c r="DF329" s="46"/>
      <c r="DG329" s="47"/>
      <c r="DH329" s="90">
        <f t="shared" si="245"/>
        <v>0</v>
      </c>
      <c r="DI329" s="47"/>
      <c r="DJ329" s="47"/>
      <c r="DK329" s="64">
        <f t="shared" si="225"/>
        <v>0</v>
      </c>
      <c r="DL329" s="60">
        <f t="shared" si="241"/>
        <v>0</v>
      </c>
      <c r="DM329" s="94"/>
      <c r="DN329" s="46">
        <f t="shared" si="246"/>
        <v>0</v>
      </c>
      <c r="DO329" s="47"/>
      <c r="DP329" s="90">
        <f>DN329</f>
        <v>0</v>
      </c>
      <c r="DQ329" s="47"/>
      <c r="DR329" s="90">
        <f t="shared" si="237"/>
        <v>0</v>
      </c>
      <c r="DS329" s="47"/>
      <c r="DT329" s="90">
        <f t="shared" si="212"/>
        <v>0</v>
      </c>
      <c r="DU329" s="47"/>
      <c r="DV329" s="90">
        <f t="shared" si="217"/>
        <v>0</v>
      </c>
      <c r="DW329" s="47"/>
      <c r="DX329" s="64">
        <f t="shared" si="230"/>
        <v>0</v>
      </c>
      <c r="DY329" s="91"/>
      <c r="DZ329" s="47"/>
      <c r="EA329" s="47"/>
      <c r="EB329" s="47"/>
      <c r="EC329" s="47"/>
      <c r="ED329" s="47"/>
      <c r="EE329" s="47">
        <f t="shared" si="219"/>
        <v>0</v>
      </c>
      <c r="EF329" s="47"/>
      <c r="EG329" s="47"/>
      <c r="EH329" s="47"/>
      <c r="EI329" s="91"/>
      <c r="EJ329" s="47"/>
      <c r="EK329" s="47">
        <f t="shared" si="242"/>
        <v>0</v>
      </c>
      <c r="EL329" s="46">
        <f t="shared" si="243"/>
        <v>0</v>
      </c>
      <c r="EM329" s="46"/>
      <c r="EN329" s="46">
        <f t="shared" si="244"/>
        <v>0</v>
      </c>
    </row>
    <row r="330" spans="1:157" s="48" customFormat="1" ht="15" customHeight="1" x14ac:dyDescent="0.25">
      <c r="A330" s="58"/>
      <c r="B330" s="88">
        <v>76</v>
      </c>
      <c r="C330" s="42"/>
      <c r="D330" s="43"/>
      <c r="E330" s="42"/>
      <c r="F330" s="42"/>
      <c r="G330" s="49"/>
      <c r="H330" s="49"/>
      <c r="I330" s="49"/>
      <c r="J330" s="49"/>
      <c r="K330" s="49"/>
      <c r="L330" s="49"/>
      <c r="M330" s="42"/>
      <c r="N330" s="41"/>
      <c r="O330" s="41"/>
      <c r="P330" s="42"/>
      <c r="Q330" s="45"/>
      <c r="R330" s="45"/>
      <c r="S330" s="42"/>
      <c r="T330" s="46"/>
      <c r="U330" s="46"/>
      <c r="V330" s="46"/>
      <c r="W330" s="46"/>
      <c r="X330" s="46"/>
      <c r="Y330" s="46"/>
      <c r="Z330" s="42"/>
      <c r="AA330" s="42"/>
      <c r="AB330" s="42"/>
      <c r="AC330" s="42"/>
      <c r="AD330" s="42"/>
      <c r="AE330" s="42"/>
      <c r="AF330" s="42"/>
      <c r="AG330" s="42"/>
      <c r="AH330" s="42"/>
      <c r="AI330" s="46"/>
      <c r="AJ330" s="42"/>
      <c r="AK330" s="42"/>
      <c r="AL330" s="42"/>
      <c r="AM330" s="42"/>
      <c r="AN330" s="46">
        <f t="shared" si="239"/>
        <v>0</v>
      </c>
      <c r="AO330" s="46">
        <f t="shared" si="240"/>
        <v>0</v>
      </c>
      <c r="AP330" s="42" t="s">
        <v>111</v>
      </c>
      <c r="AQ330" s="46">
        <f t="shared" si="238"/>
        <v>0</v>
      </c>
      <c r="AR330" s="46"/>
      <c r="AS330" s="42"/>
      <c r="AT330" s="46"/>
      <c r="AU330" s="47">
        <f t="shared" si="223"/>
        <v>0</v>
      </c>
      <c r="AV330" s="47"/>
      <c r="AW330" s="47">
        <f t="shared" si="213"/>
        <v>0</v>
      </c>
      <c r="AX330" s="47" t="s">
        <v>113</v>
      </c>
      <c r="AY330" s="46">
        <f>25%*AQ330</f>
        <v>0</v>
      </c>
      <c r="AZ330" s="47"/>
      <c r="BA330" s="47"/>
      <c r="BB330" s="47"/>
      <c r="BC330" s="47">
        <f t="shared" si="222"/>
        <v>0</v>
      </c>
      <c r="BD330" s="47"/>
      <c r="BE330" s="47">
        <f t="shared" si="224"/>
        <v>0</v>
      </c>
      <c r="BF330" s="47"/>
      <c r="BG330" s="47"/>
      <c r="BH330" s="47"/>
      <c r="BI330" s="47"/>
      <c r="BJ330" s="47"/>
      <c r="BK330" s="46">
        <f t="shared" si="247"/>
        <v>0</v>
      </c>
      <c r="BL330" s="47"/>
      <c r="BM330" s="47">
        <f t="shared" si="248"/>
        <v>0</v>
      </c>
      <c r="BN330" s="47"/>
      <c r="BO330" s="47"/>
      <c r="BP330" s="47"/>
      <c r="BQ330" s="47"/>
      <c r="BR330" s="47"/>
      <c r="BS330" s="46">
        <f>BQ330*BR330</f>
        <v>0</v>
      </c>
      <c r="BT330" s="47"/>
      <c r="BU330" s="47">
        <f t="shared" si="249"/>
        <v>0</v>
      </c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6"/>
      <c r="CQ330" s="47"/>
      <c r="CR330" s="47">
        <f t="shared" si="231"/>
        <v>0</v>
      </c>
      <c r="CS330" s="47"/>
      <c r="CT330" s="47"/>
      <c r="CU330" s="47"/>
      <c r="CV330" s="47"/>
      <c r="CW330" s="47">
        <f t="shared" si="250"/>
        <v>0</v>
      </c>
      <c r="CX330" s="46"/>
      <c r="CY330" s="47">
        <f t="shared" si="251"/>
        <v>0</v>
      </c>
      <c r="CZ330" s="47"/>
      <c r="DA330" s="47"/>
      <c r="DB330" s="47"/>
      <c r="DC330" s="47"/>
      <c r="DD330" s="47"/>
      <c r="DE330" s="47"/>
      <c r="DF330" s="46"/>
      <c r="DG330" s="47"/>
      <c r="DH330" s="90">
        <f t="shared" si="245"/>
        <v>0</v>
      </c>
      <c r="DI330" s="47"/>
      <c r="DJ330" s="47"/>
      <c r="DK330" s="47">
        <f t="shared" si="225"/>
        <v>0</v>
      </c>
      <c r="DL330" s="60">
        <f t="shared" si="241"/>
        <v>0</v>
      </c>
      <c r="DM330" s="94"/>
      <c r="DN330" s="46">
        <f t="shared" si="246"/>
        <v>0</v>
      </c>
      <c r="DO330" s="47"/>
      <c r="DP330" s="90">
        <f>DN330</f>
        <v>0</v>
      </c>
      <c r="DQ330" s="47"/>
      <c r="DR330" s="46">
        <f t="shared" si="237"/>
        <v>0</v>
      </c>
      <c r="DS330" s="47"/>
      <c r="DT330" s="46">
        <f t="shared" si="212"/>
        <v>0</v>
      </c>
      <c r="DU330" s="47"/>
      <c r="DV330" s="46">
        <f t="shared" si="217"/>
        <v>0</v>
      </c>
      <c r="DW330" s="47"/>
      <c r="DX330" s="47">
        <f t="shared" si="230"/>
        <v>0</v>
      </c>
      <c r="DY330" s="91"/>
      <c r="DZ330" s="47"/>
      <c r="EA330" s="47"/>
      <c r="EB330" s="47"/>
      <c r="EC330" s="47"/>
      <c r="ED330" s="47"/>
      <c r="EE330" s="47">
        <f t="shared" si="219"/>
        <v>0</v>
      </c>
      <c r="EF330" s="47"/>
      <c r="EG330" s="47"/>
      <c r="EH330" s="47"/>
      <c r="EI330" s="91"/>
      <c r="EJ330" s="47"/>
      <c r="EK330" s="47">
        <f t="shared" si="242"/>
        <v>0</v>
      </c>
      <c r="EL330" s="46">
        <f t="shared" si="243"/>
        <v>0</v>
      </c>
      <c r="EM330" s="46"/>
      <c r="EN330" s="46">
        <f t="shared" si="244"/>
        <v>0</v>
      </c>
    </row>
    <row r="331" spans="1:157" s="48" customFormat="1" ht="15" customHeight="1" x14ac:dyDescent="0.25">
      <c r="A331" s="58"/>
      <c r="B331" s="88">
        <v>77</v>
      </c>
      <c r="C331" s="42"/>
      <c r="D331" s="43"/>
      <c r="E331" s="42"/>
      <c r="F331" s="42"/>
      <c r="G331" s="49"/>
      <c r="H331" s="49"/>
      <c r="I331" s="49"/>
      <c r="J331" s="49"/>
      <c r="K331" s="49"/>
      <c r="L331" s="49"/>
      <c r="M331" s="42"/>
      <c r="N331" s="41"/>
      <c r="O331" s="41"/>
      <c r="P331" s="42"/>
      <c r="Q331" s="45"/>
      <c r="R331" s="45"/>
      <c r="S331" s="42"/>
      <c r="T331" s="46"/>
      <c r="U331" s="46"/>
      <c r="V331" s="46"/>
      <c r="W331" s="46"/>
      <c r="X331" s="46"/>
      <c r="Y331" s="46"/>
      <c r="Z331" s="42"/>
      <c r="AA331" s="42"/>
      <c r="AB331" s="42"/>
      <c r="AC331" s="42"/>
      <c r="AD331" s="42"/>
      <c r="AE331" s="42"/>
      <c r="AF331" s="42"/>
      <c r="AG331" s="42"/>
      <c r="AH331" s="42"/>
      <c r="AI331" s="46"/>
      <c r="AJ331" s="42"/>
      <c r="AK331" s="42"/>
      <c r="AL331" s="42"/>
      <c r="AM331" s="42"/>
      <c r="AN331" s="46">
        <f t="shared" si="239"/>
        <v>0</v>
      </c>
      <c r="AO331" s="46">
        <f t="shared" si="240"/>
        <v>0</v>
      </c>
      <c r="AP331" s="42" t="s">
        <v>111</v>
      </c>
      <c r="AQ331" s="46">
        <f t="shared" si="238"/>
        <v>0</v>
      </c>
      <c r="AR331" s="46"/>
      <c r="AS331" s="42"/>
      <c r="AT331" s="46"/>
      <c r="AU331" s="47">
        <f t="shared" si="223"/>
        <v>0</v>
      </c>
      <c r="AV331" s="47"/>
      <c r="AW331" s="47">
        <f t="shared" si="213"/>
        <v>0</v>
      </c>
      <c r="AX331" s="47"/>
      <c r="AY331" s="46"/>
      <c r="AZ331" s="47"/>
      <c r="BA331" s="47"/>
      <c r="BB331" s="47"/>
      <c r="BC331" s="47">
        <f t="shared" si="222"/>
        <v>0</v>
      </c>
      <c r="BD331" s="47"/>
      <c r="BE331" s="47">
        <f t="shared" si="224"/>
        <v>0</v>
      </c>
      <c r="BF331" s="47"/>
      <c r="BG331" s="47"/>
      <c r="BH331" s="47"/>
      <c r="BI331" s="47"/>
      <c r="BJ331" s="47"/>
      <c r="BK331" s="46">
        <f t="shared" si="247"/>
        <v>0</v>
      </c>
      <c r="BL331" s="47"/>
      <c r="BM331" s="47">
        <f t="shared" si="248"/>
        <v>0</v>
      </c>
      <c r="BN331" s="47"/>
      <c r="BO331" s="47"/>
      <c r="BP331" s="47"/>
      <c r="BQ331" s="47"/>
      <c r="BR331" s="47"/>
      <c r="BS331" s="46">
        <f>BQ331*BR331</f>
        <v>0</v>
      </c>
      <c r="BT331" s="47"/>
      <c r="BU331" s="47">
        <f t="shared" si="249"/>
        <v>0</v>
      </c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6"/>
      <c r="CQ331" s="47"/>
      <c r="CR331" s="47">
        <f t="shared" si="231"/>
        <v>0</v>
      </c>
      <c r="CS331" s="47"/>
      <c r="CT331" s="47"/>
      <c r="CU331" s="47"/>
      <c r="CV331" s="47"/>
      <c r="CW331" s="47">
        <f t="shared" si="250"/>
        <v>0</v>
      </c>
      <c r="CX331" s="46"/>
      <c r="CY331" s="47">
        <f t="shared" si="251"/>
        <v>0</v>
      </c>
      <c r="CZ331" s="47"/>
      <c r="DA331" s="47"/>
      <c r="DB331" s="47"/>
      <c r="DC331" s="47"/>
      <c r="DD331" s="47"/>
      <c r="DE331" s="47"/>
      <c r="DF331" s="46"/>
      <c r="DG331" s="47"/>
      <c r="DH331" s="90">
        <f t="shared" si="245"/>
        <v>0</v>
      </c>
      <c r="DI331" s="47"/>
      <c r="DJ331" s="47"/>
      <c r="DK331" s="47">
        <f t="shared" si="225"/>
        <v>0</v>
      </c>
      <c r="DL331" s="60">
        <f t="shared" si="241"/>
        <v>0</v>
      </c>
      <c r="DM331" s="94"/>
      <c r="DN331" s="46">
        <f t="shared" si="246"/>
        <v>0</v>
      </c>
      <c r="DO331" s="47"/>
      <c r="DP331" s="90">
        <f>10%*AQ331</f>
        <v>0</v>
      </c>
      <c r="DQ331" s="47"/>
      <c r="DR331" s="46">
        <f t="shared" si="237"/>
        <v>0</v>
      </c>
      <c r="DS331" s="47"/>
      <c r="DT331" s="46">
        <f t="shared" si="212"/>
        <v>0</v>
      </c>
      <c r="DU331" s="47"/>
      <c r="DV331" s="46">
        <f t="shared" si="217"/>
        <v>0</v>
      </c>
      <c r="DW331" s="47"/>
      <c r="DX331" s="47">
        <f t="shared" si="230"/>
        <v>0</v>
      </c>
      <c r="DY331" s="91"/>
      <c r="DZ331" s="47"/>
      <c r="EA331" s="47"/>
      <c r="EB331" s="47"/>
      <c r="EC331" s="47"/>
      <c r="ED331" s="47"/>
      <c r="EE331" s="47">
        <f t="shared" si="219"/>
        <v>0</v>
      </c>
      <c r="EF331" s="47"/>
      <c r="EG331" s="47"/>
      <c r="EH331" s="47"/>
      <c r="EI331" s="91"/>
      <c r="EJ331" s="47"/>
      <c r="EK331" s="47">
        <f t="shared" si="242"/>
        <v>0</v>
      </c>
      <c r="EL331" s="46">
        <f t="shared" si="243"/>
        <v>0</v>
      </c>
      <c r="EM331" s="46"/>
      <c r="EN331" s="46">
        <f t="shared" si="244"/>
        <v>0</v>
      </c>
    </row>
    <row r="332" spans="1:157" s="48" customFormat="1" ht="15" customHeight="1" x14ac:dyDescent="0.25">
      <c r="A332" s="58"/>
      <c r="B332" s="41"/>
      <c r="C332" s="81" t="s">
        <v>130</v>
      </c>
      <c r="D332" s="43"/>
      <c r="E332" s="42"/>
      <c r="F332" s="42"/>
      <c r="G332" s="49"/>
      <c r="H332" s="49"/>
      <c r="I332" s="49"/>
      <c r="J332" s="49"/>
      <c r="K332" s="49"/>
      <c r="L332" s="49"/>
      <c r="M332" s="42"/>
      <c r="N332" s="41"/>
      <c r="O332" s="41"/>
      <c r="P332" s="42"/>
      <c r="Q332" s="45"/>
      <c r="R332" s="45"/>
      <c r="S332" s="45"/>
      <c r="T332" s="46"/>
      <c r="U332" s="46"/>
      <c r="V332" s="45"/>
      <c r="W332" s="45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90">
        <f t="shared" si="239"/>
        <v>0</v>
      </c>
      <c r="AO332" s="90">
        <f t="shared" si="240"/>
        <v>0</v>
      </c>
      <c r="AP332" s="46"/>
      <c r="AQ332" s="46">
        <f t="shared" si="238"/>
        <v>0</v>
      </c>
      <c r="AR332" s="46"/>
      <c r="AS332" s="46"/>
      <c r="AT332" s="46"/>
      <c r="AU332" s="47">
        <f t="shared" si="223"/>
        <v>0</v>
      </c>
      <c r="AV332" s="46"/>
      <c r="AW332" s="64">
        <f t="shared" si="213"/>
        <v>0</v>
      </c>
      <c r="AX332" s="46"/>
      <c r="AY332" s="90">
        <f>25%*AQ332</f>
        <v>0</v>
      </c>
      <c r="AZ332" s="46"/>
      <c r="BA332" s="46"/>
      <c r="BB332" s="46"/>
      <c r="BC332" s="47">
        <f t="shared" si="222"/>
        <v>0</v>
      </c>
      <c r="BD332" s="46"/>
      <c r="BE332" s="47">
        <f t="shared" si="224"/>
        <v>0</v>
      </c>
      <c r="BF332" s="46"/>
      <c r="BG332" s="46"/>
      <c r="BH332" s="46"/>
      <c r="BI332" s="46"/>
      <c r="BJ332" s="46"/>
      <c r="BK332" s="46">
        <f t="shared" si="247"/>
        <v>0</v>
      </c>
      <c r="BL332" s="46"/>
      <c r="BM332" s="64">
        <f t="shared" si="248"/>
        <v>0</v>
      </c>
      <c r="BN332" s="46"/>
      <c r="BO332" s="46"/>
      <c r="BP332" s="46"/>
      <c r="BQ332" s="46"/>
      <c r="BR332" s="46"/>
      <c r="BS332" s="46"/>
      <c r="BT332" s="46"/>
      <c r="BU332" s="47">
        <f t="shared" si="249"/>
        <v>0</v>
      </c>
      <c r="BV332" s="46"/>
      <c r="BW332" s="46"/>
      <c r="BX332" s="46"/>
      <c r="BY332" s="46"/>
      <c r="BZ332" s="46"/>
      <c r="CA332" s="46"/>
      <c r="CB332" s="46"/>
      <c r="CC332" s="47">
        <f t="shared" ref="CC332:CC343" si="252">+BW332+BX332+CA332+CB332</f>
        <v>0</v>
      </c>
      <c r="CD332" s="46"/>
      <c r="CE332" s="46"/>
      <c r="CF332" s="46"/>
      <c r="CG332" s="46"/>
      <c r="CH332" s="46"/>
      <c r="CI332" s="46"/>
      <c r="CJ332" s="46"/>
      <c r="CK332" s="47">
        <f t="shared" ref="CK332:CK343" si="253">+CE332+CF332+CI332+CJ332</f>
        <v>0</v>
      </c>
      <c r="CL332" s="46"/>
      <c r="CM332" s="46"/>
      <c r="CN332" s="46"/>
      <c r="CO332" s="46"/>
      <c r="CP332" s="46">
        <f t="shared" ref="CP332:CP362" si="254">CN332*CO332</f>
        <v>0</v>
      </c>
      <c r="CQ332" s="46"/>
      <c r="CR332" s="47">
        <f t="shared" si="231"/>
        <v>0</v>
      </c>
      <c r="CS332" s="46"/>
      <c r="CT332" s="46"/>
      <c r="CU332" s="46"/>
      <c r="CV332" s="46"/>
      <c r="CW332" s="47">
        <f t="shared" si="250"/>
        <v>0</v>
      </c>
      <c r="CX332" s="46"/>
      <c r="CY332" s="47">
        <f t="shared" si="251"/>
        <v>0</v>
      </c>
      <c r="CZ332" s="46"/>
      <c r="DA332" s="46"/>
      <c r="DB332" s="46"/>
      <c r="DC332" s="46"/>
      <c r="DD332" s="47">
        <f t="shared" ref="DD332:DD350" si="255">+DB332*DC332</f>
        <v>0</v>
      </c>
      <c r="DE332" s="46"/>
      <c r="DF332" s="46">
        <f t="shared" ref="DF332:DF373" si="256">DC332</f>
        <v>0</v>
      </c>
      <c r="DG332" s="46"/>
      <c r="DH332" s="46">
        <f t="shared" si="245"/>
        <v>0</v>
      </c>
      <c r="DI332" s="46"/>
      <c r="DJ332" s="46"/>
      <c r="DK332" s="64">
        <f t="shared" si="225"/>
        <v>0</v>
      </c>
      <c r="DL332" s="60">
        <f t="shared" si="241"/>
        <v>0</v>
      </c>
      <c r="DM332" s="94"/>
      <c r="DN332" s="46">
        <f t="shared" si="246"/>
        <v>0</v>
      </c>
      <c r="DO332" s="46"/>
      <c r="DP332" s="90">
        <f>10%*AQ332</f>
        <v>0</v>
      </c>
      <c r="DQ332" s="46"/>
      <c r="DR332" s="46">
        <f t="shared" si="237"/>
        <v>0</v>
      </c>
      <c r="DS332" s="46"/>
      <c r="DT332" s="46">
        <f t="shared" si="212"/>
        <v>0</v>
      </c>
      <c r="DU332" s="46"/>
      <c r="DV332" s="46">
        <f t="shared" si="217"/>
        <v>0</v>
      </c>
      <c r="DW332" s="46"/>
      <c r="DX332" s="47">
        <f t="shared" si="230"/>
        <v>0</v>
      </c>
      <c r="DY332" s="91"/>
      <c r="DZ332" s="46"/>
      <c r="EA332" s="46"/>
      <c r="EB332" s="46"/>
      <c r="EC332" s="46"/>
      <c r="ED332" s="46"/>
      <c r="EE332" s="47">
        <f t="shared" si="219"/>
        <v>0</v>
      </c>
      <c r="EF332" s="46"/>
      <c r="EG332" s="46"/>
      <c r="EH332" s="46"/>
      <c r="EI332" s="91"/>
      <c r="EJ332" s="46"/>
      <c r="EK332" s="47">
        <f t="shared" si="242"/>
        <v>0</v>
      </c>
      <c r="EL332" s="46">
        <f t="shared" si="243"/>
        <v>0</v>
      </c>
      <c r="EM332" s="46"/>
      <c r="EN332" s="46">
        <f t="shared" si="244"/>
        <v>0</v>
      </c>
    </row>
    <row r="333" spans="1:157" s="48" customFormat="1" ht="15" customHeight="1" x14ac:dyDescent="0.25">
      <c r="A333" s="58"/>
      <c r="B333" s="41">
        <v>1</v>
      </c>
      <c r="C333" s="49"/>
      <c r="D333" s="59"/>
      <c r="E333" s="49"/>
      <c r="F333" s="49"/>
      <c r="G333" s="49"/>
      <c r="H333" s="49"/>
      <c r="I333" s="49"/>
      <c r="J333" s="49"/>
      <c r="K333" s="49"/>
      <c r="L333" s="49"/>
      <c r="M333" s="42"/>
      <c r="N333" s="41"/>
      <c r="O333" s="41"/>
      <c r="P333" s="42"/>
      <c r="Q333" s="45"/>
      <c r="R333" s="45"/>
      <c r="S333" s="42"/>
      <c r="T333" s="46"/>
      <c r="U333" s="46"/>
      <c r="V333" s="42"/>
      <c r="W333" s="42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90">
        <f t="shared" si="239"/>
        <v>0</v>
      </c>
      <c r="AO333" s="90">
        <f t="shared" si="240"/>
        <v>0</v>
      </c>
      <c r="AP333" s="42" t="s">
        <v>102</v>
      </c>
      <c r="AQ333" s="46"/>
      <c r="AR333" s="46"/>
      <c r="AS333" s="46"/>
      <c r="AT333" s="46"/>
      <c r="AU333" s="47">
        <f t="shared" si="223"/>
        <v>0</v>
      </c>
      <c r="AV333" s="46"/>
      <c r="AW333" s="64">
        <f t="shared" si="213"/>
        <v>0</v>
      </c>
      <c r="AX333" s="46"/>
      <c r="AY333" s="46"/>
      <c r="AZ333" s="46"/>
      <c r="BA333" s="46"/>
      <c r="BB333" s="46"/>
      <c r="BC333" s="47">
        <f t="shared" si="222"/>
        <v>0</v>
      </c>
      <c r="BD333" s="46"/>
      <c r="BE333" s="47">
        <f t="shared" si="224"/>
        <v>0</v>
      </c>
      <c r="BF333" s="46"/>
      <c r="BG333" s="46"/>
      <c r="BH333" s="46"/>
      <c r="BI333" s="46"/>
      <c r="BJ333" s="46"/>
      <c r="BK333" s="46">
        <f t="shared" si="247"/>
        <v>0</v>
      </c>
      <c r="BL333" s="46"/>
      <c r="BM333" s="64">
        <f t="shared" si="248"/>
        <v>0</v>
      </c>
      <c r="BN333" s="46"/>
      <c r="BO333" s="46"/>
      <c r="BP333" s="46"/>
      <c r="BQ333" s="46"/>
      <c r="BR333" s="46"/>
      <c r="BS333" s="46"/>
      <c r="BT333" s="46"/>
      <c r="BU333" s="47">
        <f t="shared" si="249"/>
        <v>0</v>
      </c>
      <c r="BV333" s="46"/>
      <c r="BW333" s="46"/>
      <c r="BX333" s="46"/>
      <c r="BY333" s="46"/>
      <c r="BZ333" s="46"/>
      <c r="CA333" s="46"/>
      <c r="CB333" s="46"/>
      <c r="CC333" s="47">
        <f t="shared" si="252"/>
        <v>0</v>
      </c>
      <c r="CD333" s="46"/>
      <c r="CE333" s="46"/>
      <c r="CF333" s="46"/>
      <c r="CG333" s="46"/>
      <c r="CH333" s="46"/>
      <c r="CI333" s="46"/>
      <c r="CJ333" s="46"/>
      <c r="CK333" s="47">
        <f t="shared" si="253"/>
        <v>0</v>
      </c>
      <c r="CL333" s="46"/>
      <c r="CM333" s="46"/>
      <c r="CN333" s="46"/>
      <c r="CO333" s="46"/>
      <c r="CP333" s="46">
        <f t="shared" si="254"/>
        <v>0</v>
      </c>
      <c r="CQ333" s="46"/>
      <c r="CR333" s="47">
        <f t="shared" si="231"/>
        <v>0</v>
      </c>
      <c r="CS333" s="46"/>
      <c r="CT333" s="46"/>
      <c r="CU333" s="46"/>
      <c r="CV333" s="46"/>
      <c r="CW333" s="47">
        <f t="shared" si="250"/>
        <v>0</v>
      </c>
      <c r="CX333" s="46"/>
      <c r="CY333" s="47">
        <f t="shared" si="251"/>
        <v>0</v>
      </c>
      <c r="CZ333" s="46"/>
      <c r="DA333" s="46"/>
      <c r="DB333" s="46"/>
      <c r="DC333" s="46"/>
      <c r="DD333" s="47">
        <f t="shared" si="255"/>
        <v>0</v>
      </c>
      <c r="DE333" s="46"/>
      <c r="DF333" s="46">
        <f t="shared" si="256"/>
        <v>0</v>
      </c>
      <c r="DG333" s="46"/>
      <c r="DH333" s="46">
        <f t="shared" si="245"/>
        <v>0</v>
      </c>
      <c r="DI333" s="46"/>
      <c r="DJ333" s="46"/>
      <c r="DK333" s="64">
        <f t="shared" si="225"/>
        <v>0</v>
      </c>
      <c r="DL333" s="60">
        <f t="shared" si="241"/>
        <v>0</v>
      </c>
      <c r="DM333" s="46"/>
      <c r="DN333" s="46">
        <f t="shared" si="246"/>
        <v>0</v>
      </c>
      <c r="DO333" s="46"/>
      <c r="DP333" s="90">
        <f>10%*AQ333</f>
        <v>0</v>
      </c>
      <c r="DQ333" s="46"/>
      <c r="DR333" s="46">
        <f t="shared" si="237"/>
        <v>0</v>
      </c>
      <c r="DS333" s="46"/>
      <c r="DT333" s="46">
        <f t="shared" si="212"/>
        <v>0</v>
      </c>
      <c r="DU333" s="46"/>
      <c r="DV333" s="46">
        <f t="shared" si="217"/>
        <v>0</v>
      </c>
      <c r="DW333" s="46"/>
      <c r="DX333" s="47">
        <f t="shared" si="230"/>
        <v>0</v>
      </c>
      <c r="DY333" s="91"/>
      <c r="DZ333" s="46"/>
      <c r="EA333" s="46"/>
      <c r="EB333" s="46"/>
      <c r="EC333" s="46"/>
      <c r="ED333" s="46"/>
      <c r="EE333" s="47">
        <f t="shared" si="219"/>
        <v>0</v>
      </c>
      <c r="EF333" s="46"/>
      <c r="EG333" s="46"/>
      <c r="EH333" s="46"/>
      <c r="EI333" s="91"/>
      <c r="EJ333" s="46"/>
      <c r="EK333" s="47">
        <f t="shared" si="242"/>
        <v>0</v>
      </c>
      <c r="EL333" s="46">
        <f t="shared" si="243"/>
        <v>0</v>
      </c>
      <c r="EM333" s="46"/>
      <c r="EN333" s="46">
        <f t="shared" si="244"/>
        <v>0</v>
      </c>
    </row>
    <row r="334" spans="1:157" s="48" customFormat="1" ht="15" customHeight="1" x14ac:dyDescent="0.25">
      <c r="A334" s="58"/>
      <c r="B334" s="41">
        <v>2</v>
      </c>
      <c r="C334" s="49"/>
      <c r="D334" s="59"/>
      <c r="E334" s="49"/>
      <c r="F334" s="49"/>
      <c r="G334" s="49"/>
      <c r="H334" s="49"/>
      <c r="I334" s="49"/>
      <c r="J334" s="49"/>
      <c r="K334" s="49"/>
      <c r="L334" s="49"/>
      <c r="M334" s="42"/>
      <c r="N334" s="41"/>
      <c r="O334" s="41"/>
      <c r="P334" s="42"/>
      <c r="Q334" s="45"/>
      <c r="R334" s="45"/>
      <c r="S334" s="42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7">
        <f t="shared" si="239"/>
        <v>0</v>
      </c>
      <c r="AO334" s="47">
        <f t="shared" si="240"/>
        <v>0</v>
      </c>
      <c r="AP334" s="42" t="s">
        <v>102</v>
      </c>
      <c r="AQ334" s="46"/>
      <c r="AR334" s="46"/>
      <c r="AS334" s="46"/>
      <c r="AT334" s="46"/>
      <c r="AU334" s="47">
        <f t="shared" si="223"/>
        <v>0</v>
      </c>
      <c r="AV334" s="46"/>
      <c r="AW334" s="47">
        <f t="shared" ref="AW334:AW358" si="257">AQ334+AU334+AV334+AR334</f>
        <v>0</v>
      </c>
      <c r="AX334" s="42"/>
      <c r="AY334" s="46"/>
      <c r="AZ334" s="46"/>
      <c r="BA334" s="46"/>
      <c r="BB334" s="46"/>
      <c r="BC334" s="47">
        <f t="shared" si="222"/>
        <v>0</v>
      </c>
      <c r="BD334" s="46"/>
      <c r="BE334" s="47">
        <f t="shared" si="224"/>
        <v>0</v>
      </c>
      <c r="BF334" s="42"/>
      <c r="BG334" s="46"/>
      <c r="BH334" s="46"/>
      <c r="BI334" s="46"/>
      <c r="BJ334" s="46"/>
      <c r="BK334" s="46">
        <f t="shared" si="247"/>
        <v>0</v>
      </c>
      <c r="BL334" s="46"/>
      <c r="BM334" s="64">
        <f t="shared" si="248"/>
        <v>0</v>
      </c>
      <c r="BN334" s="42"/>
      <c r="BO334" s="46"/>
      <c r="BP334" s="46"/>
      <c r="BQ334" s="46"/>
      <c r="BR334" s="46"/>
      <c r="BS334" s="47">
        <f t="shared" ref="BS334:BS343" si="258">+BQ334*BR334</f>
        <v>0</v>
      </c>
      <c r="BT334" s="46"/>
      <c r="BU334" s="47">
        <f t="shared" si="249"/>
        <v>0</v>
      </c>
      <c r="BV334" s="42"/>
      <c r="BW334" s="46"/>
      <c r="BX334" s="46"/>
      <c r="BY334" s="46"/>
      <c r="BZ334" s="46"/>
      <c r="CA334" s="47">
        <f t="shared" ref="CA334:CA343" si="259">+BY334*BZ334</f>
        <v>0</v>
      </c>
      <c r="CB334" s="46"/>
      <c r="CC334" s="47">
        <f t="shared" si="252"/>
        <v>0</v>
      </c>
      <c r="CD334" s="42"/>
      <c r="CE334" s="46"/>
      <c r="CF334" s="46"/>
      <c r="CG334" s="46"/>
      <c r="CH334" s="46"/>
      <c r="CI334" s="47">
        <f t="shared" ref="CI334:CI343" si="260">+CG334*CH334</f>
        <v>0</v>
      </c>
      <c r="CJ334" s="46"/>
      <c r="CK334" s="47">
        <f t="shared" si="253"/>
        <v>0</v>
      </c>
      <c r="CL334" s="46"/>
      <c r="CM334" s="46"/>
      <c r="CN334" s="46"/>
      <c r="CO334" s="46"/>
      <c r="CP334" s="46">
        <f t="shared" si="254"/>
        <v>0</v>
      </c>
      <c r="CQ334" s="46"/>
      <c r="CR334" s="64">
        <f t="shared" si="231"/>
        <v>0</v>
      </c>
      <c r="CS334" s="46"/>
      <c r="CT334" s="46"/>
      <c r="CU334" s="46"/>
      <c r="CV334" s="46"/>
      <c r="CW334" s="47">
        <f t="shared" si="250"/>
        <v>0</v>
      </c>
      <c r="CX334" s="46"/>
      <c r="CY334" s="47">
        <f t="shared" si="251"/>
        <v>0</v>
      </c>
      <c r="CZ334" s="46"/>
      <c r="DA334" s="46"/>
      <c r="DB334" s="46"/>
      <c r="DC334" s="46"/>
      <c r="DD334" s="47">
        <f t="shared" si="255"/>
        <v>0</v>
      </c>
      <c r="DE334" s="46"/>
      <c r="DF334" s="46">
        <f t="shared" si="256"/>
        <v>0</v>
      </c>
      <c r="DG334" s="46"/>
      <c r="DH334" s="46">
        <f t="shared" si="245"/>
        <v>0</v>
      </c>
      <c r="DI334" s="46"/>
      <c r="DJ334" s="46"/>
      <c r="DK334" s="64">
        <f t="shared" si="225"/>
        <v>0</v>
      </c>
      <c r="DL334" s="60">
        <f t="shared" si="241"/>
        <v>0</v>
      </c>
      <c r="DM334" s="47"/>
      <c r="DN334" s="46">
        <f t="shared" si="246"/>
        <v>0</v>
      </c>
      <c r="DO334" s="46"/>
      <c r="DP334" s="46">
        <f t="shared" ref="DP334:DP342" si="261">DN334</f>
        <v>0</v>
      </c>
      <c r="DQ334" s="46"/>
      <c r="DR334" s="90">
        <f t="shared" si="237"/>
        <v>0</v>
      </c>
      <c r="DS334" s="46"/>
      <c r="DT334" s="46">
        <f t="shared" si="212"/>
        <v>0</v>
      </c>
      <c r="DU334" s="46"/>
      <c r="DV334" s="46">
        <f t="shared" si="217"/>
        <v>0</v>
      </c>
      <c r="DW334" s="46"/>
      <c r="DX334" s="47">
        <f t="shared" si="230"/>
        <v>0</v>
      </c>
      <c r="DY334" s="91"/>
      <c r="DZ334" s="46"/>
      <c r="EA334" s="46"/>
      <c r="EB334" s="46"/>
      <c r="EC334" s="46"/>
      <c r="ED334" s="46"/>
      <c r="EE334" s="47">
        <f t="shared" si="219"/>
        <v>0</v>
      </c>
      <c r="EF334" s="46"/>
      <c r="EG334" s="46"/>
      <c r="EH334" s="46"/>
      <c r="EI334" s="91"/>
      <c r="EJ334" s="46"/>
      <c r="EK334" s="47">
        <f t="shared" si="242"/>
        <v>0</v>
      </c>
      <c r="EL334" s="46">
        <f t="shared" si="243"/>
        <v>0</v>
      </c>
      <c r="EM334" s="46"/>
      <c r="EN334" s="46">
        <f t="shared" si="244"/>
        <v>0</v>
      </c>
    </row>
    <row r="335" spans="1:157" s="48" customFormat="1" ht="15" customHeight="1" x14ac:dyDescent="0.25">
      <c r="A335" s="58"/>
      <c r="B335" s="41">
        <v>3</v>
      </c>
      <c r="C335" s="49"/>
      <c r="D335" s="59"/>
      <c r="E335" s="49"/>
      <c r="F335" s="49"/>
      <c r="G335" s="49"/>
      <c r="H335" s="49"/>
      <c r="I335" s="49"/>
      <c r="J335" s="49"/>
      <c r="K335" s="49"/>
      <c r="L335" s="49"/>
      <c r="M335" s="42"/>
      <c r="N335" s="41"/>
      <c r="O335" s="41"/>
      <c r="P335" s="42"/>
      <c r="Q335" s="45"/>
      <c r="R335" s="45"/>
      <c r="S335" s="45"/>
      <c r="T335" s="46"/>
      <c r="U335" s="46"/>
      <c r="V335" s="45"/>
      <c r="W335" s="45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7">
        <f t="shared" si="239"/>
        <v>0</v>
      </c>
      <c r="AO335" s="47">
        <f t="shared" si="240"/>
        <v>0</v>
      </c>
      <c r="AP335" s="42" t="s">
        <v>102</v>
      </c>
      <c r="AQ335" s="46"/>
      <c r="AR335" s="46"/>
      <c r="AS335" s="46"/>
      <c r="AT335" s="46"/>
      <c r="AU335" s="47">
        <f t="shared" si="223"/>
        <v>0</v>
      </c>
      <c r="AV335" s="46"/>
      <c r="AW335" s="47">
        <f t="shared" si="257"/>
        <v>0</v>
      </c>
      <c r="AX335" s="46"/>
      <c r="AY335" s="46"/>
      <c r="AZ335" s="46"/>
      <c r="BA335" s="46"/>
      <c r="BB335" s="46"/>
      <c r="BC335" s="47">
        <f t="shared" si="222"/>
        <v>0</v>
      </c>
      <c r="BD335" s="46"/>
      <c r="BE335" s="47">
        <f t="shared" si="224"/>
        <v>0</v>
      </c>
      <c r="BF335" s="46"/>
      <c r="BG335" s="46"/>
      <c r="BH335" s="46"/>
      <c r="BI335" s="46"/>
      <c r="BJ335" s="46"/>
      <c r="BK335" s="46">
        <f t="shared" si="247"/>
        <v>0</v>
      </c>
      <c r="BL335" s="46"/>
      <c r="BM335" s="64">
        <f t="shared" si="248"/>
        <v>0</v>
      </c>
      <c r="BN335" s="46"/>
      <c r="BO335" s="46"/>
      <c r="BP335" s="46"/>
      <c r="BQ335" s="46"/>
      <c r="BR335" s="46"/>
      <c r="BS335" s="47">
        <f t="shared" si="258"/>
        <v>0</v>
      </c>
      <c r="BT335" s="46"/>
      <c r="BU335" s="47">
        <f t="shared" si="249"/>
        <v>0</v>
      </c>
      <c r="BV335" s="46"/>
      <c r="BW335" s="46"/>
      <c r="BX335" s="46"/>
      <c r="BY335" s="46"/>
      <c r="BZ335" s="46"/>
      <c r="CA335" s="47">
        <f t="shared" si="259"/>
        <v>0</v>
      </c>
      <c r="CB335" s="46"/>
      <c r="CC335" s="47">
        <f t="shared" si="252"/>
        <v>0</v>
      </c>
      <c r="CD335" s="46"/>
      <c r="CE335" s="46"/>
      <c r="CF335" s="46"/>
      <c r="CG335" s="46"/>
      <c r="CH335" s="46"/>
      <c r="CI335" s="47">
        <f t="shared" si="260"/>
        <v>0</v>
      </c>
      <c r="CJ335" s="46"/>
      <c r="CK335" s="47">
        <f t="shared" si="253"/>
        <v>0</v>
      </c>
      <c r="CL335" s="46"/>
      <c r="CM335" s="46"/>
      <c r="CN335" s="46"/>
      <c r="CO335" s="46"/>
      <c r="CP335" s="46">
        <f t="shared" si="254"/>
        <v>0</v>
      </c>
      <c r="CQ335" s="46"/>
      <c r="CR335" s="47">
        <f t="shared" si="231"/>
        <v>0</v>
      </c>
      <c r="CS335" s="46"/>
      <c r="CT335" s="46"/>
      <c r="CU335" s="46"/>
      <c r="CV335" s="46"/>
      <c r="CW335" s="47">
        <f t="shared" si="250"/>
        <v>0</v>
      </c>
      <c r="CX335" s="46"/>
      <c r="CY335" s="47">
        <f t="shared" si="251"/>
        <v>0</v>
      </c>
      <c r="CZ335" s="46"/>
      <c r="DA335" s="46"/>
      <c r="DB335" s="46"/>
      <c r="DC335" s="46"/>
      <c r="DD335" s="47">
        <f t="shared" si="255"/>
        <v>0</v>
      </c>
      <c r="DE335" s="46"/>
      <c r="DF335" s="46">
        <f t="shared" si="256"/>
        <v>0</v>
      </c>
      <c r="DG335" s="46"/>
      <c r="DH335" s="46">
        <f t="shared" si="245"/>
        <v>0</v>
      </c>
      <c r="DI335" s="46"/>
      <c r="DJ335" s="46"/>
      <c r="DK335" s="64">
        <f t="shared" si="225"/>
        <v>0</v>
      </c>
      <c r="DL335" s="60">
        <f t="shared" si="241"/>
        <v>0</v>
      </c>
      <c r="DM335" s="46"/>
      <c r="DN335" s="46">
        <f t="shared" si="246"/>
        <v>0</v>
      </c>
      <c r="DO335" s="46"/>
      <c r="DP335" s="46">
        <f t="shared" si="261"/>
        <v>0</v>
      </c>
      <c r="DQ335" s="46"/>
      <c r="DR335" s="90">
        <f t="shared" si="237"/>
        <v>0</v>
      </c>
      <c r="DS335" s="46"/>
      <c r="DT335" s="46">
        <f t="shared" ref="DT335:DT342" si="262">75%*DP335</f>
        <v>0</v>
      </c>
      <c r="DU335" s="46"/>
      <c r="DV335" s="46">
        <f t="shared" si="217"/>
        <v>0</v>
      </c>
      <c r="DW335" s="46"/>
      <c r="DX335" s="47">
        <f t="shared" si="230"/>
        <v>0</v>
      </c>
      <c r="DY335" s="91"/>
      <c r="DZ335" s="46"/>
      <c r="EA335" s="46"/>
      <c r="EB335" s="46"/>
      <c r="EC335" s="46"/>
      <c r="ED335" s="46"/>
      <c r="EE335" s="47">
        <f t="shared" si="219"/>
        <v>0</v>
      </c>
      <c r="EF335" s="46"/>
      <c r="EG335" s="46"/>
      <c r="EH335" s="46"/>
      <c r="EI335" s="91"/>
      <c r="EJ335" s="46"/>
      <c r="EK335" s="47">
        <f t="shared" si="242"/>
        <v>0</v>
      </c>
      <c r="EL335" s="46">
        <f t="shared" si="243"/>
        <v>0</v>
      </c>
      <c r="EM335" s="46"/>
      <c r="EN335" s="46">
        <f t="shared" si="244"/>
        <v>0</v>
      </c>
      <c r="FA335" s="48" t="s">
        <v>117</v>
      </c>
    </row>
    <row r="336" spans="1:157" s="48" customFormat="1" ht="15" customHeight="1" x14ac:dyDescent="0.25">
      <c r="A336" s="58"/>
      <c r="B336" s="41">
        <v>4</v>
      </c>
      <c r="C336" s="49"/>
      <c r="D336" s="59"/>
      <c r="E336" s="49"/>
      <c r="F336" s="49"/>
      <c r="G336" s="49"/>
      <c r="H336" s="49"/>
      <c r="I336" s="49"/>
      <c r="J336" s="49"/>
      <c r="K336" s="49"/>
      <c r="L336" s="49"/>
      <c r="M336" s="42"/>
      <c r="N336" s="41"/>
      <c r="O336" s="41"/>
      <c r="P336" s="42"/>
      <c r="Q336" s="45"/>
      <c r="R336" s="45"/>
      <c r="S336" s="42"/>
      <c r="T336" s="46"/>
      <c r="U336" s="46"/>
      <c r="V336" s="46"/>
      <c r="W336" s="46"/>
      <c r="X336" s="46"/>
      <c r="Y336" s="46"/>
      <c r="Z336" s="42"/>
      <c r="AA336" s="42"/>
      <c r="AB336" s="42"/>
      <c r="AC336" s="42"/>
      <c r="AD336" s="42"/>
      <c r="AE336" s="42"/>
      <c r="AF336" s="42"/>
      <c r="AG336" s="42"/>
      <c r="AH336" s="42"/>
      <c r="AI336" s="46"/>
      <c r="AJ336" s="42"/>
      <c r="AK336" s="42"/>
      <c r="AL336" s="42"/>
      <c r="AM336" s="42"/>
      <c r="AN336" s="47">
        <f t="shared" si="239"/>
        <v>0</v>
      </c>
      <c r="AO336" s="47">
        <f t="shared" si="240"/>
        <v>0</v>
      </c>
      <c r="AP336" s="42" t="s">
        <v>102</v>
      </c>
      <c r="AQ336" s="46"/>
      <c r="AR336" s="42"/>
      <c r="AS336" s="42"/>
      <c r="AT336" s="46"/>
      <c r="AU336" s="47">
        <f t="shared" si="223"/>
        <v>0</v>
      </c>
      <c r="AV336" s="47"/>
      <c r="AW336" s="47">
        <f t="shared" si="257"/>
        <v>0</v>
      </c>
      <c r="AX336" s="47"/>
      <c r="AY336" s="47"/>
      <c r="AZ336" s="47"/>
      <c r="BA336" s="47"/>
      <c r="BB336" s="47"/>
      <c r="BC336" s="47">
        <f t="shared" si="222"/>
        <v>0</v>
      </c>
      <c r="BD336" s="47"/>
      <c r="BE336" s="47">
        <f t="shared" si="224"/>
        <v>0</v>
      </c>
      <c r="BF336" s="47"/>
      <c r="BG336" s="47"/>
      <c r="BH336" s="47"/>
      <c r="BI336" s="47"/>
      <c r="BJ336" s="47"/>
      <c r="BK336" s="46">
        <f t="shared" si="247"/>
        <v>0</v>
      </c>
      <c r="BL336" s="47"/>
      <c r="BM336" s="64">
        <f t="shared" si="248"/>
        <v>0</v>
      </c>
      <c r="BN336" s="47"/>
      <c r="BO336" s="47"/>
      <c r="BP336" s="47"/>
      <c r="BQ336" s="47"/>
      <c r="BR336" s="47"/>
      <c r="BS336" s="47">
        <f t="shared" si="258"/>
        <v>0</v>
      </c>
      <c r="BT336" s="47"/>
      <c r="BU336" s="47">
        <f t="shared" si="249"/>
        <v>0</v>
      </c>
      <c r="BV336" s="47"/>
      <c r="BW336" s="47"/>
      <c r="BX336" s="47"/>
      <c r="BY336" s="47"/>
      <c r="BZ336" s="47"/>
      <c r="CA336" s="47">
        <f t="shared" si="259"/>
        <v>0</v>
      </c>
      <c r="CB336" s="47"/>
      <c r="CC336" s="47">
        <f t="shared" si="252"/>
        <v>0</v>
      </c>
      <c r="CD336" s="47"/>
      <c r="CE336" s="47"/>
      <c r="CF336" s="47"/>
      <c r="CG336" s="47"/>
      <c r="CH336" s="47"/>
      <c r="CI336" s="47">
        <f t="shared" si="260"/>
        <v>0</v>
      </c>
      <c r="CJ336" s="47"/>
      <c r="CK336" s="47">
        <f t="shared" si="253"/>
        <v>0</v>
      </c>
      <c r="CL336" s="47"/>
      <c r="CM336" s="47"/>
      <c r="CN336" s="47"/>
      <c r="CO336" s="47"/>
      <c r="CP336" s="46">
        <f t="shared" si="254"/>
        <v>0</v>
      </c>
      <c r="CQ336" s="47"/>
      <c r="CR336" s="47">
        <f t="shared" si="231"/>
        <v>0</v>
      </c>
      <c r="CS336" s="47"/>
      <c r="CT336" s="47"/>
      <c r="CU336" s="47"/>
      <c r="CV336" s="47"/>
      <c r="CW336" s="47">
        <f t="shared" si="250"/>
        <v>0</v>
      </c>
      <c r="CX336" s="46"/>
      <c r="CY336" s="47">
        <f t="shared" si="251"/>
        <v>0</v>
      </c>
      <c r="CZ336" s="47"/>
      <c r="DA336" s="47"/>
      <c r="DB336" s="47"/>
      <c r="DC336" s="47"/>
      <c r="DD336" s="47">
        <f t="shared" si="255"/>
        <v>0</v>
      </c>
      <c r="DE336" s="47"/>
      <c r="DF336" s="46">
        <f t="shared" si="256"/>
        <v>0</v>
      </c>
      <c r="DG336" s="47"/>
      <c r="DH336" s="46">
        <f t="shared" si="245"/>
        <v>0</v>
      </c>
      <c r="DI336" s="47"/>
      <c r="DJ336" s="47"/>
      <c r="DK336" s="64"/>
      <c r="DL336" s="60">
        <f t="shared" si="241"/>
        <v>0</v>
      </c>
      <c r="DM336" s="47"/>
      <c r="DN336" s="46">
        <f t="shared" si="246"/>
        <v>0</v>
      </c>
      <c r="DO336" s="47"/>
      <c r="DP336" s="46">
        <f t="shared" si="261"/>
        <v>0</v>
      </c>
      <c r="DQ336" s="47"/>
      <c r="DR336" s="90">
        <f t="shared" si="237"/>
        <v>0</v>
      </c>
      <c r="DS336" s="47"/>
      <c r="DT336" s="46">
        <f t="shared" si="262"/>
        <v>0</v>
      </c>
      <c r="DU336" s="47"/>
      <c r="DV336" s="46">
        <f t="shared" si="217"/>
        <v>0</v>
      </c>
      <c r="DW336" s="47"/>
      <c r="DX336" s="47">
        <f t="shared" si="230"/>
        <v>0</v>
      </c>
      <c r="DY336" s="91"/>
      <c r="DZ336" s="47"/>
      <c r="EA336" s="47"/>
      <c r="EB336" s="47"/>
      <c r="EC336" s="47"/>
      <c r="ED336" s="47"/>
      <c r="EE336" s="47">
        <f t="shared" si="219"/>
        <v>0</v>
      </c>
      <c r="EF336" s="47"/>
      <c r="EG336" s="47"/>
      <c r="EH336" s="47"/>
      <c r="EI336" s="91"/>
      <c r="EJ336" s="47"/>
      <c r="EK336" s="47">
        <f t="shared" si="242"/>
        <v>0</v>
      </c>
      <c r="EL336" s="46">
        <f t="shared" si="243"/>
        <v>0</v>
      </c>
      <c r="EM336" s="46"/>
      <c r="EN336" s="46">
        <f t="shared" si="244"/>
        <v>0</v>
      </c>
    </row>
    <row r="337" spans="1:144" s="48" customFormat="1" ht="15" customHeight="1" x14ac:dyDescent="0.25">
      <c r="A337" s="58"/>
      <c r="B337" s="41">
        <v>5</v>
      </c>
      <c r="C337" s="49"/>
      <c r="D337" s="53"/>
      <c r="E337" s="52"/>
      <c r="F337" s="52"/>
      <c r="G337" s="52"/>
      <c r="H337" s="52"/>
      <c r="I337" s="52"/>
      <c r="J337" s="52"/>
      <c r="K337" s="52"/>
      <c r="L337" s="49"/>
      <c r="M337" s="42"/>
      <c r="N337" s="41"/>
      <c r="O337" s="41"/>
      <c r="P337" s="42"/>
      <c r="Q337" s="45"/>
      <c r="R337" s="45"/>
      <c r="S337" s="42"/>
      <c r="T337" s="46"/>
      <c r="U337" s="46"/>
      <c r="V337" s="46"/>
      <c r="W337" s="46"/>
      <c r="X337" s="46"/>
      <c r="Y337" s="46"/>
      <c r="Z337" s="42"/>
      <c r="AA337" s="42"/>
      <c r="AB337" s="42"/>
      <c r="AC337" s="42"/>
      <c r="AD337" s="42"/>
      <c r="AE337" s="42"/>
      <c r="AF337" s="42"/>
      <c r="AG337" s="42"/>
      <c r="AH337" s="42"/>
      <c r="AI337" s="46"/>
      <c r="AJ337" s="42"/>
      <c r="AK337" s="42"/>
      <c r="AL337" s="42"/>
      <c r="AM337" s="42"/>
      <c r="AN337" s="47">
        <f t="shared" si="239"/>
        <v>0</v>
      </c>
      <c r="AO337" s="47">
        <f t="shared" si="240"/>
        <v>0</v>
      </c>
      <c r="AP337" s="42" t="s">
        <v>102</v>
      </c>
      <c r="AQ337" s="46"/>
      <c r="AR337" s="42"/>
      <c r="AS337" s="42"/>
      <c r="AT337" s="46"/>
      <c r="AU337" s="47">
        <f t="shared" si="223"/>
        <v>0</v>
      </c>
      <c r="AV337" s="47"/>
      <c r="AW337" s="47">
        <f t="shared" si="257"/>
        <v>0</v>
      </c>
      <c r="AX337" s="47"/>
      <c r="AY337" s="47"/>
      <c r="AZ337" s="47"/>
      <c r="BA337" s="47"/>
      <c r="BB337" s="47"/>
      <c r="BC337" s="47">
        <f t="shared" si="222"/>
        <v>0</v>
      </c>
      <c r="BD337" s="47"/>
      <c r="BE337" s="47">
        <f t="shared" si="224"/>
        <v>0</v>
      </c>
      <c r="BF337" s="47"/>
      <c r="BG337" s="47"/>
      <c r="BH337" s="47"/>
      <c r="BI337" s="47"/>
      <c r="BJ337" s="47"/>
      <c r="BK337" s="46">
        <f t="shared" si="247"/>
        <v>0</v>
      </c>
      <c r="BL337" s="47"/>
      <c r="BM337" s="64">
        <f t="shared" si="248"/>
        <v>0</v>
      </c>
      <c r="BN337" s="47"/>
      <c r="BO337" s="47"/>
      <c r="BP337" s="47"/>
      <c r="BQ337" s="47"/>
      <c r="BR337" s="47"/>
      <c r="BS337" s="47">
        <f t="shared" si="258"/>
        <v>0</v>
      </c>
      <c r="BT337" s="47"/>
      <c r="BU337" s="47">
        <f t="shared" si="249"/>
        <v>0</v>
      </c>
      <c r="BV337" s="47"/>
      <c r="BW337" s="47"/>
      <c r="BX337" s="47"/>
      <c r="BY337" s="47"/>
      <c r="BZ337" s="47"/>
      <c r="CA337" s="47">
        <f t="shared" si="259"/>
        <v>0</v>
      </c>
      <c r="CB337" s="47"/>
      <c r="CC337" s="47">
        <f t="shared" si="252"/>
        <v>0</v>
      </c>
      <c r="CD337" s="47"/>
      <c r="CE337" s="47"/>
      <c r="CF337" s="47"/>
      <c r="CG337" s="47"/>
      <c r="CH337" s="47"/>
      <c r="CI337" s="47">
        <f t="shared" si="260"/>
        <v>0</v>
      </c>
      <c r="CJ337" s="47"/>
      <c r="CK337" s="47">
        <f t="shared" si="253"/>
        <v>0</v>
      </c>
      <c r="CL337" s="47"/>
      <c r="CM337" s="47"/>
      <c r="CN337" s="47"/>
      <c r="CO337" s="47"/>
      <c r="CP337" s="46">
        <f t="shared" si="254"/>
        <v>0</v>
      </c>
      <c r="CQ337" s="47"/>
      <c r="CR337" s="47">
        <f t="shared" si="231"/>
        <v>0</v>
      </c>
      <c r="CS337" s="47"/>
      <c r="CT337" s="47"/>
      <c r="CU337" s="47"/>
      <c r="CV337" s="47"/>
      <c r="CW337" s="47">
        <f t="shared" si="250"/>
        <v>0</v>
      </c>
      <c r="CX337" s="46"/>
      <c r="CY337" s="47">
        <f t="shared" si="251"/>
        <v>0</v>
      </c>
      <c r="CZ337" s="47"/>
      <c r="DA337" s="47"/>
      <c r="DB337" s="47"/>
      <c r="DC337" s="47"/>
      <c r="DD337" s="47">
        <f t="shared" si="255"/>
        <v>0</v>
      </c>
      <c r="DE337" s="47"/>
      <c r="DF337" s="46">
        <f t="shared" si="256"/>
        <v>0</v>
      </c>
      <c r="DG337" s="47"/>
      <c r="DH337" s="46">
        <f t="shared" si="245"/>
        <v>0</v>
      </c>
      <c r="DI337" s="47"/>
      <c r="DJ337" s="47"/>
      <c r="DK337" s="64"/>
      <c r="DL337" s="47">
        <f t="shared" si="241"/>
        <v>0</v>
      </c>
      <c r="DM337" s="47"/>
      <c r="DN337" s="46">
        <f t="shared" si="246"/>
        <v>0</v>
      </c>
      <c r="DO337" s="47"/>
      <c r="DP337" s="46">
        <f t="shared" si="261"/>
        <v>0</v>
      </c>
      <c r="DQ337" s="47"/>
      <c r="DR337" s="46">
        <f t="shared" si="237"/>
        <v>0</v>
      </c>
      <c r="DS337" s="47"/>
      <c r="DT337" s="46">
        <f t="shared" si="262"/>
        <v>0</v>
      </c>
      <c r="DU337" s="47"/>
      <c r="DV337" s="46">
        <f t="shared" si="217"/>
        <v>0</v>
      </c>
      <c r="DW337" s="47"/>
      <c r="DX337" s="47">
        <f t="shared" si="230"/>
        <v>0</v>
      </c>
      <c r="DY337" s="91"/>
      <c r="DZ337" s="47"/>
      <c r="EA337" s="47"/>
      <c r="EB337" s="47"/>
      <c r="EC337" s="47"/>
      <c r="ED337" s="47"/>
      <c r="EE337" s="47">
        <f t="shared" si="219"/>
        <v>0</v>
      </c>
      <c r="EF337" s="47"/>
      <c r="EG337" s="47"/>
      <c r="EH337" s="47"/>
      <c r="EI337" s="91"/>
      <c r="EJ337" s="47"/>
      <c r="EK337" s="47">
        <f t="shared" si="242"/>
        <v>0</v>
      </c>
      <c r="EL337" s="46">
        <f t="shared" si="243"/>
        <v>0</v>
      </c>
      <c r="EM337" s="46"/>
      <c r="EN337" s="46">
        <f t="shared" si="244"/>
        <v>0</v>
      </c>
    </row>
    <row r="338" spans="1:144" s="48" customFormat="1" ht="15" customHeight="1" x14ac:dyDescent="0.25">
      <c r="A338" s="58"/>
      <c r="B338" s="41">
        <v>6</v>
      </c>
      <c r="C338" s="49"/>
      <c r="D338" s="53"/>
      <c r="E338" s="52"/>
      <c r="F338" s="52"/>
      <c r="G338" s="52"/>
      <c r="H338" s="52"/>
      <c r="I338" s="52"/>
      <c r="J338" s="52"/>
      <c r="K338" s="52"/>
      <c r="L338" s="49"/>
      <c r="M338" s="42"/>
      <c r="N338" s="41"/>
      <c r="O338" s="41"/>
      <c r="P338" s="42"/>
      <c r="Q338" s="45"/>
      <c r="R338" s="45"/>
      <c r="S338" s="42"/>
      <c r="T338" s="46"/>
      <c r="U338" s="46"/>
      <c r="V338" s="46"/>
      <c r="W338" s="46"/>
      <c r="X338" s="46"/>
      <c r="Y338" s="46"/>
      <c r="Z338" s="42"/>
      <c r="AA338" s="42"/>
      <c r="AB338" s="42"/>
      <c r="AC338" s="42"/>
      <c r="AD338" s="42"/>
      <c r="AE338" s="42"/>
      <c r="AF338" s="42"/>
      <c r="AG338" s="42"/>
      <c r="AH338" s="42"/>
      <c r="AI338" s="46"/>
      <c r="AJ338" s="42"/>
      <c r="AK338" s="42"/>
      <c r="AL338" s="42"/>
      <c r="AM338" s="42"/>
      <c r="AN338" s="47">
        <f t="shared" si="239"/>
        <v>0</v>
      </c>
      <c r="AO338" s="47">
        <f t="shared" si="240"/>
        <v>0</v>
      </c>
      <c r="AP338" s="42" t="s">
        <v>102</v>
      </c>
      <c r="AQ338" s="61"/>
      <c r="AR338" s="42"/>
      <c r="AS338" s="42"/>
      <c r="AT338" s="46"/>
      <c r="AU338" s="47">
        <f t="shared" si="223"/>
        <v>0</v>
      </c>
      <c r="AV338" s="47"/>
      <c r="AW338" s="47">
        <f t="shared" si="257"/>
        <v>0</v>
      </c>
      <c r="AX338" s="47"/>
      <c r="AY338" s="47"/>
      <c r="AZ338" s="47"/>
      <c r="BA338" s="47"/>
      <c r="BB338" s="47"/>
      <c r="BC338" s="47">
        <f t="shared" si="222"/>
        <v>0</v>
      </c>
      <c r="BD338" s="47"/>
      <c r="BE338" s="47">
        <f t="shared" si="224"/>
        <v>0</v>
      </c>
      <c r="BF338" s="47"/>
      <c r="BG338" s="47"/>
      <c r="BH338" s="47"/>
      <c r="BI338" s="47"/>
      <c r="BJ338" s="47"/>
      <c r="BK338" s="46">
        <f t="shared" si="247"/>
        <v>0</v>
      </c>
      <c r="BL338" s="47"/>
      <c r="BM338" s="64">
        <f t="shared" si="248"/>
        <v>0</v>
      </c>
      <c r="BN338" s="47"/>
      <c r="BO338" s="47"/>
      <c r="BP338" s="47"/>
      <c r="BQ338" s="47"/>
      <c r="BR338" s="47"/>
      <c r="BS338" s="47">
        <f t="shared" si="258"/>
        <v>0</v>
      </c>
      <c r="BT338" s="47"/>
      <c r="BU338" s="47">
        <f t="shared" si="249"/>
        <v>0</v>
      </c>
      <c r="BV338" s="47"/>
      <c r="BW338" s="47"/>
      <c r="BX338" s="47"/>
      <c r="BY338" s="47"/>
      <c r="BZ338" s="47"/>
      <c r="CA338" s="47">
        <f t="shared" si="259"/>
        <v>0</v>
      </c>
      <c r="CB338" s="47"/>
      <c r="CC338" s="47">
        <f t="shared" si="252"/>
        <v>0</v>
      </c>
      <c r="CD338" s="47"/>
      <c r="CE338" s="47"/>
      <c r="CF338" s="47"/>
      <c r="CG338" s="47"/>
      <c r="CH338" s="47"/>
      <c r="CI338" s="47">
        <f t="shared" si="260"/>
        <v>0</v>
      </c>
      <c r="CJ338" s="47"/>
      <c r="CK338" s="47">
        <f t="shared" si="253"/>
        <v>0</v>
      </c>
      <c r="CL338" s="47"/>
      <c r="CM338" s="47"/>
      <c r="CN338" s="47"/>
      <c r="CO338" s="47"/>
      <c r="CP338" s="46">
        <f t="shared" si="254"/>
        <v>0</v>
      </c>
      <c r="CQ338" s="47"/>
      <c r="CR338" s="47">
        <f t="shared" si="231"/>
        <v>0</v>
      </c>
      <c r="CS338" s="47"/>
      <c r="CT338" s="47"/>
      <c r="CU338" s="47"/>
      <c r="CV338" s="47"/>
      <c r="CW338" s="47">
        <f t="shared" si="250"/>
        <v>0</v>
      </c>
      <c r="CX338" s="46"/>
      <c r="CY338" s="47">
        <f t="shared" si="251"/>
        <v>0</v>
      </c>
      <c r="CZ338" s="47"/>
      <c r="DA338" s="47"/>
      <c r="DB338" s="47"/>
      <c r="DC338" s="47"/>
      <c r="DD338" s="47">
        <f t="shared" si="255"/>
        <v>0</v>
      </c>
      <c r="DE338" s="47"/>
      <c r="DF338" s="46">
        <f t="shared" si="256"/>
        <v>0</v>
      </c>
      <c r="DG338" s="47"/>
      <c r="DH338" s="46">
        <f t="shared" si="245"/>
        <v>0</v>
      </c>
      <c r="DI338" s="47"/>
      <c r="DJ338" s="47"/>
      <c r="DK338" s="64"/>
      <c r="DL338" s="47">
        <f t="shared" si="241"/>
        <v>0</v>
      </c>
      <c r="DM338" s="47"/>
      <c r="DN338" s="46">
        <f t="shared" si="246"/>
        <v>0</v>
      </c>
      <c r="DO338" s="47"/>
      <c r="DP338" s="46">
        <f t="shared" si="261"/>
        <v>0</v>
      </c>
      <c r="DQ338" s="47"/>
      <c r="DR338" s="46">
        <f t="shared" si="237"/>
        <v>0</v>
      </c>
      <c r="DS338" s="47"/>
      <c r="DT338" s="46">
        <f t="shared" si="262"/>
        <v>0</v>
      </c>
      <c r="DU338" s="47"/>
      <c r="DV338" s="46">
        <f t="shared" ref="DV338:DV342" si="263">DT338/2</f>
        <v>0</v>
      </c>
      <c r="DW338" s="47"/>
      <c r="DX338" s="47">
        <f t="shared" si="230"/>
        <v>0</v>
      </c>
      <c r="DY338" s="47"/>
      <c r="DZ338" s="47"/>
      <c r="EA338" s="47"/>
      <c r="EB338" s="47"/>
      <c r="EC338" s="47"/>
      <c r="ED338" s="47"/>
      <c r="EE338" s="47">
        <f t="shared" si="219"/>
        <v>0</v>
      </c>
      <c r="EF338" s="47"/>
      <c r="EG338" s="47"/>
      <c r="EH338" s="126"/>
      <c r="EI338" s="47"/>
      <c r="EJ338" s="47"/>
      <c r="EK338" s="47">
        <f t="shared" si="242"/>
        <v>0</v>
      </c>
      <c r="EL338" s="46">
        <f t="shared" si="243"/>
        <v>0</v>
      </c>
      <c r="EM338" s="46"/>
      <c r="EN338" s="46">
        <f t="shared" si="244"/>
        <v>0</v>
      </c>
    </row>
    <row r="339" spans="1:144" s="48" customFormat="1" ht="15" customHeight="1" x14ac:dyDescent="0.25">
      <c r="A339" s="58"/>
      <c r="B339" s="41">
        <v>7</v>
      </c>
      <c r="C339" s="49"/>
      <c r="D339" s="53"/>
      <c r="E339" s="52"/>
      <c r="F339" s="52"/>
      <c r="G339" s="52"/>
      <c r="H339" s="52"/>
      <c r="I339" s="52"/>
      <c r="J339" s="52"/>
      <c r="K339" s="52"/>
      <c r="L339" s="49"/>
      <c r="M339" s="42"/>
      <c r="N339" s="41"/>
      <c r="O339" s="41"/>
      <c r="P339" s="42"/>
      <c r="Q339" s="45"/>
      <c r="R339" s="45"/>
      <c r="S339" s="42"/>
      <c r="T339" s="46"/>
      <c r="U339" s="46"/>
      <c r="V339" s="46"/>
      <c r="W339" s="46"/>
      <c r="X339" s="46"/>
      <c r="Y339" s="46"/>
      <c r="Z339" s="42"/>
      <c r="AA339" s="42"/>
      <c r="AB339" s="42"/>
      <c r="AC339" s="42"/>
      <c r="AD339" s="42"/>
      <c r="AE339" s="42"/>
      <c r="AF339" s="42"/>
      <c r="AG339" s="42"/>
      <c r="AH339" s="42"/>
      <c r="AI339" s="46"/>
      <c r="AJ339" s="42"/>
      <c r="AK339" s="42"/>
      <c r="AL339" s="42"/>
      <c r="AM339" s="42"/>
      <c r="AN339" s="47">
        <f t="shared" si="239"/>
        <v>0</v>
      </c>
      <c r="AO339" s="47">
        <f t="shared" si="240"/>
        <v>0</v>
      </c>
      <c r="AP339" s="42" t="s">
        <v>102</v>
      </c>
      <c r="AQ339" s="61"/>
      <c r="AR339" s="42"/>
      <c r="AS339" s="42"/>
      <c r="AT339" s="46"/>
      <c r="AU339" s="47">
        <f t="shared" si="223"/>
        <v>0</v>
      </c>
      <c r="AV339" s="47"/>
      <c r="AW339" s="47">
        <f t="shared" si="257"/>
        <v>0</v>
      </c>
      <c r="AX339" s="47"/>
      <c r="AY339" s="47"/>
      <c r="AZ339" s="47"/>
      <c r="BA339" s="47"/>
      <c r="BB339" s="47"/>
      <c r="BC339" s="47">
        <f t="shared" si="222"/>
        <v>0</v>
      </c>
      <c r="BD339" s="47"/>
      <c r="BE339" s="47">
        <f t="shared" si="224"/>
        <v>0</v>
      </c>
      <c r="BF339" s="47"/>
      <c r="BG339" s="47"/>
      <c r="BH339" s="47"/>
      <c r="BI339" s="47"/>
      <c r="BJ339" s="47"/>
      <c r="BK339" s="46">
        <f t="shared" si="247"/>
        <v>0</v>
      </c>
      <c r="BL339" s="47"/>
      <c r="BM339" s="64">
        <f t="shared" si="248"/>
        <v>0</v>
      </c>
      <c r="BN339" s="47"/>
      <c r="BO339" s="47"/>
      <c r="BP339" s="47"/>
      <c r="BQ339" s="47"/>
      <c r="BR339" s="47"/>
      <c r="BS339" s="47">
        <f t="shared" si="258"/>
        <v>0</v>
      </c>
      <c r="BT339" s="47"/>
      <c r="BU339" s="47">
        <f t="shared" si="249"/>
        <v>0</v>
      </c>
      <c r="BV339" s="47"/>
      <c r="BW339" s="47"/>
      <c r="BX339" s="47"/>
      <c r="BY339" s="47"/>
      <c r="BZ339" s="47"/>
      <c r="CA339" s="47">
        <f t="shared" si="259"/>
        <v>0</v>
      </c>
      <c r="CB339" s="47"/>
      <c r="CC339" s="47">
        <f t="shared" si="252"/>
        <v>0</v>
      </c>
      <c r="CD339" s="47"/>
      <c r="CE339" s="47"/>
      <c r="CF339" s="47"/>
      <c r="CG339" s="47"/>
      <c r="CH339" s="47"/>
      <c r="CI339" s="47">
        <f t="shared" si="260"/>
        <v>0</v>
      </c>
      <c r="CJ339" s="47"/>
      <c r="CK339" s="47">
        <f t="shared" si="253"/>
        <v>0</v>
      </c>
      <c r="CL339" s="47"/>
      <c r="CM339" s="47"/>
      <c r="CN339" s="47"/>
      <c r="CO339" s="47"/>
      <c r="CP339" s="46">
        <f t="shared" si="254"/>
        <v>0</v>
      </c>
      <c r="CQ339" s="47"/>
      <c r="CR339" s="47">
        <f t="shared" si="231"/>
        <v>0</v>
      </c>
      <c r="CS339" s="47"/>
      <c r="CT339" s="47"/>
      <c r="CU339" s="47"/>
      <c r="CV339" s="47"/>
      <c r="CW339" s="47">
        <f t="shared" si="250"/>
        <v>0</v>
      </c>
      <c r="CX339" s="46"/>
      <c r="CY339" s="47">
        <f t="shared" si="251"/>
        <v>0</v>
      </c>
      <c r="CZ339" s="47"/>
      <c r="DA339" s="47"/>
      <c r="DB339" s="47"/>
      <c r="DC339" s="47"/>
      <c r="DD339" s="47">
        <f t="shared" si="255"/>
        <v>0</v>
      </c>
      <c r="DE339" s="47"/>
      <c r="DF339" s="46">
        <f t="shared" si="256"/>
        <v>0</v>
      </c>
      <c r="DG339" s="47"/>
      <c r="DH339" s="46">
        <f t="shared" si="245"/>
        <v>0</v>
      </c>
      <c r="DI339" s="47"/>
      <c r="DJ339" s="47"/>
      <c r="DK339" s="47"/>
      <c r="DL339" s="47">
        <f t="shared" si="241"/>
        <v>0</v>
      </c>
      <c r="DM339" s="47"/>
      <c r="DN339" s="46">
        <f t="shared" si="246"/>
        <v>0</v>
      </c>
      <c r="DO339" s="47"/>
      <c r="DP339" s="46">
        <f t="shared" si="261"/>
        <v>0</v>
      </c>
      <c r="DQ339" s="47"/>
      <c r="DR339" s="46">
        <f t="shared" si="237"/>
        <v>0</v>
      </c>
      <c r="DS339" s="47"/>
      <c r="DT339" s="46">
        <f t="shared" si="262"/>
        <v>0</v>
      </c>
      <c r="DU339" s="47"/>
      <c r="DV339" s="46">
        <f t="shared" si="263"/>
        <v>0</v>
      </c>
      <c r="DW339" s="47"/>
      <c r="DX339" s="47">
        <f t="shared" si="230"/>
        <v>0</v>
      </c>
      <c r="DY339" s="47"/>
      <c r="DZ339" s="47"/>
      <c r="EA339" s="47"/>
      <c r="EB339" s="47"/>
      <c r="EC339" s="47"/>
      <c r="ED339" s="47"/>
      <c r="EE339" s="47">
        <f t="shared" si="219"/>
        <v>0</v>
      </c>
      <c r="EF339" s="47"/>
      <c r="EG339" s="47"/>
      <c r="EH339" s="47"/>
      <c r="EI339" s="47"/>
      <c r="EJ339" s="47"/>
      <c r="EK339" s="47">
        <f t="shared" si="242"/>
        <v>0</v>
      </c>
      <c r="EL339" s="46">
        <f t="shared" si="243"/>
        <v>0</v>
      </c>
      <c r="EM339" s="46"/>
      <c r="EN339" s="46">
        <f t="shared" si="244"/>
        <v>0</v>
      </c>
    </row>
    <row r="340" spans="1:144" s="48" customFormat="1" ht="15" customHeight="1" x14ac:dyDescent="0.25">
      <c r="A340" s="58"/>
      <c r="B340" s="41">
        <v>8</v>
      </c>
      <c r="C340" s="49"/>
      <c r="D340" s="53"/>
      <c r="E340" s="52"/>
      <c r="F340" s="52"/>
      <c r="G340" s="52"/>
      <c r="H340" s="52"/>
      <c r="I340" s="52"/>
      <c r="J340" s="52"/>
      <c r="K340" s="52"/>
      <c r="L340" s="49"/>
      <c r="M340" s="42"/>
      <c r="N340" s="41"/>
      <c r="O340" s="41"/>
      <c r="P340" s="42"/>
      <c r="Q340" s="45"/>
      <c r="R340" s="45"/>
      <c r="S340" s="42"/>
      <c r="T340" s="46"/>
      <c r="U340" s="46"/>
      <c r="V340" s="46"/>
      <c r="W340" s="46"/>
      <c r="X340" s="46"/>
      <c r="Y340" s="46"/>
      <c r="Z340" s="42"/>
      <c r="AA340" s="42"/>
      <c r="AB340" s="42"/>
      <c r="AC340" s="42"/>
      <c r="AD340" s="42"/>
      <c r="AE340" s="42"/>
      <c r="AF340" s="42"/>
      <c r="AG340" s="42"/>
      <c r="AH340" s="42"/>
      <c r="AI340" s="46"/>
      <c r="AJ340" s="42"/>
      <c r="AK340" s="42"/>
      <c r="AL340" s="42"/>
      <c r="AM340" s="42"/>
      <c r="AN340" s="47">
        <f t="shared" si="239"/>
        <v>0</v>
      </c>
      <c r="AO340" s="47">
        <f t="shared" si="240"/>
        <v>0</v>
      </c>
      <c r="AP340" s="42" t="s">
        <v>102</v>
      </c>
      <c r="AQ340" s="61"/>
      <c r="AR340" s="42"/>
      <c r="AS340" s="42"/>
      <c r="AT340" s="46"/>
      <c r="AU340" s="47">
        <f t="shared" si="223"/>
        <v>0</v>
      </c>
      <c r="AV340" s="47"/>
      <c r="AW340" s="47">
        <f t="shared" si="257"/>
        <v>0</v>
      </c>
      <c r="AX340" s="47"/>
      <c r="AY340" s="47"/>
      <c r="AZ340" s="47"/>
      <c r="BA340" s="47"/>
      <c r="BB340" s="47"/>
      <c r="BC340" s="47">
        <f t="shared" si="222"/>
        <v>0</v>
      </c>
      <c r="BD340" s="47"/>
      <c r="BE340" s="47">
        <f t="shared" si="224"/>
        <v>0</v>
      </c>
      <c r="BF340" s="47"/>
      <c r="BG340" s="47"/>
      <c r="BH340" s="47"/>
      <c r="BI340" s="47"/>
      <c r="BJ340" s="47"/>
      <c r="BK340" s="46">
        <f t="shared" si="247"/>
        <v>0</v>
      </c>
      <c r="BL340" s="47"/>
      <c r="BM340" s="64">
        <f t="shared" si="248"/>
        <v>0</v>
      </c>
      <c r="BN340" s="47"/>
      <c r="BO340" s="47"/>
      <c r="BP340" s="47"/>
      <c r="BQ340" s="47"/>
      <c r="BR340" s="47"/>
      <c r="BS340" s="47">
        <f t="shared" si="258"/>
        <v>0</v>
      </c>
      <c r="BT340" s="47"/>
      <c r="BU340" s="47">
        <f t="shared" si="249"/>
        <v>0</v>
      </c>
      <c r="BV340" s="47"/>
      <c r="BW340" s="47"/>
      <c r="BX340" s="47"/>
      <c r="BY340" s="47"/>
      <c r="BZ340" s="47"/>
      <c r="CA340" s="47">
        <f t="shared" si="259"/>
        <v>0</v>
      </c>
      <c r="CB340" s="47"/>
      <c r="CC340" s="47">
        <f t="shared" si="252"/>
        <v>0</v>
      </c>
      <c r="CD340" s="47"/>
      <c r="CE340" s="47"/>
      <c r="CF340" s="47"/>
      <c r="CG340" s="47"/>
      <c r="CH340" s="47"/>
      <c r="CI340" s="47">
        <f t="shared" si="260"/>
        <v>0</v>
      </c>
      <c r="CJ340" s="47"/>
      <c r="CK340" s="47">
        <f t="shared" si="253"/>
        <v>0</v>
      </c>
      <c r="CL340" s="47"/>
      <c r="CM340" s="47"/>
      <c r="CN340" s="47"/>
      <c r="CO340" s="47"/>
      <c r="CP340" s="46">
        <f t="shared" si="254"/>
        <v>0</v>
      </c>
      <c r="CQ340" s="47"/>
      <c r="CR340" s="47">
        <f t="shared" si="231"/>
        <v>0</v>
      </c>
      <c r="CS340" s="47"/>
      <c r="CT340" s="47"/>
      <c r="CU340" s="47"/>
      <c r="CV340" s="47"/>
      <c r="CW340" s="47">
        <f t="shared" si="250"/>
        <v>0</v>
      </c>
      <c r="CX340" s="46"/>
      <c r="CY340" s="47">
        <f t="shared" si="251"/>
        <v>0</v>
      </c>
      <c r="CZ340" s="47"/>
      <c r="DA340" s="47"/>
      <c r="DB340" s="47"/>
      <c r="DC340" s="47"/>
      <c r="DD340" s="47">
        <f t="shared" si="255"/>
        <v>0</v>
      </c>
      <c r="DE340" s="47"/>
      <c r="DF340" s="46">
        <f t="shared" si="256"/>
        <v>0</v>
      </c>
      <c r="DG340" s="47"/>
      <c r="DH340" s="46"/>
      <c r="DI340" s="47"/>
      <c r="DJ340" s="47"/>
      <c r="DK340" s="47"/>
      <c r="DL340" s="47">
        <f t="shared" si="241"/>
        <v>0</v>
      </c>
      <c r="DM340" s="47"/>
      <c r="DN340" s="46"/>
      <c r="DO340" s="47"/>
      <c r="DP340" s="46">
        <f t="shared" si="261"/>
        <v>0</v>
      </c>
      <c r="DQ340" s="47"/>
      <c r="DR340" s="46">
        <f t="shared" si="237"/>
        <v>0</v>
      </c>
      <c r="DS340" s="47"/>
      <c r="DT340" s="46">
        <f t="shared" si="262"/>
        <v>0</v>
      </c>
      <c r="DU340" s="47"/>
      <c r="DV340" s="46">
        <f t="shared" si="263"/>
        <v>0</v>
      </c>
      <c r="DW340" s="47"/>
      <c r="DX340" s="47">
        <f t="shared" si="230"/>
        <v>0</v>
      </c>
      <c r="DY340" s="47"/>
      <c r="DZ340" s="47"/>
      <c r="EA340" s="47"/>
      <c r="EB340" s="47"/>
      <c r="EC340" s="47"/>
      <c r="ED340" s="47"/>
      <c r="EE340" s="47">
        <f t="shared" si="219"/>
        <v>0</v>
      </c>
      <c r="EF340" s="47"/>
      <c r="EG340" s="47"/>
      <c r="EH340" s="47"/>
      <c r="EI340" s="47"/>
      <c r="EJ340" s="47"/>
      <c r="EK340" s="47">
        <f t="shared" si="242"/>
        <v>0</v>
      </c>
      <c r="EL340" s="46">
        <f t="shared" si="243"/>
        <v>0</v>
      </c>
      <c r="EM340" s="46"/>
      <c r="EN340" s="46">
        <f t="shared" si="244"/>
        <v>0</v>
      </c>
    </row>
    <row r="341" spans="1:144" s="48" customFormat="1" ht="15" customHeight="1" x14ac:dyDescent="0.25">
      <c r="A341" s="58"/>
      <c r="B341" s="41">
        <v>9</v>
      </c>
      <c r="C341" s="49"/>
      <c r="D341" s="53"/>
      <c r="E341" s="52"/>
      <c r="F341" s="52"/>
      <c r="G341" s="52"/>
      <c r="H341" s="52"/>
      <c r="I341" s="52"/>
      <c r="J341" s="52"/>
      <c r="K341" s="52"/>
      <c r="L341" s="49"/>
      <c r="M341" s="42"/>
      <c r="N341" s="41"/>
      <c r="O341" s="41"/>
      <c r="P341" s="42"/>
      <c r="Q341" s="45"/>
      <c r="R341" s="45"/>
      <c r="S341" s="42"/>
      <c r="T341" s="46"/>
      <c r="U341" s="46"/>
      <c r="V341" s="46"/>
      <c r="W341" s="46"/>
      <c r="X341" s="46"/>
      <c r="Y341" s="46"/>
      <c r="Z341" s="42"/>
      <c r="AA341" s="42"/>
      <c r="AB341" s="42"/>
      <c r="AC341" s="42"/>
      <c r="AD341" s="42"/>
      <c r="AE341" s="42"/>
      <c r="AF341" s="42"/>
      <c r="AG341" s="42"/>
      <c r="AH341" s="42"/>
      <c r="AI341" s="46"/>
      <c r="AJ341" s="42"/>
      <c r="AK341" s="42"/>
      <c r="AL341" s="42"/>
      <c r="AM341" s="42"/>
      <c r="AN341" s="47">
        <f t="shared" si="239"/>
        <v>0</v>
      </c>
      <c r="AO341" s="47">
        <f t="shared" si="240"/>
        <v>0</v>
      </c>
      <c r="AP341" s="42" t="s">
        <v>102</v>
      </c>
      <c r="AQ341" s="61"/>
      <c r="AR341" s="42"/>
      <c r="AS341" s="42"/>
      <c r="AT341" s="46"/>
      <c r="AU341" s="47">
        <f t="shared" si="223"/>
        <v>0</v>
      </c>
      <c r="AV341" s="47"/>
      <c r="AW341" s="47">
        <f t="shared" si="257"/>
        <v>0</v>
      </c>
      <c r="AX341" s="47"/>
      <c r="AY341" s="47"/>
      <c r="AZ341" s="47"/>
      <c r="BA341" s="47"/>
      <c r="BB341" s="47"/>
      <c r="BC341" s="47">
        <f t="shared" si="222"/>
        <v>0</v>
      </c>
      <c r="BD341" s="47"/>
      <c r="BE341" s="47">
        <f t="shared" si="224"/>
        <v>0</v>
      </c>
      <c r="BF341" s="47"/>
      <c r="BG341" s="47"/>
      <c r="BH341" s="47"/>
      <c r="BI341" s="47"/>
      <c r="BJ341" s="47"/>
      <c r="BK341" s="46">
        <f t="shared" si="247"/>
        <v>0</v>
      </c>
      <c r="BL341" s="47"/>
      <c r="BM341" s="64">
        <f t="shared" si="248"/>
        <v>0</v>
      </c>
      <c r="BN341" s="47"/>
      <c r="BO341" s="47"/>
      <c r="BP341" s="47"/>
      <c r="BQ341" s="47"/>
      <c r="BR341" s="47"/>
      <c r="BS341" s="47">
        <f t="shared" si="258"/>
        <v>0</v>
      </c>
      <c r="BT341" s="47"/>
      <c r="BU341" s="47">
        <f t="shared" si="249"/>
        <v>0</v>
      </c>
      <c r="BV341" s="47"/>
      <c r="BW341" s="47"/>
      <c r="BX341" s="47"/>
      <c r="BY341" s="47"/>
      <c r="BZ341" s="47"/>
      <c r="CA341" s="47">
        <f t="shared" si="259"/>
        <v>0</v>
      </c>
      <c r="CB341" s="47"/>
      <c r="CC341" s="47">
        <f t="shared" si="252"/>
        <v>0</v>
      </c>
      <c r="CD341" s="47"/>
      <c r="CE341" s="47"/>
      <c r="CF341" s="47"/>
      <c r="CG341" s="47"/>
      <c r="CH341" s="47"/>
      <c r="CI341" s="47">
        <f t="shared" si="260"/>
        <v>0</v>
      </c>
      <c r="CJ341" s="47"/>
      <c r="CK341" s="47">
        <f t="shared" si="253"/>
        <v>0</v>
      </c>
      <c r="CL341" s="47"/>
      <c r="CM341" s="47"/>
      <c r="CN341" s="47"/>
      <c r="CO341" s="47"/>
      <c r="CP341" s="46">
        <f t="shared" si="254"/>
        <v>0</v>
      </c>
      <c r="CQ341" s="47"/>
      <c r="CR341" s="47">
        <f t="shared" si="231"/>
        <v>0</v>
      </c>
      <c r="CS341" s="47"/>
      <c r="CT341" s="47"/>
      <c r="CU341" s="47"/>
      <c r="CV341" s="47"/>
      <c r="CW341" s="47">
        <f t="shared" si="250"/>
        <v>0</v>
      </c>
      <c r="CX341" s="46"/>
      <c r="CY341" s="47">
        <f t="shared" si="251"/>
        <v>0</v>
      </c>
      <c r="CZ341" s="47"/>
      <c r="DA341" s="47"/>
      <c r="DB341" s="47"/>
      <c r="DC341" s="47"/>
      <c r="DD341" s="47">
        <f t="shared" si="255"/>
        <v>0</v>
      </c>
      <c r="DE341" s="47"/>
      <c r="DF341" s="46">
        <f t="shared" si="256"/>
        <v>0</v>
      </c>
      <c r="DG341" s="47"/>
      <c r="DH341" s="46">
        <f>AQ341/2</f>
        <v>0</v>
      </c>
      <c r="DI341" s="47"/>
      <c r="DJ341" s="47"/>
      <c r="DK341" s="64"/>
      <c r="DL341" s="47">
        <f t="shared" si="241"/>
        <v>0</v>
      </c>
      <c r="DM341" s="47"/>
      <c r="DN341" s="46">
        <f>7.5%*AQ341</f>
        <v>0</v>
      </c>
      <c r="DO341" s="47"/>
      <c r="DP341" s="46">
        <f t="shared" si="261"/>
        <v>0</v>
      </c>
      <c r="DQ341" s="47"/>
      <c r="DR341" s="46">
        <f t="shared" si="237"/>
        <v>0</v>
      </c>
      <c r="DS341" s="47"/>
      <c r="DT341" s="46">
        <f t="shared" si="262"/>
        <v>0</v>
      </c>
      <c r="DU341" s="47"/>
      <c r="DV341" s="46">
        <f t="shared" si="263"/>
        <v>0</v>
      </c>
      <c r="DW341" s="47"/>
      <c r="DX341" s="47">
        <f t="shared" si="230"/>
        <v>0</v>
      </c>
      <c r="DY341" s="47"/>
      <c r="DZ341" s="47"/>
      <c r="EA341" s="47"/>
      <c r="EB341" s="47"/>
      <c r="EC341" s="47"/>
      <c r="ED341" s="47"/>
      <c r="EE341" s="47">
        <f t="shared" ref="EE341:EE404" si="264">+AW341+BE341+BM341+CR341+CY341+DF341+DL341+DX341+DY341+DZ341+EB341+EC341</f>
        <v>0</v>
      </c>
      <c r="EF341" s="47"/>
      <c r="EG341" s="47"/>
      <c r="EH341" s="47"/>
      <c r="EI341" s="47"/>
      <c r="EJ341" s="47"/>
      <c r="EK341" s="47">
        <f t="shared" si="242"/>
        <v>0</v>
      </c>
      <c r="EL341" s="46">
        <f t="shared" si="243"/>
        <v>0</v>
      </c>
      <c r="EM341" s="46"/>
      <c r="EN341" s="46">
        <f t="shared" si="244"/>
        <v>0</v>
      </c>
    </row>
    <row r="342" spans="1:144" s="48" customFormat="1" ht="15" customHeight="1" x14ac:dyDescent="0.25">
      <c r="A342" s="58"/>
      <c r="B342" s="41">
        <v>10</v>
      </c>
      <c r="C342" s="49"/>
      <c r="D342" s="53"/>
      <c r="E342" s="52"/>
      <c r="F342" s="52"/>
      <c r="G342" s="52"/>
      <c r="H342" s="52"/>
      <c r="I342" s="52"/>
      <c r="J342" s="52"/>
      <c r="K342" s="52"/>
      <c r="L342" s="49"/>
      <c r="M342" s="42"/>
      <c r="N342" s="41"/>
      <c r="O342" s="41"/>
      <c r="P342" s="42"/>
      <c r="Q342" s="45"/>
      <c r="R342" s="45"/>
      <c r="S342" s="42"/>
      <c r="T342" s="46"/>
      <c r="U342" s="46"/>
      <c r="V342" s="46"/>
      <c r="W342" s="46"/>
      <c r="X342" s="46"/>
      <c r="Y342" s="46"/>
      <c r="Z342" s="42"/>
      <c r="AA342" s="42"/>
      <c r="AB342" s="42"/>
      <c r="AC342" s="42"/>
      <c r="AD342" s="42"/>
      <c r="AE342" s="42"/>
      <c r="AF342" s="42"/>
      <c r="AG342" s="42"/>
      <c r="AH342" s="42"/>
      <c r="AI342" s="46"/>
      <c r="AJ342" s="42"/>
      <c r="AK342" s="42"/>
      <c r="AL342" s="42"/>
      <c r="AM342" s="42"/>
      <c r="AN342" s="47">
        <f t="shared" si="239"/>
        <v>0</v>
      </c>
      <c r="AO342" s="47">
        <f t="shared" si="240"/>
        <v>0</v>
      </c>
      <c r="AP342" s="42" t="s">
        <v>102</v>
      </c>
      <c r="AQ342" s="61"/>
      <c r="AR342" s="42"/>
      <c r="AS342" s="42"/>
      <c r="AT342" s="46"/>
      <c r="AU342" s="47">
        <f t="shared" si="223"/>
        <v>0</v>
      </c>
      <c r="AV342" s="47"/>
      <c r="AW342" s="47">
        <f t="shared" si="257"/>
        <v>0</v>
      </c>
      <c r="AX342" s="47"/>
      <c r="AY342" s="47"/>
      <c r="AZ342" s="47"/>
      <c r="BA342" s="47"/>
      <c r="BB342" s="47"/>
      <c r="BC342" s="47">
        <f t="shared" si="222"/>
        <v>0</v>
      </c>
      <c r="BD342" s="47"/>
      <c r="BE342" s="47">
        <f t="shared" si="224"/>
        <v>0</v>
      </c>
      <c r="BF342" s="47"/>
      <c r="BG342" s="47"/>
      <c r="BH342" s="47"/>
      <c r="BI342" s="47"/>
      <c r="BJ342" s="47"/>
      <c r="BK342" s="46">
        <f t="shared" si="247"/>
        <v>0</v>
      </c>
      <c r="BL342" s="47"/>
      <c r="BM342" s="64">
        <f t="shared" si="248"/>
        <v>0</v>
      </c>
      <c r="BN342" s="47"/>
      <c r="BO342" s="47"/>
      <c r="BP342" s="47"/>
      <c r="BQ342" s="47"/>
      <c r="BR342" s="47"/>
      <c r="BS342" s="47">
        <f t="shared" si="258"/>
        <v>0</v>
      </c>
      <c r="BT342" s="47"/>
      <c r="BU342" s="47">
        <f t="shared" si="249"/>
        <v>0</v>
      </c>
      <c r="BV342" s="47"/>
      <c r="BW342" s="47"/>
      <c r="BX342" s="47"/>
      <c r="BY342" s="47"/>
      <c r="BZ342" s="47"/>
      <c r="CA342" s="47">
        <f t="shared" si="259"/>
        <v>0</v>
      </c>
      <c r="CB342" s="47"/>
      <c r="CC342" s="47">
        <f t="shared" si="252"/>
        <v>0</v>
      </c>
      <c r="CD342" s="47"/>
      <c r="CE342" s="47"/>
      <c r="CF342" s="47"/>
      <c r="CG342" s="47"/>
      <c r="CH342" s="47"/>
      <c r="CI342" s="47">
        <f t="shared" si="260"/>
        <v>0</v>
      </c>
      <c r="CJ342" s="47"/>
      <c r="CK342" s="47">
        <f t="shared" si="253"/>
        <v>0</v>
      </c>
      <c r="CL342" s="47"/>
      <c r="CM342" s="47"/>
      <c r="CN342" s="47"/>
      <c r="CO342" s="47"/>
      <c r="CP342" s="46">
        <f t="shared" si="254"/>
        <v>0</v>
      </c>
      <c r="CQ342" s="47"/>
      <c r="CR342" s="47">
        <f t="shared" si="231"/>
        <v>0</v>
      </c>
      <c r="CS342" s="47"/>
      <c r="CT342" s="47"/>
      <c r="CU342" s="47"/>
      <c r="CV342" s="47"/>
      <c r="CW342" s="47">
        <f t="shared" si="250"/>
        <v>0</v>
      </c>
      <c r="CX342" s="46"/>
      <c r="CY342" s="47">
        <f t="shared" si="251"/>
        <v>0</v>
      </c>
      <c r="CZ342" s="47"/>
      <c r="DA342" s="47"/>
      <c r="DB342" s="47"/>
      <c r="DC342" s="47"/>
      <c r="DD342" s="47">
        <f t="shared" si="255"/>
        <v>0</v>
      </c>
      <c r="DE342" s="47"/>
      <c r="DF342" s="46">
        <f t="shared" si="256"/>
        <v>0</v>
      </c>
      <c r="DG342" s="47"/>
      <c r="DH342" s="46">
        <f>AQ342/2</f>
        <v>0</v>
      </c>
      <c r="DI342" s="47"/>
      <c r="DJ342" s="47"/>
      <c r="DK342" s="64"/>
      <c r="DL342" s="47">
        <f t="shared" si="241"/>
        <v>0</v>
      </c>
      <c r="DM342" s="47" t="s">
        <v>128</v>
      </c>
      <c r="DN342" s="46">
        <f>7.5%*AQ342</f>
        <v>0</v>
      </c>
      <c r="DO342" s="47"/>
      <c r="DP342" s="46">
        <f t="shared" si="261"/>
        <v>0</v>
      </c>
      <c r="DQ342" s="47"/>
      <c r="DR342" s="46">
        <f t="shared" si="237"/>
        <v>0</v>
      </c>
      <c r="DS342" s="47"/>
      <c r="DT342" s="46">
        <f t="shared" si="262"/>
        <v>0</v>
      </c>
      <c r="DU342" s="47"/>
      <c r="DV342" s="46">
        <f t="shared" si="263"/>
        <v>0</v>
      </c>
      <c r="DW342" s="47"/>
      <c r="DX342" s="47">
        <f t="shared" si="230"/>
        <v>0</v>
      </c>
      <c r="DY342" s="47"/>
      <c r="DZ342" s="47"/>
      <c r="EA342" s="47"/>
      <c r="EB342" s="47"/>
      <c r="EC342" s="47"/>
      <c r="ED342" s="47"/>
      <c r="EE342" s="47">
        <f t="shared" si="264"/>
        <v>0</v>
      </c>
      <c r="EF342" s="47"/>
      <c r="EG342" s="47"/>
      <c r="EH342" s="47"/>
      <c r="EI342" s="47"/>
      <c r="EJ342" s="47"/>
      <c r="EK342" s="47">
        <f t="shared" si="242"/>
        <v>0</v>
      </c>
      <c r="EL342" s="46">
        <f t="shared" si="243"/>
        <v>0</v>
      </c>
      <c r="EM342" s="46"/>
      <c r="EN342" s="46">
        <f t="shared" si="244"/>
        <v>0</v>
      </c>
    </row>
    <row r="343" spans="1:144" s="48" customFormat="1" ht="15" customHeight="1" x14ac:dyDescent="0.25">
      <c r="A343" s="58"/>
      <c r="B343" s="41">
        <v>11</v>
      </c>
      <c r="C343" s="49"/>
      <c r="D343" s="53"/>
      <c r="E343" s="52"/>
      <c r="F343" s="52"/>
      <c r="G343" s="52"/>
      <c r="H343" s="52"/>
      <c r="I343" s="52"/>
      <c r="J343" s="52"/>
      <c r="K343" s="52"/>
      <c r="L343" s="49"/>
      <c r="M343" s="42"/>
      <c r="N343" s="41"/>
      <c r="O343" s="41"/>
      <c r="P343" s="42"/>
      <c r="Q343" s="45"/>
      <c r="R343" s="45"/>
      <c r="S343" s="42"/>
      <c r="T343" s="46"/>
      <c r="U343" s="46"/>
      <c r="V343" s="46"/>
      <c r="W343" s="46"/>
      <c r="X343" s="46"/>
      <c r="Y343" s="46"/>
      <c r="Z343" s="42"/>
      <c r="AA343" s="42"/>
      <c r="AB343" s="42"/>
      <c r="AC343" s="42"/>
      <c r="AD343" s="42"/>
      <c r="AE343" s="42"/>
      <c r="AF343" s="42"/>
      <c r="AG343" s="42"/>
      <c r="AH343" s="42"/>
      <c r="AI343" s="46"/>
      <c r="AJ343" s="42"/>
      <c r="AK343" s="42"/>
      <c r="AL343" s="42"/>
      <c r="AM343" s="42"/>
      <c r="AN343" s="47">
        <f t="shared" si="239"/>
        <v>0</v>
      </c>
      <c r="AO343" s="47">
        <f t="shared" si="240"/>
        <v>0</v>
      </c>
      <c r="AP343" s="42" t="s">
        <v>102</v>
      </c>
      <c r="AQ343" s="61"/>
      <c r="AR343" s="42"/>
      <c r="AS343" s="42"/>
      <c r="AT343" s="46"/>
      <c r="AU343" s="47">
        <f t="shared" si="223"/>
        <v>0</v>
      </c>
      <c r="AV343" s="47"/>
      <c r="AW343" s="47">
        <f t="shared" si="257"/>
        <v>0</v>
      </c>
      <c r="AX343" s="47"/>
      <c r="AY343" s="47"/>
      <c r="AZ343" s="47"/>
      <c r="BA343" s="47"/>
      <c r="BB343" s="47"/>
      <c r="BC343" s="47">
        <f t="shared" si="222"/>
        <v>0</v>
      </c>
      <c r="BD343" s="47"/>
      <c r="BE343" s="47">
        <f t="shared" si="224"/>
        <v>0</v>
      </c>
      <c r="BF343" s="47"/>
      <c r="BG343" s="47"/>
      <c r="BH343" s="47"/>
      <c r="BI343" s="47"/>
      <c r="BJ343" s="47"/>
      <c r="BK343" s="46">
        <f t="shared" si="247"/>
        <v>0</v>
      </c>
      <c r="BL343" s="47"/>
      <c r="BM343" s="64">
        <f t="shared" si="248"/>
        <v>0</v>
      </c>
      <c r="BN343" s="47"/>
      <c r="BO343" s="47"/>
      <c r="BP343" s="47"/>
      <c r="BQ343" s="47"/>
      <c r="BR343" s="47"/>
      <c r="BS343" s="47">
        <f t="shared" si="258"/>
        <v>0</v>
      </c>
      <c r="BT343" s="47"/>
      <c r="BU343" s="47">
        <f t="shared" si="249"/>
        <v>0</v>
      </c>
      <c r="BV343" s="47"/>
      <c r="BW343" s="47"/>
      <c r="BX343" s="47"/>
      <c r="BY343" s="47"/>
      <c r="BZ343" s="47"/>
      <c r="CA343" s="47">
        <f t="shared" si="259"/>
        <v>0</v>
      </c>
      <c r="CB343" s="47"/>
      <c r="CC343" s="47">
        <f t="shared" si="252"/>
        <v>0</v>
      </c>
      <c r="CD343" s="47"/>
      <c r="CE343" s="47"/>
      <c r="CF343" s="47"/>
      <c r="CG343" s="47"/>
      <c r="CH343" s="47"/>
      <c r="CI343" s="47">
        <f t="shared" si="260"/>
        <v>0</v>
      </c>
      <c r="CJ343" s="47"/>
      <c r="CK343" s="47">
        <f t="shared" si="253"/>
        <v>0</v>
      </c>
      <c r="CL343" s="47"/>
      <c r="CM343" s="47"/>
      <c r="CN343" s="47"/>
      <c r="CO343" s="47"/>
      <c r="CP343" s="46">
        <f t="shared" si="254"/>
        <v>0</v>
      </c>
      <c r="CQ343" s="47"/>
      <c r="CR343" s="47">
        <f t="shared" si="231"/>
        <v>0</v>
      </c>
      <c r="CS343" s="47"/>
      <c r="CT343" s="47"/>
      <c r="CU343" s="47"/>
      <c r="CV343" s="47"/>
      <c r="CW343" s="47">
        <f t="shared" si="250"/>
        <v>0</v>
      </c>
      <c r="CX343" s="46"/>
      <c r="CY343" s="47">
        <f t="shared" si="251"/>
        <v>0</v>
      </c>
      <c r="CZ343" s="47"/>
      <c r="DA343" s="47"/>
      <c r="DB343" s="47"/>
      <c r="DC343" s="47"/>
      <c r="DD343" s="47">
        <f t="shared" si="255"/>
        <v>0</v>
      </c>
      <c r="DE343" s="47"/>
      <c r="DF343" s="46">
        <f t="shared" si="256"/>
        <v>0</v>
      </c>
      <c r="DG343" s="47"/>
      <c r="DH343" s="46"/>
      <c r="DI343" s="47"/>
      <c r="DJ343" s="47"/>
      <c r="DK343" s="64"/>
      <c r="DL343" s="47"/>
      <c r="DM343" s="47"/>
      <c r="DN343" s="46"/>
      <c r="DO343" s="47"/>
      <c r="DP343" s="46"/>
      <c r="DQ343" s="47"/>
      <c r="DR343" s="46"/>
      <c r="DS343" s="47"/>
      <c r="DT343" s="46"/>
      <c r="DU343" s="47"/>
      <c r="DV343" s="46"/>
      <c r="DW343" s="47"/>
      <c r="DX343" s="47"/>
      <c r="DY343" s="47"/>
      <c r="DZ343" s="47"/>
      <c r="EA343" s="47"/>
      <c r="EB343" s="47"/>
      <c r="EC343" s="47"/>
      <c r="ED343" s="47"/>
      <c r="EE343" s="47">
        <f t="shared" si="264"/>
        <v>0</v>
      </c>
      <c r="EF343" s="47"/>
      <c r="EG343" s="47"/>
      <c r="EH343" s="47"/>
      <c r="EI343" s="47"/>
      <c r="EJ343" s="47"/>
      <c r="EK343" s="47">
        <f t="shared" si="242"/>
        <v>0</v>
      </c>
      <c r="EL343" s="46">
        <f t="shared" si="243"/>
        <v>0</v>
      </c>
      <c r="EM343" s="46"/>
      <c r="EN343" s="46">
        <f t="shared" si="244"/>
        <v>0</v>
      </c>
    </row>
    <row r="344" spans="1:144" s="48" customFormat="1" ht="15" customHeight="1" x14ac:dyDescent="0.25">
      <c r="A344" s="58"/>
      <c r="B344" s="41">
        <v>12</v>
      </c>
      <c r="C344" s="49"/>
      <c r="D344" s="53"/>
      <c r="E344" s="52"/>
      <c r="F344" s="52"/>
      <c r="G344" s="52"/>
      <c r="H344" s="52"/>
      <c r="I344" s="52"/>
      <c r="J344" s="52"/>
      <c r="K344" s="52"/>
      <c r="L344" s="49"/>
      <c r="M344" s="42"/>
      <c r="N344" s="41"/>
      <c r="O344" s="41"/>
      <c r="P344" s="42"/>
      <c r="Q344" s="45"/>
      <c r="R344" s="45"/>
      <c r="S344" s="42"/>
      <c r="T344" s="46"/>
      <c r="U344" s="46"/>
      <c r="V344" s="46"/>
      <c r="W344" s="46"/>
      <c r="X344" s="46"/>
      <c r="Y344" s="46"/>
      <c r="Z344" s="42"/>
      <c r="AA344" s="42"/>
      <c r="AB344" s="42"/>
      <c r="AC344" s="42"/>
      <c r="AD344" s="42"/>
      <c r="AE344" s="42"/>
      <c r="AF344" s="42"/>
      <c r="AG344" s="42"/>
      <c r="AH344" s="42"/>
      <c r="AI344" s="46"/>
      <c r="AJ344" s="42"/>
      <c r="AK344" s="42"/>
      <c r="AL344" s="42"/>
      <c r="AM344" s="42"/>
      <c r="AN344" s="47">
        <f t="shared" si="239"/>
        <v>0</v>
      </c>
      <c r="AO344" s="47">
        <f t="shared" si="240"/>
        <v>0</v>
      </c>
      <c r="AP344" s="42" t="s">
        <v>102</v>
      </c>
      <c r="AQ344" s="61"/>
      <c r="AR344" s="42"/>
      <c r="AS344" s="42"/>
      <c r="AT344" s="46"/>
      <c r="AU344" s="47">
        <f t="shared" si="223"/>
        <v>0</v>
      </c>
      <c r="AV344" s="47"/>
      <c r="AW344" s="47">
        <f t="shared" si="257"/>
        <v>0</v>
      </c>
      <c r="AX344" s="47"/>
      <c r="AY344" s="47"/>
      <c r="AZ344" s="47"/>
      <c r="BA344" s="47"/>
      <c r="BB344" s="47"/>
      <c r="BC344" s="47">
        <f t="shared" si="222"/>
        <v>0</v>
      </c>
      <c r="BD344" s="47"/>
      <c r="BE344" s="47">
        <f t="shared" si="224"/>
        <v>0</v>
      </c>
      <c r="BF344" s="47"/>
      <c r="BG344" s="47"/>
      <c r="BH344" s="47"/>
      <c r="BI344" s="47"/>
      <c r="BJ344" s="47"/>
      <c r="BK344" s="46">
        <f t="shared" si="247"/>
        <v>0</v>
      </c>
      <c r="BL344" s="47"/>
      <c r="BM344" s="64">
        <f t="shared" si="248"/>
        <v>0</v>
      </c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6">
        <f t="shared" si="254"/>
        <v>0</v>
      </c>
      <c r="CQ344" s="47"/>
      <c r="CR344" s="47">
        <f t="shared" si="231"/>
        <v>0</v>
      </c>
      <c r="CS344" s="47"/>
      <c r="CT344" s="47"/>
      <c r="CU344" s="47"/>
      <c r="CV344" s="47"/>
      <c r="CW344" s="47">
        <f t="shared" si="250"/>
        <v>0</v>
      </c>
      <c r="CX344" s="46"/>
      <c r="CY344" s="47">
        <f t="shared" si="251"/>
        <v>0</v>
      </c>
      <c r="CZ344" s="47"/>
      <c r="DA344" s="47"/>
      <c r="DB344" s="47"/>
      <c r="DC344" s="47"/>
      <c r="DD344" s="47">
        <f t="shared" si="255"/>
        <v>0</v>
      </c>
      <c r="DE344" s="47"/>
      <c r="DF344" s="46">
        <f t="shared" si="256"/>
        <v>0</v>
      </c>
      <c r="DG344" s="47"/>
      <c r="DH344" s="46"/>
      <c r="DI344" s="47"/>
      <c r="DJ344" s="47"/>
      <c r="DK344" s="64"/>
      <c r="DL344" s="47"/>
      <c r="DM344" s="47"/>
      <c r="DN344" s="46">
        <f>7.5%*AQ344</f>
        <v>0</v>
      </c>
      <c r="DO344" s="47"/>
      <c r="DP344" s="46"/>
      <c r="DQ344" s="47"/>
      <c r="DR344" s="46"/>
      <c r="DS344" s="47"/>
      <c r="DT344" s="46"/>
      <c r="DU344" s="47"/>
      <c r="DV344" s="46"/>
      <c r="DW344" s="47"/>
      <c r="DX344" s="47">
        <f t="shared" ref="DX344:DX385" si="265">+DN344+DP344+DR344+DT344+DV344</f>
        <v>0</v>
      </c>
      <c r="DY344" s="47"/>
      <c r="DZ344" s="47"/>
      <c r="EA344" s="47"/>
      <c r="EB344" s="47"/>
      <c r="EC344" s="47"/>
      <c r="ED344" s="47"/>
      <c r="EE344" s="47">
        <f t="shared" si="264"/>
        <v>0</v>
      </c>
      <c r="EF344" s="47"/>
      <c r="EG344" s="47"/>
      <c r="EH344" s="47"/>
      <c r="EI344" s="47"/>
      <c r="EJ344" s="47"/>
      <c r="EK344" s="47">
        <f t="shared" si="242"/>
        <v>0</v>
      </c>
      <c r="EL344" s="46">
        <f t="shared" si="243"/>
        <v>0</v>
      </c>
      <c r="EM344" s="46"/>
      <c r="EN344" s="46">
        <f t="shared" si="244"/>
        <v>0</v>
      </c>
    </row>
    <row r="345" spans="1:144" s="48" customFormat="1" ht="15" customHeight="1" x14ac:dyDescent="0.25">
      <c r="A345" s="58"/>
      <c r="B345" s="41">
        <v>13</v>
      </c>
      <c r="C345" s="49"/>
      <c r="D345" s="53"/>
      <c r="E345" s="52"/>
      <c r="F345" s="52"/>
      <c r="G345" s="52"/>
      <c r="H345" s="52"/>
      <c r="I345" s="52"/>
      <c r="J345" s="52"/>
      <c r="K345" s="52"/>
      <c r="L345" s="49"/>
      <c r="M345" s="42"/>
      <c r="N345" s="41"/>
      <c r="O345" s="41"/>
      <c r="P345" s="42"/>
      <c r="Q345" s="45"/>
      <c r="R345" s="45"/>
      <c r="S345" s="42"/>
      <c r="T345" s="46"/>
      <c r="U345" s="46"/>
      <c r="V345" s="46"/>
      <c r="W345" s="46"/>
      <c r="X345" s="46"/>
      <c r="Y345" s="46"/>
      <c r="Z345" s="42"/>
      <c r="AA345" s="42"/>
      <c r="AB345" s="42"/>
      <c r="AC345" s="42"/>
      <c r="AD345" s="42"/>
      <c r="AE345" s="42"/>
      <c r="AF345" s="42"/>
      <c r="AG345" s="42"/>
      <c r="AH345" s="42"/>
      <c r="AI345" s="46"/>
      <c r="AJ345" s="42"/>
      <c r="AK345" s="42"/>
      <c r="AL345" s="42"/>
      <c r="AM345" s="42"/>
      <c r="AN345" s="47">
        <f t="shared" si="239"/>
        <v>0</v>
      </c>
      <c r="AO345" s="47">
        <f t="shared" si="240"/>
        <v>0</v>
      </c>
      <c r="AP345" s="42" t="s">
        <v>102</v>
      </c>
      <c r="AQ345" s="61"/>
      <c r="AR345" s="42"/>
      <c r="AS345" s="42"/>
      <c r="AT345" s="46"/>
      <c r="AU345" s="47">
        <f t="shared" si="223"/>
        <v>0</v>
      </c>
      <c r="AV345" s="47"/>
      <c r="AW345" s="47">
        <f t="shared" si="257"/>
        <v>0</v>
      </c>
      <c r="AX345" s="47"/>
      <c r="AY345" s="47"/>
      <c r="AZ345" s="47"/>
      <c r="BA345" s="47"/>
      <c r="BB345" s="47"/>
      <c r="BC345" s="47">
        <f t="shared" ref="BC345:BC394" si="266">BA345*BB345</f>
        <v>0</v>
      </c>
      <c r="BD345" s="47"/>
      <c r="BE345" s="47">
        <f t="shared" si="224"/>
        <v>0</v>
      </c>
      <c r="BF345" s="47"/>
      <c r="BG345" s="47"/>
      <c r="BH345" s="47"/>
      <c r="BI345" s="47"/>
      <c r="BJ345" s="47"/>
      <c r="BK345" s="46">
        <f t="shared" si="247"/>
        <v>0</v>
      </c>
      <c r="BL345" s="47"/>
      <c r="BM345" s="64">
        <f t="shared" si="248"/>
        <v>0</v>
      </c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6">
        <f t="shared" si="254"/>
        <v>0</v>
      </c>
      <c r="CQ345" s="47"/>
      <c r="CR345" s="47">
        <f t="shared" si="231"/>
        <v>0</v>
      </c>
      <c r="CS345" s="47"/>
      <c r="CT345" s="47"/>
      <c r="CU345" s="47"/>
      <c r="CV345" s="47"/>
      <c r="CW345" s="47">
        <f t="shared" si="250"/>
        <v>0</v>
      </c>
      <c r="CX345" s="46"/>
      <c r="CY345" s="47">
        <f t="shared" si="251"/>
        <v>0</v>
      </c>
      <c r="CZ345" s="47"/>
      <c r="DA345" s="47"/>
      <c r="DB345" s="47"/>
      <c r="DC345" s="47"/>
      <c r="DD345" s="47">
        <f t="shared" si="255"/>
        <v>0</v>
      </c>
      <c r="DE345" s="47"/>
      <c r="DF345" s="46">
        <f t="shared" si="256"/>
        <v>0</v>
      </c>
      <c r="DG345" s="47"/>
      <c r="DH345" s="46"/>
      <c r="DI345" s="47"/>
      <c r="DJ345" s="47"/>
      <c r="DK345" s="64"/>
      <c r="DL345" s="47"/>
      <c r="DM345" s="47"/>
      <c r="DN345" s="46">
        <f>7.5%*AQ345</f>
        <v>0</v>
      </c>
      <c r="DO345" s="47"/>
      <c r="DP345" s="46"/>
      <c r="DQ345" s="47"/>
      <c r="DR345" s="46"/>
      <c r="DS345" s="47"/>
      <c r="DT345" s="46"/>
      <c r="DU345" s="47"/>
      <c r="DV345" s="46"/>
      <c r="DW345" s="47"/>
      <c r="DX345" s="47">
        <f t="shared" si="265"/>
        <v>0</v>
      </c>
      <c r="DY345" s="47"/>
      <c r="DZ345" s="47"/>
      <c r="EA345" s="47"/>
      <c r="EB345" s="47"/>
      <c r="EC345" s="47"/>
      <c r="ED345" s="47"/>
      <c r="EE345" s="47">
        <f t="shared" si="264"/>
        <v>0</v>
      </c>
      <c r="EF345" s="47"/>
      <c r="EG345" s="47"/>
      <c r="EH345" s="47"/>
      <c r="EI345" s="47"/>
      <c r="EJ345" s="47"/>
      <c r="EK345" s="47">
        <f t="shared" si="242"/>
        <v>0</v>
      </c>
      <c r="EL345" s="46">
        <f t="shared" si="243"/>
        <v>0</v>
      </c>
      <c r="EM345" s="46"/>
      <c r="EN345" s="46">
        <f t="shared" si="244"/>
        <v>0</v>
      </c>
    </row>
    <row r="346" spans="1:144" s="48" customFormat="1" ht="15" customHeight="1" x14ac:dyDescent="0.25">
      <c r="A346" s="58"/>
      <c r="B346" s="41">
        <v>14</v>
      </c>
      <c r="C346" s="49"/>
      <c r="D346" s="53"/>
      <c r="E346" s="52"/>
      <c r="F346" s="52"/>
      <c r="G346" s="52"/>
      <c r="H346" s="52"/>
      <c r="I346" s="52"/>
      <c r="J346" s="52"/>
      <c r="K346" s="52"/>
      <c r="L346" s="49"/>
      <c r="M346" s="42"/>
      <c r="N346" s="41"/>
      <c r="O346" s="41"/>
      <c r="P346" s="42"/>
      <c r="Q346" s="45"/>
      <c r="R346" s="45"/>
      <c r="S346" s="44"/>
      <c r="T346" s="46"/>
      <c r="U346" s="46"/>
      <c r="V346" s="46"/>
      <c r="W346" s="46"/>
      <c r="X346" s="46"/>
      <c r="Y346" s="46"/>
      <c r="Z346" s="42"/>
      <c r="AA346" s="42"/>
      <c r="AB346" s="42"/>
      <c r="AC346" s="42"/>
      <c r="AD346" s="42"/>
      <c r="AE346" s="42"/>
      <c r="AF346" s="42"/>
      <c r="AG346" s="42"/>
      <c r="AH346" s="42"/>
      <c r="AI346" s="46"/>
      <c r="AJ346" s="42"/>
      <c r="AK346" s="42"/>
      <c r="AL346" s="42"/>
      <c r="AM346" s="42"/>
      <c r="AN346" s="47">
        <f t="shared" si="239"/>
        <v>0</v>
      </c>
      <c r="AO346" s="47">
        <f t="shared" si="240"/>
        <v>0</v>
      </c>
      <c r="AP346" s="42" t="s">
        <v>102</v>
      </c>
      <c r="AQ346" s="61"/>
      <c r="AR346" s="42"/>
      <c r="AS346" s="42"/>
      <c r="AT346" s="46"/>
      <c r="AU346" s="47">
        <f t="shared" ref="AU346:AU393" si="267">AS346*AT346</f>
        <v>0</v>
      </c>
      <c r="AV346" s="47"/>
      <c r="AW346" s="47">
        <f t="shared" si="257"/>
        <v>0</v>
      </c>
      <c r="AX346" s="47"/>
      <c r="AY346" s="47"/>
      <c r="AZ346" s="47"/>
      <c r="BA346" s="47"/>
      <c r="BB346" s="47"/>
      <c r="BC346" s="47">
        <f t="shared" si="266"/>
        <v>0</v>
      </c>
      <c r="BD346" s="47"/>
      <c r="BE346" s="47">
        <f t="shared" ref="BE346:BE394" si="268">+AY346+AZ346+BC346+BD346</f>
        <v>0</v>
      </c>
      <c r="BF346" s="47"/>
      <c r="BG346" s="47"/>
      <c r="BH346" s="47"/>
      <c r="BI346" s="47"/>
      <c r="BJ346" s="47"/>
      <c r="BK346" s="46">
        <f t="shared" si="247"/>
        <v>0</v>
      </c>
      <c r="BL346" s="47"/>
      <c r="BM346" s="64">
        <f t="shared" si="248"/>
        <v>0</v>
      </c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6">
        <f t="shared" si="254"/>
        <v>0</v>
      </c>
      <c r="CQ346" s="47"/>
      <c r="CR346" s="47">
        <f t="shared" si="231"/>
        <v>0</v>
      </c>
      <c r="CS346" s="47"/>
      <c r="CT346" s="47"/>
      <c r="CU346" s="47"/>
      <c r="CV346" s="47"/>
      <c r="CW346" s="47">
        <f t="shared" si="250"/>
        <v>0</v>
      </c>
      <c r="CX346" s="46"/>
      <c r="CY346" s="47">
        <f t="shared" si="251"/>
        <v>0</v>
      </c>
      <c r="CZ346" s="47"/>
      <c r="DA346" s="47"/>
      <c r="DB346" s="47"/>
      <c r="DC346" s="47"/>
      <c r="DD346" s="47">
        <f t="shared" si="255"/>
        <v>0</v>
      </c>
      <c r="DE346" s="47"/>
      <c r="DF346" s="46">
        <f t="shared" si="256"/>
        <v>0</v>
      </c>
      <c r="DG346" s="47"/>
      <c r="DH346" s="46"/>
      <c r="DI346" s="47"/>
      <c r="DJ346" s="47"/>
      <c r="DK346" s="64"/>
      <c r="DL346" s="47"/>
      <c r="DM346" s="47"/>
      <c r="DN346" s="46"/>
      <c r="DO346" s="47"/>
      <c r="DP346" s="46"/>
      <c r="DQ346" s="47"/>
      <c r="DR346" s="46"/>
      <c r="DS346" s="47"/>
      <c r="DT346" s="46"/>
      <c r="DU346" s="47"/>
      <c r="DV346" s="46"/>
      <c r="DW346" s="47"/>
      <c r="DX346" s="47">
        <f t="shared" si="265"/>
        <v>0</v>
      </c>
      <c r="DY346" s="47"/>
      <c r="DZ346" s="47"/>
      <c r="EA346" s="47"/>
      <c r="EB346" s="47"/>
      <c r="EC346" s="47"/>
      <c r="ED346" s="47"/>
      <c r="EE346" s="47">
        <f t="shared" si="264"/>
        <v>0</v>
      </c>
      <c r="EF346" s="47"/>
      <c r="EG346" s="47"/>
      <c r="EH346" s="47"/>
      <c r="EI346" s="47"/>
      <c r="EJ346" s="47"/>
      <c r="EK346" s="47">
        <f t="shared" si="242"/>
        <v>0</v>
      </c>
      <c r="EL346" s="46">
        <f t="shared" si="243"/>
        <v>0</v>
      </c>
      <c r="EM346" s="46"/>
      <c r="EN346" s="46">
        <f t="shared" si="244"/>
        <v>0</v>
      </c>
    </row>
    <row r="347" spans="1:144" s="48" customFormat="1" ht="15" customHeight="1" x14ac:dyDescent="0.25">
      <c r="A347" s="58"/>
      <c r="B347" s="41">
        <v>15</v>
      </c>
      <c r="C347" s="49"/>
      <c r="D347" s="53"/>
      <c r="E347" s="52"/>
      <c r="F347" s="52"/>
      <c r="G347" s="52"/>
      <c r="H347" s="52"/>
      <c r="I347" s="52"/>
      <c r="J347" s="52"/>
      <c r="K347" s="52"/>
      <c r="L347" s="49"/>
      <c r="M347" s="42"/>
      <c r="N347" s="41"/>
      <c r="O347" s="41"/>
      <c r="P347" s="42"/>
      <c r="Q347" s="45"/>
      <c r="R347" s="45"/>
      <c r="S347" s="42"/>
      <c r="T347" s="46"/>
      <c r="U347" s="46"/>
      <c r="V347" s="46"/>
      <c r="W347" s="46"/>
      <c r="X347" s="46"/>
      <c r="Y347" s="46"/>
      <c r="Z347" s="42"/>
      <c r="AA347" s="42"/>
      <c r="AB347" s="42"/>
      <c r="AC347" s="42"/>
      <c r="AD347" s="42"/>
      <c r="AE347" s="42"/>
      <c r="AF347" s="42"/>
      <c r="AG347" s="42"/>
      <c r="AH347" s="42"/>
      <c r="AI347" s="46"/>
      <c r="AJ347" s="42"/>
      <c r="AK347" s="42"/>
      <c r="AL347" s="42"/>
      <c r="AM347" s="42"/>
      <c r="AN347" s="47">
        <f t="shared" si="239"/>
        <v>0</v>
      </c>
      <c r="AO347" s="47">
        <f t="shared" si="240"/>
        <v>0</v>
      </c>
      <c r="AP347" s="42" t="s">
        <v>102</v>
      </c>
      <c r="AQ347" s="61"/>
      <c r="AR347" s="42"/>
      <c r="AS347" s="42"/>
      <c r="AT347" s="46"/>
      <c r="AU347" s="47">
        <f t="shared" si="267"/>
        <v>0</v>
      </c>
      <c r="AV347" s="47"/>
      <c r="AW347" s="47">
        <f t="shared" si="257"/>
        <v>0</v>
      </c>
      <c r="AX347" s="47"/>
      <c r="AY347" s="47"/>
      <c r="AZ347" s="47"/>
      <c r="BA347" s="47"/>
      <c r="BB347" s="47"/>
      <c r="BC347" s="47">
        <f t="shared" si="266"/>
        <v>0</v>
      </c>
      <c r="BD347" s="47"/>
      <c r="BE347" s="47">
        <f t="shared" si="268"/>
        <v>0</v>
      </c>
      <c r="BF347" s="47"/>
      <c r="BG347" s="47"/>
      <c r="BH347" s="47"/>
      <c r="BI347" s="47"/>
      <c r="BJ347" s="47"/>
      <c r="BK347" s="46">
        <f t="shared" si="247"/>
        <v>0</v>
      </c>
      <c r="BL347" s="47"/>
      <c r="BM347" s="64">
        <f t="shared" si="248"/>
        <v>0</v>
      </c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6">
        <f t="shared" si="254"/>
        <v>0</v>
      </c>
      <c r="CQ347" s="47"/>
      <c r="CR347" s="47">
        <f t="shared" si="231"/>
        <v>0</v>
      </c>
      <c r="CS347" s="47"/>
      <c r="CT347" s="47"/>
      <c r="CU347" s="47"/>
      <c r="CV347" s="47"/>
      <c r="CW347" s="47">
        <f t="shared" si="250"/>
        <v>0</v>
      </c>
      <c r="CX347" s="46"/>
      <c r="CY347" s="47">
        <f t="shared" si="251"/>
        <v>0</v>
      </c>
      <c r="CZ347" s="47"/>
      <c r="DA347" s="47"/>
      <c r="DB347" s="47"/>
      <c r="DC347" s="47"/>
      <c r="DD347" s="47">
        <f t="shared" si="255"/>
        <v>0</v>
      </c>
      <c r="DE347" s="47"/>
      <c r="DF347" s="46">
        <f t="shared" si="256"/>
        <v>0</v>
      </c>
      <c r="DG347" s="47"/>
      <c r="DH347" s="46"/>
      <c r="DI347" s="47"/>
      <c r="DJ347" s="47"/>
      <c r="DK347" s="47"/>
      <c r="DL347" s="47"/>
      <c r="DM347" s="47"/>
      <c r="DN347" s="46">
        <f>7.5%*AQ347</f>
        <v>0</v>
      </c>
      <c r="DO347" s="47"/>
      <c r="DP347" s="46"/>
      <c r="DQ347" s="47"/>
      <c r="DR347" s="46"/>
      <c r="DS347" s="47"/>
      <c r="DT347" s="46"/>
      <c r="DU347" s="47"/>
      <c r="DV347" s="46"/>
      <c r="DW347" s="47"/>
      <c r="DX347" s="47">
        <f t="shared" si="265"/>
        <v>0</v>
      </c>
      <c r="DY347" s="47"/>
      <c r="DZ347" s="47"/>
      <c r="EA347" s="47"/>
      <c r="EB347" s="47"/>
      <c r="EC347" s="47"/>
      <c r="ED347" s="47"/>
      <c r="EE347" s="47">
        <f t="shared" si="264"/>
        <v>0</v>
      </c>
      <c r="EF347" s="47"/>
      <c r="EG347" s="47"/>
      <c r="EH347" s="47"/>
      <c r="EI347" s="47"/>
      <c r="EJ347" s="47"/>
      <c r="EK347" s="47">
        <f t="shared" si="242"/>
        <v>0</v>
      </c>
      <c r="EL347" s="46">
        <f t="shared" si="243"/>
        <v>0</v>
      </c>
      <c r="EM347" s="46"/>
      <c r="EN347" s="46">
        <f t="shared" si="244"/>
        <v>0</v>
      </c>
    </row>
    <row r="348" spans="1:144" s="48" customFormat="1" ht="15" customHeight="1" x14ac:dyDescent="0.25">
      <c r="A348" s="58"/>
      <c r="B348" s="41">
        <v>16</v>
      </c>
      <c r="C348" s="49"/>
      <c r="D348" s="53"/>
      <c r="E348" s="52"/>
      <c r="F348" s="52"/>
      <c r="G348" s="52"/>
      <c r="H348" s="52"/>
      <c r="I348" s="52"/>
      <c r="J348" s="52"/>
      <c r="K348" s="52"/>
      <c r="L348" s="49"/>
      <c r="M348" s="42"/>
      <c r="N348" s="41"/>
      <c r="O348" s="41"/>
      <c r="P348" s="42"/>
      <c r="Q348" s="45"/>
      <c r="R348" s="45"/>
      <c r="S348" s="42"/>
      <c r="T348" s="46"/>
      <c r="U348" s="46"/>
      <c r="V348" s="46"/>
      <c r="W348" s="46"/>
      <c r="X348" s="46"/>
      <c r="Y348" s="46"/>
      <c r="Z348" s="42"/>
      <c r="AA348" s="42"/>
      <c r="AB348" s="42"/>
      <c r="AC348" s="42"/>
      <c r="AD348" s="42"/>
      <c r="AE348" s="42"/>
      <c r="AF348" s="42"/>
      <c r="AG348" s="42"/>
      <c r="AH348" s="42"/>
      <c r="AI348" s="46"/>
      <c r="AJ348" s="42"/>
      <c r="AK348" s="42"/>
      <c r="AL348" s="42"/>
      <c r="AM348" s="42"/>
      <c r="AN348" s="47">
        <f t="shared" si="239"/>
        <v>0</v>
      </c>
      <c r="AO348" s="47">
        <f t="shared" si="240"/>
        <v>0</v>
      </c>
      <c r="AP348" s="42" t="s">
        <v>102</v>
      </c>
      <c r="AQ348" s="61"/>
      <c r="AR348" s="42"/>
      <c r="AS348" s="42"/>
      <c r="AT348" s="46"/>
      <c r="AU348" s="47">
        <f t="shared" si="267"/>
        <v>0</v>
      </c>
      <c r="AV348" s="47"/>
      <c r="AW348" s="47">
        <f t="shared" si="257"/>
        <v>0</v>
      </c>
      <c r="AX348" s="47"/>
      <c r="AY348" s="47"/>
      <c r="AZ348" s="47"/>
      <c r="BA348" s="47"/>
      <c r="BB348" s="47"/>
      <c r="BC348" s="47">
        <f t="shared" si="266"/>
        <v>0</v>
      </c>
      <c r="BD348" s="47"/>
      <c r="BE348" s="47">
        <f t="shared" si="268"/>
        <v>0</v>
      </c>
      <c r="BF348" s="47"/>
      <c r="BG348" s="47"/>
      <c r="BH348" s="47"/>
      <c r="BI348" s="47"/>
      <c r="BJ348" s="47"/>
      <c r="BK348" s="46">
        <f t="shared" si="247"/>
        <v>0</v>
      </c>
      <c r="BL348" s="47"/>
      <c r="BM348" s="64">
        <f t="shared" si="248"/>
        <v>0</v>
      </c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6">
        <f t="shared" si="254"/>
        <v>0</v>
      </c>
      <c r="CQ348" s="47"/>
      <c r="CR348" s="47">
        <f t="shared" si="231"/>
        <v>0</v>
      </c>
      <c r="CS348" s="47"/>
      <c r="CT348" s="47"/>
      <c r="CU348" s="47"/>
      <c r="CV348" s="47"/>
      <c r="CW348" s="47">
        <f t="shared" si="250"/>
        <v>0</v>
      </c>
      <c r="CX348" s="46"/>
      <c r="CY348" s="47">
        <f t="shared" si="251"/>
        <v>0</v>
      </c>
      <c r="CZ348" s="47"/>
      <c r="DA348" s="47"/>
      <c r="DB348" s="47"/>
      <c r="DC348" s="47"/>
      <c r="DD348" s="47">
        <f t="shared" si="255"/>
        <v>0</v>
      </c>
      <c r="DE348" s="47"/>
      <c r="DF348" s="46">
        <f t="shared" si="256"/>
        <v>0</v>
      </c>
      <c r="DG348" s="47"/>
      <c r="DH348" s="46"/>
      <c r="DI348" s="47"/>
      <c r="DJ348" s="47"/>
      <c r="DK348" s="47"/>
      <c r="DL348" s="47"/>
      <c r="DM348" s="47"/>
      <c r="DN348" s="46">
        <f>7.5%*AQ348</f>
        <v>0</v>
      </c>
      <c r="DO348" s="47"/>
      <c r="DP348" s="46"/>
      <c r="DQ348" s="47"/>
      <c r="DR348" s="46"/>
      <c r="DS348" s="47"/>
      <c r="DT348" s="46"/>
      <c r="DU348" s="47"/>
      <c r="DV348" s="46"/>
      <c r="DW348" s="47"/>
      <c r="DX348" s="47">
        <f t="shared" si="265"/>
        <v>0</v>
      </c>
      <c r="DY348" s="47"/>
      <c r="DZ348" s="47"/>
      <c r="EA348" s="47"/>
      <c r="EB348" s="47"/>
      <c r="EC348" s="47"/>
      <c r="ED348" s="47"/>
      <c r="EE348" s="47">
        <f t="shared" si="264"/>
        <v>0</v>
      </c>
      <c r="EF348" s="47"/>
      <c r="EG348" s="47"/>
      <c r="EH348" s="47"/>
      <c r="EI348" s="47"/>
      <c r="EJ348" s="47"/>
      <c r="EK348" s="47">
        <f t="shared" si="242"/>
        <v>0</v>
      </c>
      <c r="EL348" s="46">
        <f t="shared" si="243"/>
        <v>0</v>
      </c>
      <c r="EM348" s="46"/>
      <c r="EN348" s="46">
        <f t="shared" si="244"/>
        <v>0</v>
      </c>
    </row>
    <row r="349" spans="1:144" s="48" customFormat="1" ht="15" customHeight="1" x14ac:dyDescent="0.25">
      <c r="A349" s="58"/>
      <c r="B349" s="41">
        <v>17</v>
      </c>
      <c r="C349" s="49"/>
      <c r="D349" s="53"/>
      <c r="E349" s="52"/>
      <c r="F349" s="52"/>
      <c r="G349" s="52"/>
      <c r="H349" s="52"/>
      <c r="I349" s="52"/>
      <c r="J349" s="52"/>
      <c r="K349" s="52"/>
      <c r="L349" s="49"/>
      <c r="M349" s="42"/>
      <c r="N349" s="41"/>
      <c r="O349" s="41"/>
      <c r="P349" s="42"/>
      <c r="Q349" s="45"/>
      <c r="R349" s="45"/>
      <c r="S349" s="42"/>
      <c r="T349" s="46"/>
      <c r="U349" s="46"/>
      <c r="V349" s="46"/>
      <c r="W349" s="46"/>
      <c r="X349" s="46"/>
      <c r="Y349" s="46"/>
      <c r="Z349" s="42"/>
      <c r="AA349" s="42"/>
      <c r="AB349" s="42"/>
      <c r="AC349" s="42"/>
      <c r="AD349" s="42"/>
      <c r="AE349" s="42"/>
      <c r="AF349" s="42"/>
      <c r="AG349" s="42"/>
      <c r="AH349" s="42"/>
      <c r="AI349" s="46"/>
      <c r="AJ349" s="42"/>
      <c r="AK349" s="42"/>
      <c r="AL349" s="42"/>
      <c r="AM349" s="42"/>
      <c r="AN349" s="47">
        <f t="shared" si="239"/>
        <v>0</v>
      </c>
      <c r="AO349" s="47">
        <f t="shared" si="240"/>
        <v>0</v>
      </c>
      <c r="AP349" s="42" t="s">
        <v>102</v>
      </c>
      <c r="AQ349" s="61"/>
      <c r="AR349" s="42"/>
      <c r="AS349" s="42"/>
      <c r="AT349" s="46"/>
      <c r="AU349" s="47">
        <f t="shared" si="267"/>
        <v>0</v>
      </c>
      <c r="AV349" s="47"/>
      <c r="AW349" s="47">
        <f t="shared" si="257"/>
        <v>0</v>
      </c>
      <c r="AX349" s="47"/>
      <c r="AY349" s="47"/>
      <c r="AZ349" s="47"/>
      <c r="BA349" s="47"/>
      <c r="BB349" s="47"/>
      <c r="BC349" s="47">
        <f t="shared" si="266"/>
        <v>0</v>
      </c>
      <c r="BD349" s="47"/>
      <c r="BE349" s="47">
        <f t="shared" si="268"/>
        <v>0</v>
      </c>
      <c r="BF349" s="47"/>
      <c r="BG349" s="47"/>
      <c r="BH349" s="47"/>
      <c r="BI349" s="47"/>
      <c r="BJ349" s="47"/>
      <c r="BK349" s="46">
        <f t="shared" si="247"/>
        <v>0</v>
      </c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6">
        <f t="shared" si="254"/>
        <v>0</v>
      </c>
      <c r="CQ349" s="47"/>
      <c r="CR349" s="47">
        <f t="shared" si="231"/>
        <v>0</v>
      </c>
      <c r="CS349" s="47"/>
      <c r="CT349" s="47"/>
      <c r="CU349" s="47"/>
      <c r="CV349" s="47"/>
      <c r="CW349" s="47">
        <f t="shared" si="250"/>
        <v>0</v>
      </c>
      <c r="CX349" s="46"/>
      <c r="CY349" s="47">
        <f t="shared" si="251"/>
        <v>0</v>
      </c>
      <c r="CZ349" s="47"/>
      <c r="DA349" s="47"/>
      <c r="DB349" s="47"/>
      <c r="DC349" s="47"/>
      <c r="DD349" s="47">
        <f t="shared" si="255"/>
        <v>0</v>
      </c>
      <c r="DE349" s="47"/>
      <c r="DF349" s="46">
        <f t="shared" si="256"/>
        <v>0</v>
      </c>
      <c r="DG349" s="47"/>
      <c r="DH349" s="46"/>
      <c r="DI349" s="47"/>
      <c r="DJ349" s="47"/>
      <c r="DK349" s="47"/>
      <c r="DL349" s="47"/>
      <c r="DM349" s="47"/>
      <c r="DN349" s="46"/>
      <c r="DO349" s="47"/>
      <c r="DP349" s="46"/>
      <c r="DQ349" s="47"/>
      <c r="DR349" s="46"/>
      <c r="DS349" s="47"/>
      <c r="DT349" s="46"/>
      <c r="DU349" s="47"/>
      <c r="DV349" s="46"/>
      <c r="DW349" s="47"/>
      <c r="DX349" s="47">
        <f t="shared" si="265"/>
        <v>0</v>
      </c>
      <c r="DY349" s="47"/>
      <c r="DZ349" s="47"/>
      <c r="EA349" s="47"/>
      <c r="EB349" s="47"/>
      <c r="EC349" s="47"/>
      <c r="ED349" s="47"/>
      <c r="EE349" s="47">
        <f t="shared" si="264"/>
        <v>0</v>
      </c>
      <c r="EF349" s="47"/>
      <c r="EG349" s="47"/>
      <c r="EH349" s="47"/>
      <c r="EI349" s="47"/>
      <c r="EJ349" s="47"/>
      <c r="EK349" s="47">
        <f t="shared" si="242"/>
        <v>0</v>
      </c>
      <c r="EL349" s="46">
        <f t="shared" si="243"/>
        <v>0</v>
      </c>
      <c r="EM349" s="46"/>
      <c r="EN349" s="46">
        <f t="shared" si="244"/>
        <v>0</v>
      </c>
    </row>
    <row r="350" spans="1:144" s="48" customFormat="1" ht="15" customHeight="1" x14ac:dyDescent="0.25">
      <c r="A350" s="58"/>
      <c r="B350" s="41">
        <v>18</v>
      </c>
      <c r="C350" s="49"/>
      <c r="D350" s="53"/>
      <c r="E350" s="52"/>
      <c r="F350" s="52"/>
      <c r="G350" s="52"/>
      <c r="H350" s="52"/>
      <c r="I350" s="52"/>
      <c r="J350" s="52"/>
      <c r="K350" s="52"/>
      <c r="L350" s="49"/>
      <c r="M350" s="42"/>
      <c r="N350" s="41"/>
      <c r="O350" s="41"/>
      <c r="P350" s="42"/>
      <c r="Q350" s="45"/>
      <c r="R350" s="45"/>
      <c r="S350" s="42"/>
      <c r="T350" s="46"/>
      <c r="U350" s="46"/>
      <c r="V350" s="46"/>
      <c r="W350" s="46"/>
      <c r="X350" s="46"/>
      <c r="Y350" s="46"/>
      <c r="Z350" s="42"/>
      <c r="AA350" s="42"/>
      <c r="AB350" s="42"/>
      <c r="AC350" s="42"/>
      <c r="AD350" s="42"/>
      <c r="AE350" s="42"/>
      <c r="AF350" s="42"/>
      <c r="AG350" s="42"/>
      <c r="AH350" s="42"/>
      <c r="AI350" s="46"/>
      <c r="AJ350" s="42"/>
      <c r="AK350" s="42"/>
      <c r="AL350" s="42"/>
      <c r="AM350" s="42"/>
      <c r="AN350" s="47">
        <f t="shared" si="239"/>
        <v>0</v>
      </c>
      <c r="AO350" s="47">
        <f t="shared" si="240"/>
        <v>0</v>
      </c>
      <c r="AP350" s="42" t="s">
        <v>102</v>
      </c>
      <c r="AQ350" s="61"/>
      <c r="AR350" s="42"/>
      <c r="AS350" s="42"/>
      <c r="AT350" s="46"/>
      <c r="AU350" s="47">
        <f t="shared" si="267"/>
        <v>0</v>
      </c>
      <c r="AV350" s="47"/>
      <c r="AW350" s="47">
        <f t="shared" si="257"/>
        <v>0</v>
      </c>
      <c r="AX350" s="47"/>
      <c r="AY350" s="47"/>
      <c r="AZ350" s="47"/>
      <c r="BA350" s="47"/>
      <c r="BB350" s="47"/>
      <c r="BC350" s="47">
        <f t="shared" si="266"/>
        <v>0</v>
      </c>
      <c r="BD350" s="47"/>
      <c r="BE350" s="47">
        <f t="shared" si="268"/>
        <v>0</v>
      </c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6">
        <f t="shared" si="254"/>
        <v>0</v>
      </c>
      <c r="CQ350" s="47"/>
      <c r="CR350" s="47">
        <f t="shared" si="231"/>
        <v>0</v>
      </c>
      <c r="CS350" s="47"/>
      <c r="CT350" s="47"/>
      <c r="CU350" s="47"/>
      <c r="CV350" s="47"/>
      <c r="CW350" s="47">
        <f t="shared" si="250"/>
        <v>0</v>
      </c>
      <c r="CX350" s="46"/>
      <c r="CY350" s="47">
        <f t="shared" si="251"/>
        <v>0</v>
      </c>
      <c r="CZ350" s="47"/>
      <c r="DA350" s="47"/>
      <c r="DB350" s="47"/>
      <c r="DC350" s="47"/>
      <c r="DD350" s="47">
        <f t="shared" si="255"/>
        <v>0</v>
      </c>
      <c r="DE350" s="47"/>
      <c r="DF350" s="46">
        <f t="shared" si="256"/>
        <v>0</v>
      </c>
      <c r="DG350" s="47"/>
      <c r="DH350" s="46"/>
      <c r="DI350" s="47"/>
      <c r="DJ350" s="47"/>
      <c r="DK350" s="47"/>
      <c r="DL350" s="47"/>
      <c r="DM350" s="47"/>
      <c r="DN350" s="46">
        <f t="shared" ref="DN350:DN355" si="269">7.5%*AQ350</f>
        <v>0</v>
      </c>
      <c r="DO350" s="47"/>
      <c r="DP350" s="46"/>
      <c r="DQ350" s="47"/>
      <c r="DR350" s="46"/>
      <c r="DS350" s="47"/>
      <c r="DT350" s="46"/>
      <c r="DU350" s="47"/>
      <c r="DV350" s="46"/>
      <c r="DW350" s="47"/>
      <c r="DX350" s="47">
        <f t="shared" si="265"/>
        <v>0</v>
      </c>
      <c r="DY350" s="47"/>
      <c r="DZ350" s="47"/>
      <c r="EA350" s="47"/>
      <c r="EB350" s="47"/>
      <c r="EC350" s="47"/>
      <c r="ED350" s="47"/>
      <c r="EE350" s="47">
        <f t="shared" si="264"/>
        <v>0</v>
      </c>
      <c r="EF350" s="47"/>
      <c r="EG350" s="47"/>
      <c r="EH350" s="47"/>
      <c r="EI350" s="47"/>
      <c r="EJ350" s="47"/>
      <c r="EK350" s="47">
        <f t="shared" si="242"/>
        <v>0</v>
      </c>
      <c r="EL350" s="46">
        <f t="shared" si="243"/>
        <v>0</v>
      </c>
      <c r="EM350" s="46"/>
      <c r="EN350" s="46">
        <f t="shared" si="244"/>
        <v>0</v>
      </c>
    </row>
    <row r="351" spans="1:144" s="48" customFormat="1" ht="15" customHeight="1" x14ac:dyDescent="0.25">
      <c r="A351" s="58"/>
      <c r="B351" s="41">
        <v>19</v>
      </c>
      <c r="C351" s="49"/>
      <c r="D351" s="53"/>
      <c r="E351" s="52"/>
      <c r="F351" s="52"/>
      <c r="G351" s="52"/>
      <c r="H351" s="52"/>
      <c r="I351" s="52"/>
      <c r="J351" s="52"/>
      <c r="K351" s="52"/>
      <c r="L351" s="49"/>
      <c r="M351" s="42"/>
      <c r="N351" s="41"/>
      <c r="O351" s="41"/>
      <c r="P351" s="42"/>
      <c r="Q351" s="45"/>
      <c r="R351" s="45"/>
      <c r="S351" s="42"/>
      <c r="T351" s="46"/>
      <c r="U351" s="46"/>
      <c r="V351" s="46"/>
      <c r="W351" s="46"/>
      <c r="X351" s="46"/>
      <c r="Y351" s="46"/>
      <c r="Z351" s="42"/>
      <c r="AA351" s="42"/>
      <c r="AB351" s="42"/>
      <c r="AC351" s="42"/>
      <c r="AD351" s="42"/>
      <c r="AE351" s="42"/>
      <c r="AF351" s="42"/>
      <c r="AG351" s="42"/>
      <c r="AH351" s="42"/>
      <c r="AI351" s="46"/>
      <c r="AJ351" s="42"/>
      <c r="AK351" s="42"/>
      <c r="AL351" s="42"/>
      <c r="AM351" s="42"/>
      <c r="AN351" s="47">
        <f t="shared" si="239"/>
        <v>0</v>
      </c>
      <c r="AO351" s="47">
        <f t="shared" si="240"/>
        <v>0</v>
      </c>
      <c r="AP351" s="42" t="s">
        <v>102</v>
      </c>
      <c r="AQ351" s="61"/>
      <c r="AR351" s="42"/>
      <c r="AS351" s="42"/>
      <c r="AT351" s="46"/>
      <c r="AU351" s="47">
        <f t="shared" si="267"/>
        <v>0</v>
      </c>
      <c r="AV351" s="47"/>
      <c r="AW351" s="47">
        <f t="shared" si="257"/>
        <v>0</v>
      </c>
      <c r="AX351" s="47"/>
      <c r="AY351" s="47"/>
      <c r="AZ351" s="47"/>
      <c r="BA351" s="47"/>
      <c r="BB351" s="47"/>
      <c r="BC351" s="47">
        <f t="shared" si="266"/>
        <v>0</v>
      </c>
      <c r="BD351" s="47"/>
      <c r="BE351" s="47">
        <f t="shared" si="268"/>
        <v>0</v>
      </c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6">
        <f t="shared" si="254"/>
        <v>0</v>
      </c>
      <c r="CQ351" s="47"/>
      <c r="CR351" s="47">
        <f t="shared" si="231"/>
        <v>0</v>
      </c>
      <c r="CS351" s="47"/>
      <c r="CT351" s="47"/>
      <c r="CU351" s="47"/>
      <c r="CV351" s="47"/>
      <c r="CW351" s="47">
        <f t="shared" si="250"/>
        <v>0</v>
      </c>
      <c r="CX351" s="46"/>
      <c r="CY351" s="47">
        <f t="shared" si="251"/>
        <v>0</v>
      </c>
      <c r="CZ351" s="47"/>
      <c r="DA351" s="47"/>
      <c r="DB351" s="47"/>
      <c r="DC351" s="47"/>
      <c r="DD351" s="47"/>
      <c r="DE351" s="47"/>
      <c r="DF351" s="46">
        <f t="shared" si="256"/>
        <v>0</v>
      </c>
      <c r="DG351" s="47"/>
      <c r="DH351" s="46"/>
      <c r="DI351" s="47"/>
      <c r="DJ351" s="47"/>
      <c r="DK351" s="47"/>
      <c r="DL351" s="47"/>
      <c r="DM351" s="47"/>
      <c r="DN351" s="46">
        <f t="shared" si="269"/>
        <v>0</v>
      </c>
      <c r="DO351" s="47"/>
      <c r="DP351" s="46"/>
      <c r="DQ351" s="47"/>
      <c r="DR351" s="46"/>
      <c r="DS351" s="47"/>
      <c r="DT351" s="46"/>
      <c r="DU351" s="47"/>
      <c r="DV351" s="46"/>
      <c r="DW351" s="47"/>
      <c r="DX351" s="47">
        <f t="shared" si="265"/>
        <v>0</v>
      </c>
      <c r="DY351" s="47"/>
      <c r="DZ351" s="47"/>
      <c r="EA351" s="47"/>
      <c r="EB351" s="47"/>
      <c r="EC351" s="47"/>
      <c r="ED351" s="47"/>
      <c r="EE351" s="47">
        <f t="shared" si="264"/>
        <v>0</v>
      </c>
      <c r="EF351" s="47"/>
      <c r="EG351" s="47"/>
      <c r="EH351" s="47"/>
      <c r="EI351" s="47"/>
      <c r="EJ351" s="47"/>
      <c r="EK351" s="47">
        <f t="shared" si="242"/>
        <v>0</v>
      </c>
      <c r="EL351" s="46">
        <f t="shared" si="243"/>
        <v>0</v>
      </c>
      <c r="EM351" s="46"/>
      <c r="EN351" s="46">
        <f t="shared" si="244"/>
        <v>0</v>
      </c>
    </row>
    <row r="352" spans="1:144" s="48" customFormat="1" ht="15" customHeight="1" x14ac:dyDescent="0.25">
      <c r="A352" s="58"/>
      <c r="B352" s="41">
        <v>20</v>
      </c>
      <c r="C352" s="49"/>
      <c r="D352" s="53"/>
      <c r="E352" s="52"/>
      <c r="F352" s="52"/>
      <c r="G352" s="52"/>
      <c r="H352" s="52"/>
      <c r="I352" s="52"/>
      <c r="J352" s="52"/>
      <c r="K352" s="52"/>
      <c r="L352" s="49"/>
      <c r="M352" s="42"/>
      <c r="N352" s="41"/>
      <c r="O352" s="41"/>
      <c r="P352" s="42"/>
      <c r="Q352" s="45"/>
      <c r="R352" s="45"/>
      <c r="S352" s="42"/>
      <c r="T352" s="46"/>
      <c r="U352" s="46"/>
      <c r="V352" s="46"/>
      <c r="W352" s="46"/>
      <c r="X352" s="46"/>
      <c r="Y352" s="46"/>
      <c r="Z352" s="42"/>
      <c r="AA352" s="42"/>
      <c r="AB352" s="42"/>
      <c r="AC352" s="42"/>
      <c r="AD352" s="42"/>
      <c r="AE352" s="42"/>
      <c r="AF352" s="42"/>
      <c r="AG352" s="42"/>
      <c r="AH352" s="42"/>
      <c r="AI352" s="46"/>
      <c r="AJ352" s="42"/>
      <c r="AK352" s="42"/>
      <c r="AL352" s="42"/>
      <c r="AM352" s="42"/>
      <c r="AN352" s="47">
        <f t="shared" si="239"/>
        <v>0</v>
      </c>
      <c r="AO352" s="47">
        <f t="shared" si="240"/>
        <v>0</v>
      </c>
      <c r="AP352" s="42" t="s">
        <v>102</v>
      </c>
      <c r="AQ352" s="61"/>
      <c r="AR352" s="42"/>
      <c r="AS352" s="42"/>
      <c r="AT352" s="46"/>
      <c r="AU352" s="47">
        <f t="shared" si="267"/>
        <v>0</v>
      </c>
      <c r="AV352" s="47"/>
      <c r="AW352" s="47">
        <f t="shared" si="257"/>
        <v>0</v>
      </c>
      <c r="AX352" s="47"/>
      <c r="AY352" s="47"/>
      <c r="AZ352" s="47"/>
      <c r="BA352" s="47"/>
      <c r="BB352" s="47"/>
      <c r="BC352" s="47">
        <f t="shared" si="266"/>
        <v>0</v>
      </c>
      <c r="BD352" s="47"/>
      <c r="BE352" s="47">
        <f t="shared" si="268"/>
        <v>0</v>
      </c>
      <c r="BF352" s="47"/>
      <c r="BG352" s="47"/>
      <c r="BH352" s="47"/>
      <c r="BI352" s="47"/>
      <c r="BJ352" s="47"/>
      <c r="BK352" s="46">
        <f>BI352*BJ352</f>
        <v>0</v>
      </c>
      <c r="BL352" s="47"/>
      <c r="BM352" s="64">
        <f>+BG352+BH352+BK352+BL352</f>
        <v>0</v>
      </c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6">
        <f t="shared" si="254"/>
        <v>0</v>
      </c>
      <c r="CQ352" s="47"/>
      <c r="CR352" s="47">
        <f t="shared" si="231"/>
        <v>0</v>
      </c>
      <c r="CS352" s="47"/>
      <c r="CT352" s="47"/>
      <c r="CU352" s="47"/>
      <c r="CV352" s="47"/>
      <c r="CW352" s="47">
        <f t="shared" si="250"/>
        <v>0</v>
      </c>
      <c r="CX352" s="46"/>
      <c r="CY352" s="47">
        <f t="shared" si="251"/>
        <v>0</v>
      </c>
      <c r="CZ352" s="47"/>
      <c r="DA352" s="47"/>
      <c r="DB352" s="47"/>
      <c r="DC352" s="47"/>
      <c r="DD352" s="47">
        <f>+DB352*DC352</f>
        <v>0</v>
      </c>
      <c r="DE352" s="47"/>
      <c r="DF352" s="46">
        <f t="shared" si="256"/>
        <v>0</v>
      </c>
      <c r="DG352" s="47"/>
      <c r="DH352" s="46"/>
      <c r="DI352" s="47"/>
      <c r="DJ352" s="47"/>
      <c r="DK352" s="47"/>
      <c r="DL352" s="47"/>
      <c r="DM352" s="47"/>
      <c r="DN352" s="46">
        <f t="shared" si="269"/>
        <v>0</v>
      </c>
      <c r="DO352" s="47"/>
      <c r="DP352" s="46"/>
      <c r="DQ352" s="47"/>
      <c r="DR352" s="46"/>
      <c r="DS352" s="47"/>
      <c r="DT352" s="46"/>
      <c r="DU352" s="47"/>
      <c r="DV352" s="46"/>
      <c r="DW352" s="47"/>
      <c r="DX352" s="47">
        <f t="shared" si="265"/>
        <v>0</v>
      </c>
      <c r="DY352" s="47"/>
      <c r="DZ352" s="47"/>
      <c r="EA352" s="47"/>
      <c r="EB352" s="47"/>
      <c r="EC352" s="47"/>
      <c r="ED352" s="47"/>
      <c r="EE352" s="47">
        <f t="shared" si="264"/>
        <v>0</v>
      </c>
      <c r="EF352" s="47"/>
      <c r="EG352" s="47"/>
      <c r="EH352" s="47"/>
      <c r="EI352" s="47"/>
      <c r="EJ352" s="47"/>
      <c r="EK352" s="47">
        <f t="shared" si="242"/>
        <v>0</v>
      </c>
      <c r="EL352" s="46">
        <f t="shared" si="243"/>
        <v>0</v>
      </c>
      <c r="EM352" s="46"/>
      <c r="EN352" s="46">
        <f t="shared" si="244"/>
        <v>0</v>
      </c>
    </row>
    <row r="353" spans="1:144" s="48" customFormat="1" ht="15" customHeight="1" x14ac:dyDescent="0.25">
      <c r="A353" s="58"/>
      <c r="B353" s="41">
        <v>24</v>
      </c>
      <c r="C353" s="49"/>
      <c r="D353" s="53"/>
      <c r="E353" s="52"/>
      <c r="F353" s="52"/>
      <c r="G353" s="52"/>
      <c r="H353" s="52"/>
      <c r="I353" s="52"/>
      <c r="J353" s="52"/>
      <c r="K353" s="52"/>
      <c r="L353" s="49"/>
      <c r="M353" s="42"/>
      <c r="N353" s="41"/>
      <c r="O353" s="41"/>
      <c r="P353" s="42"/>
      <c r="Q353" s="45"/>
      <c r="R353" s="45"/>
      <c r="S353" s="42"/>
      <c r="T353" s="46"/>
      <c r="U353" s="46"/>
      <c r="V353" s="46"/>
      <c r="W353" s="46"/>
      <c r="X353" s="46"/>
      <c r="Y353" s="46"/>
      <c r="Z353" s="42"/>
      <c r="AA353" s="42"/>
      <c r="AB353" s="42"/>
      <c r="AC353" s="42"/>
      <c r="AD353" s="42"/>
      <c r="AE353" s="42"/>
      <c r="AF353" s="42"/>
      <c r="AG353" s="42"/>
      <c r="AH353" s="42"/>
      <c r="AI353" s="46"/>
      <c r="AJ353" s="42"/>
      <c r="AK353" s="42"/>
      <c r="AL353" s="42"/>
      <c r="AM353" s="42"/>
      <c r="AN353" s="47">
        <f t="shared" si="239"/>
        <v>0</v>
      </c>
      <c r="AO353" s="47">
        <f t="shared" si="240"/>
        <v>0</v>
      </c>
      <c r="AP353" s="42" t="s">
        <v>102</v>
      </c>
      <c r="AQ353" s="61"/>
      <c r="AR353" s="42"/>
      <c r="AS353" s="42"/>
      <c r="AT353" s="46"/>
      <c r="AU353" s="47">
        <f t="shared" si="267"/>
        <v>0</v>
      </c>
      <c r="AV353" s="47"/>
      <c r="AW353" s="47">
        <f t="shared" si="257"/>
        <v>0</v>
      </c>
      <c r="AX353" s="47"/>
      <c r="AY353" s="47"/>
      <c r="AZ353" s="47"/>
      <c r="BA353" s="47"/>
      <c r="BB353" s="47"/>
      <c r="BC353" s="47">
        <f t="shared" si="266"/>
        <v>0</v>
      </c>
      <c r="BD353" s="47"/>
      <c r="BE353" s="47">
        <f t="shared" si="268"/>
        <v>0</v>
      </c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6">
        <f t="shared" si="254"/>
        <v>0</v>
      </c>
      <c r="CQ353" s="47"/>
      <c r="CR353" s="47">
        <f t="shared" si="231"/>
        <v>0</v>
      </c>
      <c r="CS353" s="47"/>
      <c r="CT353" s="47"/>
      <c r="CU353" s="47"/>
      <c r="CV353" s="47"/>
      <c r="CW353" s="47">
        <f t="shared" si="250"/>
        <v>0</v>
      </c>
      <c r="CX353" s="46"/>
      <c r="CY353" s="47">
        <f t="shared" si="251"/>
        <v>0</v>
      </c>
      <c r="CZ353" s="47"/>
      <c r="DA353" s="47"/>
      <c r="DB353" s="47"/>
      <c r="DC353" s="47"/>
      <c r="DD353" s="47"/>
      <c r="DE353" s="47"/>
      <c r="DF353" s="46">
        <f t="shared" si="256"/>
        <v>0</v>
      </c>
      <c r="DG353" s="47"/>
      <c r="DH353" s="46"/>
      <c r="DI353" s="47"/>
      <c r="DJ353" s="47"/>
      <c r="DK353" s="47"/>
      <c r="DL353" s="47"/>
      <c r="DM353" s="47"/>
      <c r="DN353" s="46">
        <f t="shared" si="269"/>
        <v>0</v>
      </c>
      <c r="DO353" s="47"/>
      <c r="DP353" s="46"/>
      <c r="DQ353" s="47"/>
      <c r="DR353" s="46"/>
      <c r="DS353" s="47"/>
      <c r="DT353" s="46"/>
      <c r="DU353" s="47"/>
      <c r="DV353" s="46"/>
      <c r="DW353" s="47"/>
      <c r="DX353" s="47">
        <f t="shared" si="265"/>
        <v>0</v>
      </c>
      <c r="DY353" s="47"/>
      <c r="DZ353" s="47"/>
      <c r="EA353" s="47"/>
      <c r="EB353" s="47"/>
      <c r="EC353" s="47"/>
      <c r="ED353" s="47"/>
      <c r="EE353" s="47">
        <f t="shared" si="264"/>
        <v>0</v>
      </c>
      <c r="EF353" s="47"/>
      <c r="EG353" s="47"/>
      <c r="EH353" s="47"/>
      <c r="EI353" s="47"/>
      <c r="EJ353" s="47"/>
      <c r="EK353" s="47">
        <f t="shared" si="242"/>
        <v>0</v>
      </c>
      <c r="EL353" s="46">
        <f t="shared" si="243"/>
        <v>0</v>
      </c>
      <c r="EM353" s="46"/>
      <c r="EN353" s="46">
        <f t="shared" si="244"/>
        <v>0</v>
      </c>
    </row>
    <row r="354" spans="1:144" s="48" customFormat="1" ht="15" customHeight="1" x14ac:dyDescent="0.25">
      <c r="A354" s="58"/>
      <c r="B354" s="41">
        <v>25</v>
      </c>
      <c r="C354" s="49"/>
      <c r="D354" s="53"/>
      <c r="E354" s="52"/>
      <c r="F354" s="52"/>
      <c r="G354" s="52"/>
      <c r="H354" s="52"/>
      <c r="I354" s="52"/>
      <c r="J354" s="52"/>
      <c r="K354" s="52"/>
      <c r="L354" s="49"/>
      <c r="M354" s="42"/>
      <c r="N354" s="41"/>
      <c r="O354" s="41"/>
      <c r="P354" s="42"/>
      <c r="Q354" s="45"/>
      <c r="R354" s="45"/>
      <c r="S354" s="42"/>
      <c r="T354" s="46"/>
      <c r="U354" s="46"/>
      <c r="V354" s="46"/>
      <c r="W354" s="46"/>
      <c r="X354" s="46"/>
      <c r="Y354" s="46"/>
      <c r="Z354" s="42"/>
      <c r="AA354" s="42"/>
      <c r="AB354" s="42"/>
      <c r="AC354" s="42"/>
      <c r="AD354" s="42"/>
      <c r="AE354" s="42"/>
      <c r="AF354" s="42"/>
      <c r="AG354" s="42"/>
      <c r="AH354" s="42"/>
      <c r="AI354" s="46"/>
      <c r="AJ354" s="42"/>
      <c r="AK354" s="42"/>
      <c r="AL354" s="42"/>
      <c r="AM354" s="42"/>
      <c r="AN354" s="47">
        <f t="shared" si="239"/>
        <v>0</v>
      </c>
      <c r="AO354" s="47">
        <f t="shared" si="240"/>
        <v>0</v>
      </c>
      <c r="AP354" s="42" t="s">
        <v>102</v>
      </c>
      <c r="AQ354" s="61"/>
      <c r="AR354" s="42"/>
      <c r="AS354" s="42"/>
      <c r="AT354" s="46"/>
      <c r="AU354" s="47">
        <f t="shared" si="267"/>
        <v>0</v>
      </c>
      <c r="AV354" s="47"/>
      <c r="AW354" s="47">
        <f t="shared" si="257"/>
        <v>0</v>
      </c>
      <c r="AX354" s="47"/>
      <c r="AY354" s="47"/>
      <c r="AZ354" s="47"/>
      <c r="BA354" s="47"/>
      <c r="BB354" s="47"/>
      <c r="BC354" s="47">
        <f t="shared" si="266"/>
        <v>0</v>
      </c>
      <c r="BD354" s="47"/>
      <c r="BE354" s="47">
        <f t="shared" si="268"/>
        <v>0</v>
      </c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6">
        <f t="shared" si="254"/>
        <v>0</v>
      </c>
      <c r="CQ354" s="47"/>
      <c r="CR354" s="47">
        <f t="shared" si="231"/>
        <v>0</v>
      </c>
      <c r="CS354" s="47"/>
      <c r="CT354" s="47"/>
      <c r="CU354" s="47"/>
      <c r="CV354" s="47"/>
      <c r="CW354" s="47">
        <f t="shared" si="250"/>
        <v>0</v>
      </c>
      <c r="CX354" s="46"/>
      <c r="CY354" s="47">
        <f t="shared" si="251"/>
        <v>0</v>
      </c>
      <c r="CZ354" s="47"/>
      <c r="DA354" s="47"/>
      <c r="DB354" s="47"/>
      <c r="DC354" s="47"/>
      <c r="DD354" s="47"/>
      <c r="DE354" s="47"/>
      <c r="DF354" s="46">
        <f t="shared" si="256"/>
        <v>0</v>
      </c>
      <c r="DG354" s="47"/>
      <c r="DH354" s="46"/>
      <c r="DI354" s="47"/>
      <c r="DJ354" s="47"/>
      <c r="DK354" s="47"/>
      <c r="DL354" s="47"/>
      <c r="DM354" s="47"/>
      <c r="DN354" s="46">
        <f t="shared" si="269"/>
        <v>0</v>
      </c>
      <c r="DO354" s="47"/>
      <c r="DP354" s="46"/>
      <c r="DQ354" s="47"/>
      <c r="DR354" s="46"/>
      <c r="DS354" s="47"/>
      <c r="DT354" s="46"/>
      <c r="DU354" s="47"/>
      <c r="DV354" s="46"/>
      <c r="DW354" s="47"/>
      <c r="DX354" s="47">
        <f t="shared" si="265"/>
        <v>0</v>
      </c>
      <c r="DY354" s="47"/>
      <c r="DZ354" s="47"/>
      <c r="EA354" s="47"/>
      <c r="EB354" s="47"/>
      <c r="EC354" s="47"/>
      <c r="ED354" s="47"/>
      <c r="EE354" s="47">
        <f t="shared" si="264"/>
        <v>0</v>
      </c>
      <c r="EF354" s="47"/>
      <c r="EG354" s="47"/>
      <c r="EH354" s="47"/>
      <c r="EI354" s="47"/>
      <c r="EJ354" s="47"/>
      <c r="EK354" s="47">
        <f t="shared" si="242"/>
        <v>0</v>
      </c>
      <c r="EL354" s="46">
        <f t="shared" si="243"/>
        <v>0</v>
      </c>
      <c r="EM354" s="46"/>
      <c r="EN354" s="46">
        <f t="shared" si="244"/>
        <v>0</v>
      </c>
    </row>
    <row r="355" spans="1:144" s="48" customFormat="1" ht="15" customHeight="1" x14ac:dyDescent="0.25">
      <c r="A355" s="58"/>
      <c r="B355" s="41">
        <v>26</v>
      </c>
      <c r="C355" s="49"/>
      <c r="D355" s="53"/>
      <c r="E355" s="52"/>
      <c r="F355" s="52"/>
      <c r="G355" s="52"/>
      <c r="H355" s="52"/>
      <c r="I355" s="52"/>
      <c r="J355" s="52"/>
      <c r="K355" s="52"/>
      <c r="L355" s="49"/>
      <c r="M355" s="42"/>
      <c r="N355" s="41"/>
      <c r="O355" s="41"/>
      <c r="P355" s="42"/>
      <c r="Q355" s="45"/>
      <c r="R355" s="45"/>
      <c r="S355" s="42"/>
      <c r="T355" s="46"/>
      <c r="U355" s="46"/>
      <c r="V355" s="46"/>
      <c r="W355" s="46"/>
      <c r="X355" s="46"/>
      <c r="Y355" s="46"/>
      <c r="Z355" s="42"/>
      <c r="AA355" s="42"/>
      <c r="AB355" s="42"/>
      <c r="AC355" s="42"/>
      <c r="AD355" s="42"/>
      <c r="AE355" s="42"/>
      <c r="AF355" s="42"/>
      <c r="AG355" s="42"/>
      <c r="AH355" s="42"/>
      <c r="AI355" s="46"/>
      <c r="AJ355" s="42"/>
      <c r="AK355" s="42"/>
      <c r="AL355" s="42"/>
      <c r="AM355" s="42"/>
      <c r="AN355" s="47">
        <f t="shared" si="239"/>
        <v>0</v>
      </c>
      <c r="AO355" s="47">
        <f t="shared" si="240"/>
        <v>0</v>
      </c>
      <c r="AP355" s="42" t="s">
        <v>102</v>
      </c>
      <c r="AQ355" s="61"/>
      <c r="AR355" s="42"/>
      <c r="AS355" s="42"/>
      <c r="AT355" s="46"/>
      <c r="AU355" s="47">
        <f t="shared" si="267"/>
        <v>0</v>
      </c>
      <c r="AV355" s="47"/>
      <c r="AW355" s="47">
        <f t="shared" si="257"/>
        <v>0</v>
      </c>
      <c r="AX355" s="47"/>
      <c r="AY355" s="47"/>
      <c r="AZ355" s="47"/>
      <c r="BA355" s="47"/>
      <c r="BB355" s="47"/>
      <c r="BC355" s="47">
        <f t="shared" si="266"/>
        <v>0</v>
      </c>
      <c r="BD355" s="47"/>
      <c r="BE355" s="47">
        <f t="shared" si="268"/>
        <v>0</v>
      </c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6">
        <f t="shared" si="254"/>
        <v>0</v>
      </c>
      <c r="CQ355" s="47"/>
      <c r="CR355" s="47">
        <f t="shared" ref="CR355:CR394" si="270">CM355+CP355+CQ355</f>
        <v>0</v>
      </c>
      <c r="CS355" s="47"/>
      <c r="CT355" s="47"/>
      <c r="CU355" s="47"/>
      <c r="CV355" s="47"/>
      <c r="CW355" s="47">
        <f t="shared" si="250"/>
        <v>0</v>
      </c>
      <c r="CX355" s="46"/>
      <c r="CY355" s="47">
        <f t="shared" si="251"/>
        <v>0</v>
      </c>
      <c r="CZ355" s="47"/>
      <c r="DA355" s="47"/>
      <c r="DB355" s="47"/>
      <c r="DC355" s="47"/>
      <c r="DD355" s="47"/>
      <c r="DE355" s="47"/>
      <c r="DF355" s="46">
        <f t="shared" si="256"/>
        <v>0</v>
      </c>
      <c r="DG355" s="47"/>
      <c r="DH355" s="46"/>
      <c r="DI355" s="47"/>
      <c r="DJ355" s="47"/>
      <c r="DK355" s="47"/>
      <c r="DL355" s="47"/>
      <c r="DM355" s="47"/>
      <c r="DN355" s="46">
        <f t="shared" si="269"/>
        <v>0</v>
      </c>
      <c r="DO355" s="47"/>
      <c r="DP355" s="46"/>
      <c r="DQ355" s="47"/>
      <c r="DR355" s="46"/>
      <c r="DS355" s="47"/>
      <c r="DT355" s="46"/>
      <c r="DU355" s="47"/>
      <c r="DV355" s="46"/>
      <c r="DW355" s="47"/>
      <c r="DX355" s="47">
        <f t="shared" si="265"/>
        <v>0</v>
      </c>
      <c r="DY355" s="47"/>
      <c r="DZ355" s="47"/>
      <c r="EA355" s="47"/>
      <c r="EB355" s="47"/>
      <c r="EC355" s="47"/>
      <c r="ED355" s="47"/>
      <c r="EE355" s="47">
        <f t="shared" si="264"/>
        <v>0</v>
      </c>
      <c r="EF355" s="47"/>
      <c r="EG355" s="47"/>
      <c r="EH355" s="47"/>
      <c r="EI355" s="47"/>
      <c r="EJ355" s="47"/>
      <c r="EK355" s="47">
        <f t="shared" si="242"/>
        <v>0</v>
      </c>
      <c r="EL355" s="46">
        <f t="shared" si="243"/>
        <v>0</v>
      </c>
      <c r="EM355" s="46"/>
      <c r="EN355" s="46">
        <f t="shared" si="244"/>
        <v>0</v>
      </c>
    </row>
    <row r="356" spans="1:144" s="48" customFormat="1" ht="15" customHeight="1" x14ac:dyDescent="0.25">
      <c r="A356" s="58"/>
      <c r="B356" s="41">
        <v>32</v>
      </c>
      <c r="C356" s="49"/>
      <c r="D356" s="53"/>
      <c r="E356" s="52"/>
      <c r="F356" s="52"/>
      <c r="G356" s="52"/>
      <c r="H356" s="52"/>
      <c r="I356" s="52"/>
      <c r="J356" s="52"/>
      <c r="K356" s="52"/>
      <c r="L356" s="49"/>
      <c r="M356" s="42"/>
      <c r="N356" s="41"/>
      <c r="O356" s="41"/>
      <c r="P356" s="42"/>
      <c r="Q356" s="45"/>
      <c r="R356" s="45"/>
      <c r="S356" s="42"/>
      <c r="T356" s="46"/>
      <c r="U356" s="46"/>
      <c r="V356" s="46"/>
      <c r="W356" s="46"/>
      <c r="X356" s="46"/>
      <c r="Y356" s="46"/>
      <c r="Z356" s="42"/>
      <c r="AA356" s="42"/>
      <c r="AB356" s="42"/>
      <c r="AC356" s="42"/>
      <c r="AD356" s="42"/>
      <c r="AE356" s="42"/>
      <c r="AF356" s="42"/>
      <c r="AG356" s="42"/>
      <c r="AH356" s="42"/>
      <c r="AI356" s="46"/>
      <c r="AJ356" s="42"/>
      <c r="AK356" s="42"/>
      <c r="AL356" s="42"/>
      <c r="AM356" s="42"/>
      <c r="AN356" s="47">
        <f t="shared" si="239"/>
        <v>0</v>
      </c>
      <c r="AO356" s="47">
        <f t="shared" si="240"/>
        <v>0</v>
      </c>
      <c r="AP356" s="42" t="s">
        <v>102</v>
      </c>
      <c r="AQ356" s="61"/>
      <c r="AR356" s="42"/>
      <c r="AS356" s="42"/>
      <c r="AT356" s="46"/>
      <c r="AU356" s="47">
        <f t="shared" si="267"/>
        <v>0</v>
      </c>
      <c r="AV356" s="47"/>
      <c r="AW356" s="47">
        <f t="shared" si="257"/>
        <v>0</v>
      </c>
      <c r="AX356" s="47"/>
      <c r="AY356" s="47"/>
      <c r="AZ356" s="47"/>
      <c r="BA356" s="47"/>
      <c r="BB356" s="47"/>
      <c r="BC356" s="47">
        <f t="shared" si="266"/>
        <v>0</v>
      </c>
      <c r="BD356" s="47"/>
      <c r="BE356" s="47">
        <f t="shared" si="268"/>
        <v>0</v>
      </c>
      <c r="BF356" s="47"/>
      <c r="BG356" s="47"/>
      <c r="BH356" s="47"/>
      <c r="BI356" s="47"/>
      <c r="BJ356" s="47"/>
      <c r="BK356" s="47">
        <f>+BI356*BJ356</f>
        <v>0</v>
      </c>
      <c r="BL356" s="47"/>
      <c r="BM356" s="47">
        <f>+BG356+BH356+BK356+BL356</f>
        <v>0</v>
      </c>
      <c r="BN356" s="47"/>
      <c r="BO356" s="47"/>
      <c r="BP356" s="47"/>
      <c r="BQ356" s="47"/>
      <c r="BR356" s="47"/>
      <c r="BS356" s="47">
        <f>+BQ356*BR356</f>
        <v>0</v>
      </c>
      <c r="BT356" s="47"/>
      <c r="BU356" s="47">
        <f>+BO356+BP356+BS356+BT356</f>
        <v>0</v>
      </c>
      <c r="BV356" s="47"/>
      <c r="BW356" s="47"/>
      <c r="BX356" s="47"/>
      <c r="BY356" s="47"/>
      <c r="BZ356" s="47"/>
      <c r="CA356" s="47">
        <f>+BY356*BZ356</f>
        <v>0</v>
      </c>
      <c r="CB356" s="47"/>
      <c r="CC356" s="47">
        <f>+BW356+BX356+CA356+CB356</f>
        <v>0</v>
      </c>
      <c r="CD356" s="47"/>
      <c r="CE356" s="47"/>
      <c r="CF356" s="47"/>
      <c r="CG356" s="47"/>
      <c r="CH356" s="47"/>
      <c r="CI356" s="47">
        <f>+CG356*CH356</f>
        <v>0</v>
      </c>
      <c r="CJ356" s="47"/>
      <c r="CK356" s="47">
        <f>+CE356+CF356+CI356+CJ356</f>
        <v>0</v>
      </c>
      <c r="CL356" s="47"/>
      <c r="CM356" s="47"/>
      <c r="CN356" s="47"/>
      <c r="CO356" s="47"/>
      <c r="CP356" s="46">
        <f t="shared" si="254"/>
        <v>0</v>
      </c>
      <c r="CQ356" s="47"/>
      <c r="CR356" s="47">
        <f t="shared" si="270"/>
        <v>0</v>
      </c>
      <c r="CS356" s="47"/>
      <c r="CT356" s="47"/>
      <c r="CU356" s="47"/>
      <c r="CV356" s="47"/>
      <c r="CW356" s="47">
        <f t="shared" si="250"/>
        <v>0</v>
      </c>
      <c r="CX356" s="46"/>
      <c r="CY356" s="47">
        <f t="shared" si="251"/>
        <v>0</v>
      </c>
      <c r="CZ356" s="47"/>
      <c r="DA356" s="47"/>
      <c r="DB356" s="47"/>
      <c r="DC356" s="47"/>
      <c r="DD356" s="47">
        <f>+DB356*DC356</f>
        <v>0</v>
      </c>
      <c r="DE356" s="47"/>
      <c r="DF356" s="46">
        <f t="shared" si="256"/>
        <v>0</v>
      </c>
      <c r="DG356" s="47"/>
      <c r="DH356" s="46"/>
      <c r="DI356" s="47"/>
      <c r="DJ356" s="47"/>
      <c r="DK356" s="47"/>
      <c r="DL356" s="47"/>
      <c r="DM356" s="47"/>
      <c r="DN356" s="46"/>
      <c r="DO356" s="47"/>
      <c r="DP356" s="46"/>
      <c r="DQ356" s="47"/>
      <c r="DR356" s="46"/>
      <c r="DS356" s="47"/>
      <c r="DT356" s="46"/>
      <c r="DU356" s="47"/>
      <c r="DV356" s="46"/>
      <c r="DW356" s="47"/>
      <c r="DX356" s="47">
        <f t="shared" si="265"/>
        <v>0</v>
      </c>
      <c r="DY356" s="47"/>
      <c r="DZ356" s="47"/>
      <c r="EA356" s="47"/>
      <c r="EB356" s="47"/>
      <c r="EC356" s="47"/>
      <c r="ED356" s="47"/>
      <c r="EE356" s="47">
        <f t="shared" si="264"/>
        <v>0</v>
      </c>
      <c r="EF356" s="47"/>
      <c r="EG356" s="47"/>
      <c r="EH356" s="47"/>
      <c r="EI356" s="47"/>
      <c r="EJ356" s="47"/>
      <c r="EK356" s="47">
        <f t="shared" si="242"/>
        <v>0</v>
      </c>
      <c r="EL356" s="46">
        <f t="shared" si="243"/>
        <v>0</v>
      </c>
      <c r="EM356" s="46"/>
      <c r="EN356" s="46">
        <f t="shared" si="244"/>
        <v>0</v>
      </c>
    </row>
    <row r="357" spans="1:144" s="48" customFormat="1" ht="15" customHeight="1" x14ac:dyDescent="0.25">
      <c r="A357" s="58"/>
      <c r="B357" s="41">
        <v>21</v>
      </c>
      <c r="C357" s="49"/>
      <c r="D357" s="53"/>
      <c r="E357" s="52"/>
      <c r="F357" s="52"/>
      <c r="G357" s="52"/>
      <c r="H357" s="52"/>
      <c r="I357" s="52"/>
      <c r="J357" s="52"/>
      <c r="K357" s="52"/>
      <c r="L357" s="49"/>
      <c r="M357" s="42"/>
      <c r="N357" s="41"/>
      <c r="O357" s="41"/>
      <c r="P357" s="42"/>
      <c r="Q357" s="45"/>
      <c r="R357" s="45"/>
      <c r="S357" s="42"/>
      <c r="T357" s="46"/>
      <c r="U357" s="46"/>
      <c r="V357" s="46"/>
      <c r="W357" s="46"/>
      <c r="X357" s="46"/>
      <c r="Y357" s="46"/>
      <c r="Z357" s="42"/>
      <c r="AA357" s="42"/>
      <c r="AB357" s="42"/>
      <c r="AC357" s="42"/>
      <c r="AD357" s="42"/>
      <c r="AE357" s="42"/>
      <c r="AF357" s="42"/>
      <c r="AG357" s="42"/>
      <c r="AH357" s="42"/>
      <c r="AI357" s="46"/>
      <c r="AJ357" s="42"/>
      <c r="AK357" s="42"/>
      <c r="AL357" s="42"/>
      <c r="AM357" s="42"/>
      <c r="AN357" s="47">
        <f t="shared" si="239"/>
        <v>0</v>
      </c>
      <c r="AO357" s="47">
        <f t="shared" si="240"/>
        <v>0</v>
      </c>
      <c r="AP357" s="42" t="s">
        <v>102</v>
      </c>
      <c r="AQ357" s="61"/>
      <c r="AR357" s="42"/>
      <c r="AS357" s="42"/>
      <c r="AT357" s="46"/>
      <c r="AU357" s="47">
        <f t="shared" si="267"/>
        <v>0</v>
      </c>
      <c r="AV357" s="47"/>
      <c r="AW357" s="47">
        <f t="shared" si="257"/>
        <v>0</v>
      </c>
      <c r="AX357" s="47"/>
      <c r="AY357" s="47"/>
      <c r="AZ357" s="47"/>
      <c r="BA357" s="47"/>
      <c r="BB357" s="47"/>
      <c r="BC357" s="47">
        <f t="shared" si="266"/>
        <v>0</v>
      </c>
      <c r="BD357" s="47"/>
      <c r="BE357" s="47">
        <f t="shared" si="268"/>
        <v>0</v>
      </c>
      <c r="BF357" s="47"/>
      <c r="BG357" s="47"/>
      <c r="BH357" s="47"/>
      <c r="BI357" s="47"/>
      <c r="BJ357" s="47"/>
      <c r="BK357" s="46">
        <f>BI357*BJ357</f>
        <v>0</v>
      </c>
      <c r="BL357" s="47"/>
      <c r="BM357" s="64">
        <f>+BG357+BH357+BK357+BL357</f>
        <v>0</v>
      </c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6">
        <f t="shared" si="254"/>
        <v>0</v>
      </c>
      <c r="CQ357" s="47"/>
      <c r="CR357" s="47">
        <f t="shared" si="270"/>
        <v>0</v>
      </c>
      <c r="CS357" s="47"/>
      <c r="CT357" s="47"/>
      <c r="CU357" s="47"/>
      <c r="CV357" s="47"/>
      <c r="CW357" s="47">
        <f t="shared" si="250"/>
        <v>0</v>
      </c>
      <c r="CX357" s="46"/>
      <c r="CY357" s="47">
        <f t="shared" si="251"/>
        <v>0</v>
      </c>
      <c r="CZ357" s="47"/>
      <c r="DA357" s="47"/>
      <c r="DB357" s="47"/>
      <c r="DC357" s="47"/>
      <c r="DD357" s="47">
        <f>+DB357*DC357</f>
        <v>0</v>
      </c>
      <c r="DE357" s="47"/>
      <c r="DF357" s="46">
        <f t="shared" si="256"/>
        <v>0</v>
      </c>
      <c r="DG357" s="47"/>
      <c r="DH357" s="46"/>
      <c r="DI357" s="47"/>
      <c r="DJ357" s="47"/>
      <c r="DK357" s="47"/>
      <c r="DL357" s="47"/>
      <c r="DM357" s="47"/>
      <c r="DN357" s="46">
        <f>7.5%*AQ357</f>
        <v>0</v>
      </c>
      <c r="DO357" s="47"/>
      <c r="DP357" s="46"/>
      <c r="DQ357" s="47"/>
      <c r="DR357" s="46"/>
      <c r="DS357" s="47"/>
      <c r="DT357" s="46"/>
      <c r="DU357" s="47"/>
      <c r="DV357" s="46"/>
      <c r="DW357" s="47"/>
      <c r="DX357" s="47">
        <f t="shared" si="265"/>
        <v>0</v>
      </c>
      <c r="DY357" s="47"/>
      <c r="DZ357" s="47"/>
      <c r="EA357" s="47"/>
      <c r="EB357" s="47"/>
      <c r="EC357" s="47"/>
      <c r="ED357" s="47"/>
      <c r="EE357" s="47">
        <f t="shared" si="264"/>
        <v>0</v>
      </c>
      <c r="EF357" s="47"/>
      <c r="EG357" s="47"/>
      <c r="EH357" s="47"/>
      <c r="EI357" s="47"/>
      <c r="EJ357" s="47"/>
      <c r="EK357" s="47">
        <f t="shared" si="242"/>
        <v>0</v>
      </c>
      <c r="EL357" s="46">
        <f t="shared" si="243"/>
        <v>0</v>
      </c>
      <c r="EM357" s="46"/>
      <c r="EN357" s="46">
        <f t="shared" si="244"/>
        <v>0</v>
      </c>
    </row>
    <row r="358" spans="1:144" s="48" customFormat="1" ht="15" customHeight="1" x14ac:dyDescent="0.25">
      <c r="A358" s="58"/>
      <c r="B358" s="41">
        <v>22</v>
      </c>
      <c r="C358" s="49"/>
      <c r="D358" s="53"/>
      <c r="E358" s="52"/>
      <c r="F358" s="52"/>
      <c r="G358" s="52"/>
      <c r="H358" s="52"/>
      <c r="I358" s="52"/>
      <c r="J358" s="52"/>
      <c r="K358" s="52"/>
      <c r="L358" s="49"/>
      <c r="M358" s="42"/>
      <c r="N358" s="41"/>
      <c r="O358" s="41"/>
      <c r="P358" s="42"/>
      <c r="Q358" s="45"/>
      <c r="R358" s="45"/>
      <c r="S358" s="42"/>
      <c r="T358" s="46"/>
      <c r="U358" s="127"/>
      <c r="V358" s="46"/>
      <c r="W358" s="46"/>
      <c r="X358" s="46"/>
      <c r="Y358" s="46"/>
      <c r="Z358" s="42"/>
      <c r="AA358" s="42"/>
      <c r="AB358" s="42"/>
      <c r="AC358" s="42"/>
      <c r="AD358" s="42"/>
      <c r="AE358" s="42"/>
      <c r="AF358" s="42"/>
      <c r="AG358" s="42"/>
      <c r="AH358" s="42"/>
      <c r="AI358" s="46"/>
      <c r="AJ358" s="42"/>
      <c r="AK358" s="42"/>
      <c r="AL358" s="42"/>
      <c r="AM358" s="42"/>
      <c r="AN358" s="47">
        <f t="shared" si="239"/>
        <v>0</v>
      </c>
      <c r="AO358" s="47">
        <f t="shared" si="240"/>
        <v>0</v>
      </c>
      <c r="AP358" s="42" t="s">
        <v>102</v>
      </c>
      <c r="AQ358" s="61"/>
      <c r="AR358" s="42"/>
      <c r="AS358" s="42"/>
      <c r="AT358" s="46"/>
      <c r="AU358" s="47">
        <f t="shared" si="267"/>
        <v>0</v>
      </c>
      <c r="AV358" s="47"/>
      <c r="AW358" s="47">
        <f t="shared" si="257"/>
        <v>0</v>
      </c>
      <c r="AX358" s="47"/>
      <c r="AY358" s="47"/>
      <c r="AZ358" s="47"/>
      <c r="BA358" s="47"/>
      <c r="BB358" s="47"/>
      <c r="BC358" s="47">
        <f t="shared" si="266"/>
        <v>0</v>
      </c>
      <c r="BD358" s="47"/>
      <c r="BE358" s="47">
        <f t="shared" si="268"/>
        <v>0</v>
      </c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6">
        <f t="shared" si="254"/>
        <v>0</v>
      </c>
      <c r="CQ358" s="47"/>
      <c r="CR358" s="47">
        <f t="shared" si="270"/>
        <v>0</v>
      </c>
      <c r="CS358" s="47"/>
      <c r="CT358" s="47"/>
      <c r="CU358" s="47"/>
      <c r="CV358" s="47"/>
      <c r="CW358" s="47">
        <f t="shared" si="250"/>
        <v>0</v>
      </c>
      <c r="CX358" s="46"/>
      <c r="CY358" s="47">
        <f t="shared" si="251"/>
        <v>0</v>
      </c>
      <c r="CZ358" s="47"/>
      <c r="DA358" s="47"/>
      <c r="DB358" s="47"/>
      <c r="DC358" s="47"/>
      <c r="DD358" s="47">
        <f>+DB358*DC358</f>
        <v>0</v>
      </c>
      <c r="DE358" s="47"/>
      <c r="DF358" s="46">
        <f t="shared" si="256"/>
        <v>0</v>
      </c>
      <c r="DG358" s="47"/>
      <c r="DH358" s="46"/>
      <c r="DI358" s="47"/>
      <c r="DJ358" s="47"/>
      <c r="DK358" s="47"/>
      <c r="DL358" s="47"/>
      <c r="DM358" s="47"/>
      <c r="DN358" s="46">
        <f>7.5%*AQ358</f>
        <v>0</v>
      </c>
      <c r="DO358" s="47"/>
      <c r="DP358" s="46"/>
      <c r="DQ358" s="47"/>
      <c r="DR358" s="46"/>
      <c r="DS358" s="47"/>
      <c r="DT358" s="46"/>
      <c r="DU358" s="47"/>
      <c r="DV358" s="46"/>
      <c r="DW358" s="47"/>
      <c r="DX358" s="47">
        <f t="shared" si="265"/>
        <v>0</v>
      </c>
      <c r="DY358" s="47"/>
      <c r="DZ358" s="47"/>
      <c r="EA358" s="47"/>
      <c r="EB358" s="47"/>
      <c r="EC358" s="47"/>
      <c r="ED358" s="47"/>
      <c r="EE358" s="47">
        <f t="shared" si="264"/>
        <v>0</v>
      </c>
      <c r="EF358" s="47"/>
      <c r="EG358" s="47"/>
      <c r="EH358" s="47"/>
      <c r="EI358" s="47"/>
      <c r="EJ358" s="47"/>
      <c r="EK358" s="47">
        <f t="shared" si="242"/>
        <v>0</v>
      </c>
      <c r="EL358" s="46">
        <f t="shared" si="243"/>
        <v>0</v>
      </c>
      <c r="EM358" s="46"/>
      <c r="EN358" s="46">
        <f t="shared" si="244"/>
        <v>0</v>
      </c>
    </row>
    <row r="359" spans="1:144" s="48" customFormat="1" ht="15" customHeight="1" x14ac:dyDescent="0.25">
      <c r="A359" s="58"/>
      <c r="B359" s="41">
        <v>23</v>
      </c>
      <c r="C359" s="42"/>
      <c r="D359" s="59"/>
      <c r="E359" s="49"/>
      <c r="F359" s="49"/>
      <c r="G359" s="49"/>
      <c r="H359" s="49"/>
      <c r="I359" s="49"/>
      <c r="J359" s="49"/>
      <c r="K359" s="49"/>
      <c r="L359" s="49"/>
      <c r="M359" s="42"/>
      <c r="N359" s="41"/>
      <c r="O359" s="41"/>
      <c r="P359" s="42"/>
      <c r="Q359" s="45"/>
      <c r="R359" s="45"/>
      <c r="S359" s="42"/>
      <c r="T359" s="46"/>
      <c r="U359" s="46"/>
      <c r="V359" s="46"/>
      <c r="W359" s="46"/>
      <c r="X359" s="46"/>
      <c r="Y359" s="46"/>
      <c r="Z359" s="42"/>
      <c r="AA359" s="42"/>
      <c r="AB359" s="42"/>
      <c r="AC359" s="42"/>
      <c r="AD359" s="42"/>
      <c r="AE359" s="42"/>
      <c r="AF359" s="42"/>
      <c r="AG359" s="42"/>
      <c r="AH359" s="42"/>
      <c r="AI359" s="46"/>
      <c r="AJ359" s="42"/>
      <c r="AK359" s="42"/>
      <c r="AL359" s="42"/>
      <c r="AM359" s="42"/>
      <c r="AN359" s="90">
        <f t="shared" si="239"/>
        <v>0</v>
      </c>
      <c r="AO359" s="90">
        <f t="shared" si="240"/>
        <v>0</v>
      </c>
      <c r="AP359" s="42" t="s">
        <v>102</v>
      </c>
      <c r="AQ359" s="46"/>
      <c r="AR359" s="42"/>
      <c r="AS359" s="42"/>
      <c r="AT359" s="46"/>
      <c r="AU359" s="47">
        <f t="shared" si="267"/>
        <v>0</v>
      </c>
      <c r="AV359" s="47"/>
      <c r="AW359" s="64">
        <f>AQ359+AU359+AV359</f>
        <v>0</v>
      </c>
      <c r="AX359" s="47"/>
      <c r="AY359" s="90"/>
      <c r="AZ359" s="47"/>
      <c r="BA359" s="47"/>
      <c r="BB359" s="47"/>
      <c r="BC359" s="47">
        <f t="shared" si="266"/>
        <v>0</v>
      </c>
      <c r="BD359" s="47"/>
      <c r="BE359" s="47">
        <f t="shared" si="268"/>
        <v>0</v>
      </c>
      <c r="BF359" s="47"/>
      <c r="BG359" s="47"/>
      <c r="BH359" s="47"/>
      <c r="BI359" s="47"/>
      <c r="BJ359" s="47"/>
      <c r="BK359" s="46">
        <f>BI359*BJ359</f>
        <v>0</v>
      </c>
      <c r="BL359" s="47"/>
      <c r="BM359" s="64">
        <f>+BG359+BH359+BK359+BL359</f>
        <v>0</v>
      </c>
      <c r="BN359" s="47"/>
      <c r="BO359" s="47"/>
      <c r="BP359" s="47"/>
      <c r="BQ359" s="47"/>
      <c r="BR359" s="47"/>
      <c r="BS359" s="47"/>
      <c r="BT359" s="47"/>
      <c r="BU359" s="47">
        <f>+BO359+BP359+BS359+BT359</f>
        <v>0</v>
      </c>
      <c r="BV359" s="47"/>
      <c r="BW359" s="47"/>
      <c r="BX359" s="47"/>
      <c r="BY359" s="47"/>
      <c r="BZ359" s="47"/>
      <c r="CA359" s="47"/>
      <c r="CB359" s="47"/>
      <c r="CC359" s="47">
        <f>+BW359+BX359+CA359+CB359</f>
        <v>0</v>
      </c>
      <c r="CD359" s="47"/>
      <c r="CE359" s="47"/>
      <c r="CF359" s="47"/>
      <c r="CG359" s="47"/>
      <c r="CH359" s="47"/>
      <c r="CI359" s="47"/>
      <c r="CJ359" s="47"/>
      <c r="CK359" s="47">
        <f>+CE359+CF359+CI359+CJ359</f>
        <v>0</v>
      </c>
      <c r="CL359" s="47"/>
      <c r="CM359" s="47"/>
      <c r="CN359" s="47"/>
      <c r="CO359" s="47"/>
      <c r="CP359" s="46">
        <f t="shared" si="254"/>
        <v>0</v>
      </c>
      <c r="CQ359" s="47"/>
      <c r="CR359" s="64">
        <f t="shared" si="270"/>
        <v>0</v>
      </c>
      <c r="CS359" s="47"/>
      <c r="CT359" s="47"/>
      <c r="CU359" s="47"/>
      <c r="CV359" s="47"/>
      <c r="CW359" s="47">
        <f t="shared" si="250"/>
        <v>0</v>
      </c>
      <c r="CX359" s="46"/>
      <c r="CY359" s="47">
        <f t="shared" si="251"/>
        <v>0</v>
      </c>
      <c r="CZ359" s="47"/>
      <c r="DA359" s="47"/>
      <c r="DB359" s="47"/>
      <c r="DC359" s="47"/>
      <c r="DD359" s="47">
        <f>+DB359*DC359</f>
        <v>0</v>
      </c>
      <c r="DE359" s="47"/>
      <c r="DF359" s="46">
        <f t="shared" si="256"/>
        <v>0</v>
      </c>
      <c r="DG359" s="47"/>
      <c r="DH359" s="46"/>
      <c r="DI359" s="47"/>
      <c r="DJ359" s="47"/>
      <c r="DK359" s="64">
        <f>DI359*DJ359</f>
        <v>0</v>
      </c>
      <c r="DL359" s="60">
        <f>+DH359+DK359</f>
        <v>0</v>
      </c>
      <c r="DM359" s="94"/>
      <c r="DN359" s="46"/>
      <c r="DO359" s="47"/>
      <c r="DP359" s="90">
        <f>DN359</f>
        <v>0</v>
      </c>
      <c r="DQ359" s="47"/>
      <c r="DR359" s="90">
        <f>DP359</f>
        <v>0</v>
      </c>
      <c r="DS359" s="47"/>
      <c r="DT359" s="90">
        <f>75%*DP359</f>
        <v>0</v>
      </c>
      <c r="DU359" s="47"/>
      <c r="DV359" s="46">
        <f>DT359/2</f>
        <v>0</v>
      </c>
      <c r="DW359" s="47"/>
      <c r="DX359" s="64">
        <f t="shared" si="265"/>
        <v>0</v>
      </c>
      <c r="DY359" s="91"/>
      <c r="DZ359" s="47"/>
      <c r="EA359" s="47"/>
      <c r="EB359" s="47"/>
      <c r="EC359" s="47"/>
      <c r="ED359" s="47"/>
      <c r="EE359" s="47">
        <f t="shared" si="264"/>
        <v>0</v>
      </c>
      <c r="EF359" s="47"/>
      <c r="EG359" s="47"/>
      <c r="EH359" s="47"/>
      <c r="EI359" s="91"/>
      <c r="EJ359" s="47"/>
      <c r="EK359" s="47">
        <f t="shared" si="242"/>
        <v>0</v>
      </c>
      <c r="EL359" s="46">
        <f t="shared" si="243"/>
        <v>0</v>
      </c>
      <c r="EM359" s="46"/>
      <c r="EN359" s="46">
        <f t="shared" si="244"/>
        <v>0</v>
      </c>
    </row>
    <row r="360" spans="1:144" s="48" customFormat="1" ht="15" customHeight="1" x14ac:dyDescent="0.25">
      <c r="A360" s="58"/>
      <c r="B360" s="41">
        <v>27</v>
      </c>
      <c r="C360" s="49"/>
      <c r="D360" s="53"/>
      <c r="E360" s="52"/>
      <c r="F360" s="52"/>
      <c r="G360" s="52"/>
      <c r="H360" s="52"/>
      <c r="I360" s="52"/>
      <c r="J360" s="52"/>
      <c r="K360" s="52"/>
      <c r="L360" s="49"/>
      <c r="M360" s="42"/>
      <c r="N360" s="41"/>
      <c r="O360" s="41"/>
      <c r="P360" s="42"/>
      <c r="Q360" s="45"/>
      <c r="R360" s="45"/>
      <c r="S360" s="42"/>
      <c r="T360" s="46"/>
      <c r="U360" s="46"/>
      <c r="V360" s="46"/>
      <c r="W360" s="46"/>
      <c r="X360" s="46"/>
      <c r="Y360" s="46"/>
      <c r="Z360" s="42"/>
      <c r="AA360" s="42"/>
      <c r="AB360" s="42"/>
      <c r="AC360" s="42"/>
      <c r="AD360" s="42"/>
      <c r="AE360" s="42"/>
      <c r="AF360" s="42"/>
      <c r="AG360" s="42"/>
      <c r="AH360" s="42"/>
      <c r="AI360" s="46"/>
      <c r="AJ360" s="42"/>
      <c r="AK360" s="42"/>
      <c r="AL360" s="42"/>
      <c r="AM360" s="42"/>
      <c r="AN360" s="47">
        <f t="shared" si="239"/>
        <v>0</v>
      </c>
      <c r="AO360" s="47">
        <f t="shared" si="240"/>
        <v>0</v>
      </c>
      <c r="AP360" s="42" t="s">
        <v>102</v>
      </c>
      <c r="AQ360" s="61"/>
      <c r="AR360" s="42"/>
      <c r="AS360" s="42"/>
      <c r="AT360" s="46"/>
      <c r="AU360" s="47">
        <f t="shared" si="267"/>
        <v>0</v>
      </c>
      <c r="AV360" s="47"/>
      <c r="AW360" s="47">
        <f t="shared" ref="AW360:AW393" si="271">AQ360+AU360+AV360+AR360</f>
        <v>0</v>
      </c>
      <c r="AX360" s="47"/>
      <c r="AY360" s="47"/>
      <c r="AZ360" s="47"/>
      <c r="BA360" s="47"/>
      <c r="BB360" s="47"/>
      <c r="BC360" s="47">
        <f t="shared" si="266"/>
        <v>0</v>
      </c>
      <c r="BD360" s="47"/>
      <c r="BE360" s="47">
        <f t="shared" si="268"/>
        <v>0</v>
      </c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6">
        <f t="shared" si="254"/>
        <v>0</v>
      </c>
      <c r="CQ360" s="47"/>
      <c r="CR360" s="47">
        <f t="shared" si="270"/>
        <v>0</v>
      </c>
      <c r="CS360" s="47"/>
      <c r="CT360" s="47"/>
      <c r="CU360" s="47"/>
      <c r="CV360" s="47"/>
      <c r="CW360" s="47">
        <f t="shared" si="250"/>
        <v>0</v>
      </c>
      <c r="CX360" s="46"/>
      <c r="CY360" s="47">
        <f t="shared" si="251"/>
        <v>0</v>
      </c>
      <c r="CZ360" s="47"/>
      <c r="DA360" s="47"/>
      <c r="DB360" s="47"/>
      <c r="DC360" s="47"/>
      <c r="DD360" s="47"/>
      <c r="DE360" s="47"/>
      <c r="DF360" s="46">
        <f t="shared" si="256"/>
        <v>0</v>
      </c>
      <c r="DG360" s="47"/>
      <c r="DH360" s="46"/>
      <c r="DI360" s="47"/>
      <c r="DJ360" s="47"/>
      <c r="DK360" s="47"/>
      <c r="DL360" s="47"/>
      <c r="DM360" s="47"/>
      <c r="DN360" s="46">
        <f t="shared" ref="DN360:DN396" si="272">7.5%*AQ360</f>
        <v>0</v>
      </c>
      <c r="DO360" s="47"/>
      <c r="DP360" s="46"/>
      <c r="DQ360" s="47"/>
      <c r="DR360" s="46"/>
      <c r="DS360" s="47"/>
      <c r="DT360" s="46"/>
      <c r="DU360" s="47"/>
      <c r="DV360" s="46"/>
      <c r="DW360" s="47"/>
      <c r="DX360" s="47">
        <f t="shared" si="265"/>
        <v>0</v>
      </c>
      <c r="DY360" s="47"/>
      <c r="DZ360" s="47"/>
      <c r="EA360" s="47"/>
      <c r="EB360" s="47"/>
      <c r="EC360" s="47"/>
      <c r="ED360" s="47"/>
      <c r="EE360" s="47">
        <f t="shared" si="264"/>
        <v>0</v>
      </c>
      <c r="EF360" s="47"/>
      <c r="EG360" s="47"/>
      <c r="EH360" s="47"/>
      <c r="EI360" s="47"/>
      <c r="EJ360" s="47"/>
      <c r="EK360" s="47">
        <f t="shared" si="242"/>
        <v>0</v>
      </c>
      <c r="EL360" s="46">
        <f t="shared" si="243"/>
        <v>0</v>
      </c>
      <c r="EM360" s="46"/>
      <c r="EN360" s="46">
        <f t="shared" si="244"/>
        <v>0</v>
      </c>
    </row>
    <row r="361" spans="1:144" s="48" customFormat="1" ht="15" customHeight="1" x14ac:dyDescent="0.25">
      <c r="A361" s="58"/>
      <c r="B361" s="41">
        <v>28</v>
      </c>
      <c r="C361" s="49"/>
      <c r="D361" s="53"/>
      <c r="E361" s="52"/>
      <c r="F361" s="52"/>
      <c r="G361" s="52"/>
      <c r="H361" s="52"/>
      <c r="I361" s="52"/>
      <c r="J361" s="52"/>
      <c r="K361" s="52"/>
      <c r="L361" s="49"/>
      <c r="M361" s="42"/>
      <c r="N361" s="41"/>
      <c r="O361" s="41"/>
      <c r="P361" s="44"/>
      <c r="Q361" s="45"/>
      <c r="R361" s="45"/>
      <c r="S361" s="42"/>
      <c r="T361" s="46"/>
      <c r="U361" s="46"/>
      <c r="V361" s="46"/>
      <c r="W361" s="46"/>
      <c r="X361" s="46"/>
      <c r="Y361" s="46"/>
      <c r="Z361" s="42"/>
      <c r="AA361" s="42"/>
      <c r="AB361" s="42"/>
      <c r="AC361" s="42"/>
      <c r="AD361" s="42"/>
      <c r="AE361" s="42"/>
      <c r="AF361" s="42"/>
      <c r="AG361" s="42"/>
      <c r="AH361" s="42"/>
      <c r="AI361" s="46"/>
      <c r="AJ361" s="42"/>
      <c r="AK361" s="42"/>
      <c r="AL361" s="42"/>
      <c r="AM361" s="42"/>
      <c r="AN361" s="47">
        <f t="shared" si="239"/>
        <v>0</v>
      </c>
      <c r="AO361" s="47">
        <f t="shared" si="240"/>
        <v>0</v>
      </c>
      <c r="AP361" s="42" t="s">
        <v>102</v>
      </c>
      <c r="AQ361" s="61"/>
      <c r="AR361" s="42"/>
      <c r="AS361" s="42"/>
      <c r="AT361" s="46"/>
      <c r="AU361" s="47">
        <f t="shared" si="267"/>
        <v>0</v>
      </c>
      <c r="AV361" s="47"/>
      <c r="AW361" s="47">
        <f t="shared" si="271"/>
        <v>0</v>
      </c>
      <c r="AX361" s="47"/>
      <c r="AY361" s="47"/>
      <c r="AZ361" s="47"/>
      <c r="BA361" s="47"/>
      <c r="BB361" s="47"/>
      <c r="BC361" s="47">
        <f t="shared" si="266"/>
        <v>0</v>
      </c>
      <c r="BD361" s="47"/>
      <c r="BE361" s="47">
        <f t="shared" si="268"/>
        <v>0</v>
      </c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6">
        <f t="shared" si="254"/>
        <v>0</v>
      </c>
      <c r="CQ361" s="47"/>
      <c r="CR361" s="47">
        <f t="shared" si="270"/>
        <v>0</v>
      </c>
      <c r="CS361" s="47"/>
      <c r="CT361" s="47"/>
      <c r="CU361" s="47"/>
      <c r="CV361" s="47"/>
      <c r="CW361" s="47">
        <f t="shared" si="250"/>
        <v>0</v>
      </c>
      <c r="CX361" s="46"/>
      <c r="CY361" s="47">
        <f t="shared" si="251"/>
        <v>0</v>
      </c>
      <c r="CZ361" s="47"/>
      <c r="DA361" s="47"/>
      <c r="DB361" s="47"/>
      <c r="DC361" s="47"/>
      <c r="DD361" s="47"/>
      <c r="DE361" s="47"/>
      <c r="DF361" s="46">
        <f t="shared" si="256"/>
        <v>0</v>
      </c>
      <c r="DG361" s="47"/>
      <c r="DH361" s="46"/>
      <c r="DI361" s="47"/>
      <c r="DJ361" s="47"/>
      <c r="DK361" s="47"/>
      <c r="DL361" s="47"/>
      <c r="DM361" s="47"/>
      <c r="DN361" s="46">
        <f t="shared" si="272"/>
        <v>0</v>
      </c>
      <c r="DO361" s="47"/>
      <c r="DP361" s="46"/>
      <c r="DQ361" s="47"/>
      <c r="DR361" s="46"/>
      <c r="DS361" s="47"/>
      <c r="DT361" s="46"/>
      <c r="DU361" s="47"/>
      <c r="DV361" s="46"/>
      <c r="DW361" s="47"/>
      <c r="DX361" s="47">
        <f t="shared" si="265"/>
        <v>0</v>
      </c>
      <c r="DY361" s="47"/>
      <c r="DZ361" s="47"/>
      <c r="EA361" s="47"/>
      <c r="EB361" s="47"/>
      <c r="EC361" s="47"/>
      <c r="ED361" s="47"/>
      <c r="EE361" s="47">
        <f t="shared" si="264"/>
        <v>0</v>
      </c>
      <c r="EF361" s="47"/>
      <c r="EG361" s="47"/>
      <c r="EH361" s="47"/>
      <c r="EI361" s="47"/>
      <c r="EJ361" s="47"/>
      <c r="EK361" s="47">
        <f t="shared" si="242"/>
        <v>0</v>
      </c>
      <c r="EL361" s="46">
        <f t="shared" si="243"/>
        <v>0</v>
      </c>
      <c r="EM361" s="46"/>
      <c r="EN361" s="46">
        <f t="shared" si="244"/>
        <v>0</v>
      </c>
    </row>
    <row r="362" spans="1:144" s="48" customFormat="1" ht="15" customHeight="1" x14ac:dyDescent="0.25">
      <c r="A362" s="58"/>
      <c r="B362" s="41">
        <v>29</v>
      </c>
      <c r="C362" s="49"/>
      <c r="D362" s="53"/>
      <c r="E362" s="52"/>
      <c r="F362" s="52"/>
      <c r="G362" s="52"/>
      <c r="H362" s="52"/>
      <c r="I362" s="52"/>
      <c r="J362" s="52"/>
      <c r="K362" s="52"/>
      <c r="L362" s="49"/>
      <c r="M362" s="42"/>
      <c r="N362" s="41"/>
      <c r="O362" s="41"/>
      <c r="P362" s="42"/>
      <c r="Q362" s="45"/>
      <c r="R362" s="45"/>
      <c r="S362" s="42"/>
      <c r="T362" s="46"/>
      <c r="U362" s="46"/>
      <c r="V362" s="46"/>
      <c r="W362" s="46"/>
      <c r="X362" s="46"/>
      <c r="Y362" s="46"/>
      <c r="Z362" s="42"/>
      <c r="AA362" s="42"/>
      <c r="AB362" s="42"/>
      <c r="AC362" s="42"/>
      <c r="AD362" s="42"/>
      <c r="AE362" s="42"/>
      <c r="AF362" s="42"/>
      <c r="AG362" s="42"/>
      <c r="AH362" s="42"/>
      <c r="AI362" s="46"/>
      <c r="AJ362" s="42"/>
      <c r="AK362" s="42"/>
      <c r="AL362" s="42"/>
      <c r="AM362" s="42"/>
      <c r="AN362" s="47">
        <f t="shared" si="239"/>
        <v>0</v>
      </c>
      <c r="AO362" s="47">
        <f t="shared" si="240"/>
        <v>0</v>
      </c>
      <c r="AP362" s="42" t="s">
        <v>102</v>
      </c>
      <c r="AQ362" s="61"/>
      <c r="AR362" s="42"/>
      <c r="AS362" s="42"/>
      <c r="AT362" s="46"/>
      <c r="AU362" s="47">
        <f t="shared" si="267"/>
        <v>0</v>
      </c>
      <c r="AV362" s="47"/>
      <c r="AW362" s="47">
        <f t="shared" si="271"/>
        <v>0</v>
      </c>
      <c r="AX362" s="47"/>
      <c r="AY362" s="47"/>
      <c r="AZ362" s="47"/>
      <c r="BA362" s="47"/>
      <c r="BB362" s="47"/>
      <c r="BC362" s="47">
        <f t="shared" si="266"/>
        <v>0</v>
      </c>
      <c r="BD362" s="47"/>
      <c r="BE362" s="47">
        <f t="shared" si="268"/>
        <v>0</v>
      </c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6">
        <f t="shared" si="254"/>
        <v>0</v>
      </c>
      <c r="CQ362" s="47"/>
      <c r="CR362" s="47">
        <f t="shared" si="270"/>
        <v>0</v>
      </c>
      <c r="CS362" s="47"/>
      <c r="CT362" s="47"/>
      <c r="CU362" s="47"/>
      <c r="CV362" s="47"/>
      <c r="CW362" s="47">
        <f t="shared" si="250"/>
        <v>0</v>
      </c>
      <c r="CX362" s="46"/>
      <c r="CY362" s="47">
        <f t="shared" si="251"/>
        <v>0</v>
      </c>
      <c r="CZ362" s="47"/>
      <c r="DA362" s="47"/>
      <c r="DB362" s="47"/>
      <c r="DC362" s="47"/>
      <c r="DD362" s="47"/>
      <c r="DE362" s="47"/>
      <c r="DF362" s="46">
        <f t="shared" si="256"/>
        <v>0</v>
      </c>
      <c r="DG362" s="47"/>
      <c r="DH362" s="46"/>
      <c r="DI362" s="47"/>
      <c r="DJ362" s="47"/>
      <c r="DK362" s="47"/>
      <c r="DL362" s="47"/>
      <c r="DM362" s="47"/>
      <c r="DN362" s="46">
        <f t="shared" si="272"/>
        <v>0</v>
      </c>
      <c r="DO362" s="47"/>
      <c r="DP362" s="46"/>
      <c r="DQ362" s="47"/>
      <c r="DR362" s="46"/>
      <c r="DS362" s="47"/>
      <c r="DT362" s="46"/>
      <c r="DU362" s="47"/>
      <c r="DV362" s="46"/>
      <c r="DW362" s="47"/>
      <c r="DX362" s="47">
        <f t="shared" si="265"/>
        <v>0</v>
      </c>
      <c r="DY362" s="47"/>
      <c r="DZ362" s="47"/>
      <c r="EA362" s="47"/>
      <c r="EB362" s="47"/>
      <c r="EC362" s="47"/>
      <c r="ED362" s="47"/>
      <c r="EE362" s="47">
        <f t="shared" si="264"/>
        <v>0</v>
      </c>
      <c r="EF362" s="47"/>
      <c r="EG362" s="47"/>
      <c r="EH362" s="47"/>
      <c r="EI362" s="47"/>
      <c r="EJ362" s="47"/>
      <c r="EK362" s="47">
        <f t="shared" si="242"/>
        <v>0</v>
      </c>
      <c r="EL362" s="46">
        <f t="shared" si="243"/>
        <v>0</v>
      </c>
      <c r="EM362" s="46"/>
      <c r="EN362" s="46">
        <f t="shared" si="244"/>
        <v>0</v>
      </c>
    </row>
    <row r="363" spans="1:144" s="48" customFormat="1" ht="15" customHeight="1" x14ac:dyDescent="0.25">
      <c r="A363" s="58"/>
      <c r="B363" s="41">
        <v>30</v>
      </c>
      <c r="C363" s="49"/>
      <c r="D363" s="53"/>
      <c r="E363" s="52"/>
      <c r="F363" s="52"/>
      <c r="G363" s="52"/>
      <c r="H363" s="52"/>
      <c r="I363" s="52"/>
      <c r="J363" s="52"/>
      <c r="K363" s="52"/>
      <c r="L363" s="49"/>
      <c r="M363" s="42"/>
      <c r="N363" s="41"/>
      <c r="O363" s="41"/>
      <c r="P363" s="42"/>
      <c r="Q363" s="45"/>
      <c r="R363" s="45"/>
      <c r="S363" s="42"/>
      <c r="T363" s="46"/>
      <c r="U363" s="46"/>
      <c r="V363" s="46"/>
      <c r="W363" s="46"/>
      <c r="X363" s="46"/>
      <c r="Y363" s="46"/>
      <c r="Z363" s="42"/>
      <c r="AA363" s="42"/>
      <c r="AB363" s="42"/>
      <c r="AC363" s="42"/>
      <c r="AD363" s="42"/>
      <c r="AE363" s="42"/>
      <c r="AF363" s="42"/>
      <c r="AG363" s="42"/>
      <c r="AH363" s="42"/>
      <c r="AI363" s="46"/>
      <c r="AJ363" s="42"/>
      <c r="AK363" s="42"/>
      <c r="AL363" s="42"/>
      <c r="AM363" s="42"/>
      <c r="AN363" s="47">
        <f t="shared" si="239"/>
        <v>0</v>
      </c>
      <c r="AO363" s="47">
        <f t="shared" si="240"/>
        <v>0</v>
      </c>
      <c r="AP363" s="42" t="s">
        <v>102</v>
      </c>
      <c r="AQ363" s="61"/>
      <c r="AR363" s="42"/>
      <c r="AS363" s="42"/>
      <c r="AT363" s="46"/>
      <c r="AU363" s="47">
        <f t="shared" si="267"/>
        <v>0</v>
      </c>
      <c r="AV363" s="47"/>
      <c r="AW363" s="47">
        <f t="shared" si="271"/>
        <v>0</v>
      </c>
      <c r="AX363" s="47"/>
      <c r="AY363" s="47"/>
      <c r="AZ363" s="47"/>
      <c r="BA363" s="47"/>
      <c r="BB363" s="47"/>
      <c r="BC363" s="47">
        <f t="shared" si="266"/>
        <v>0</v>
      </c>
      <c r="BD363" s="47"/>
      <c r="BE363" s="47">
        <f t="shared" si="268"/>
        <v>0</v>
      </c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6"/>
      <c r="CQ363" s="47"/>
      <c r="CR363" s="47">
        <f t="shared" si="270"/>
        <v>0</v>
      </c>
      <c r="CS363" s="47"/>
      <c r="CT363" s="47"/>
      <c r="CU363" s="47"/>
      <c r="CV363" s="47"/>
      <c r="CW363" s="47">
        <f t="shared" si="250"/>
        <v>0</v>
      </c>
      <c r="CX363" s="46"/>
      <c r="CY363" s="47">
        <f t="shared" si="251"/>
        <v>0</v>
      </c>
      <c r="CZ363" s="47"/>
      <c r="DA363" s="47"/>
      <c r="DB363" s="47"/>
      <c r="DC363" s="47"/>
      <c r="DD363" s="47">
        <f>DB363*DC363</f>
        <v>0</v>
      </c>
      <c r="DE363" s="47"/>
      <c r="DF363" s="46">
        <f t="shared" si="256"/>
        <v>0</v>
      </c>
      <c r="DG363" s="47"/>
      <c r="DH363" s="46"/>
      <c r="DI363" s="47"/>
      <c r="DJ363" s="47"/>
      <c r="DK363" s="47"/>
      <c r="DL363" s="47"/>
      <c r="DM363" s="47"/>
      <c r="DN363" s="46">
        <f t="shared" si="272"/>
        <v>0</v>
      </c>
      <c r="DO363" s="47"/>
      <c r="DP363" s="46"/>
      <c r="DQ363" s="47"/>
      <c r="DR363" s="46"/>
      <c r="DS363" s="47"/>
      <c r="DT363" s="46"/>
      <c r="DU363" s="47"/>
      <c r="DV363" s="46"/>
      <c r="DW363" s="47"/>
      <c r="DX363" s="47">
        <f t="shared" si="265"/>
        <v>0</v>
      </c>
      <c r="DY363" s="47"/>
      <c r="DZ363" s="47"/>
      <c r="EA363" s="47"/>
      <c r="EB363" s="47"/>
      <c r="EC363" s="47"/>
      <c r="ED363" s="47"/>
      <c r="EE363" s="47">
        <f t="shared" si="264"/>
        <v>0</v>
      </c>
      <c r="EF363" s="47"/>
      <c r="EG363" s="47"/>
      <c r="EH363" s="47"/>
      <c r="EI363" s="47"/>
      <c r="EJ363" s="47"/>
      <c r="EK363" s="47">
        <f t="shared" si="242"/>
        <v>0</v>
      </c>
      <c r="EL363" s="46">
        <f t="shared" si="243"/>
        <v>0</v>
      </c>
      <c r="EM363" s="46"/>
      <c r="EN363" s="46">
        <f t="shared" si="244"/>
        <v>0</v>
      </c>
    </row>
    <row r="364" spans="1:144" s="48" customFormat="1" ht="15" customHeight="1" x14ac:dyDescent="0.25">
      <c r="A364" s="58"/>
      <c r="B364" s="41">
        <v>33</v>
      </c>
      <c r="C364" s="49"/>
      <c r="D364" s="53"/>
      <c r="E364" s="52"/>
      <c r="F364" s="52"/>
      <c r="G364" s="52"/>
      <c r="H364" s="52"/>
      <c r="I364" s="52"/>
      <c r="J364" s="52"/>
      <c r="K364" s="52"/>
      <c r="L364" s="49"/>
      <c r="M364" s="42"/>
      <c r="N364" s="41"/>
      <c r="O364" s="41"/>
      <c r="P364" s="42"/>
      <c r="Q364" s="45"/>
      <c r="R364" s="45"/>
      <c r="S364" s="42"/>
      <c r="T364" s="46"/>
      <c r="U364" s="46"/>
      <c r="V364" s="46"/>
      <c r="W364" s="46"/>
      <c r="X364" s="46"/>
      <c r="Y364" s="46"/>
      <c r="Z364" s="42"/>
      <c r="AA364" s="42"/>
      <c r="AB364" s="42"/>
      <c r="AC364" s="42"/>
      <c r="AD364" s="42"/>
      <c r="AE364" s="42"/>
      <c r="AF364" s="42"/>
      <c r="AG364" s="42"/>
      <c r="AH364" s="42"/>
      <c r="AI364" s="46"/>
      <c r="AJ364" s="42"/>
      <c r="AK364" s="42"/>
      <c r="AL364" s="42"/>
      <c r="AM364" s="42"/>
      <c r="AN364" s="47">
        <f t="shared" si="239"/>
        <v>0</v>
      </c>
      <c r="AO364" s="47">
        <f t="shared" si="240"/>
        <v>0</v>
      </c>
      <c r="AP364" s="42" t="s">
        <v>102</v>
      </c>
      <c r="AQ364" s="61"/>
      <c r="AR364" s="42"/>
      <c r="AS364" s="42"/>
      <c r="AT364" s="46"/>
      <c r="AU364" s="47">
        <f t="shared" si="267"/>
        <v>0</v>
      </c>
      <c r="AV364" s="47"/>
      <c r="AW364" s="47">
        <f t="shared" si="271"/>
        <v>0</v>
      </c>
      <c r="AX364" s="47"/>
      <c r="AY364" s="47"/>
      <c r="AZ364" s="47"/>
      <c r="BA364" s="47"/>
      <c r="BB364" s="47"/>
      <c r="BC364" s="47">
        <f t="shared" si="266"/>
        <v>0</v>
      </c>
      <c r="BD364" s="47"/>
      <c r="BE364" s="47">
        <f t="shared" si="268"/>
        <v>0</v>
      </c>
      <c r="BF364" s="47"/>
      <c r="BG364" s="47"/>
      <c r="BH364" s="47"/>
      <c r="BI364" s="47"/>
      <c r="BJ364" s="47"/>
      <c r="BK364" s="47">
        <f t="shared" ref="BK364:BK381" si="273">+BI364*BJ364</f>
        <v>0</v>
      </c>
      <c r="BL364" s="47"/>
      <c r="BM364" s="47">
        <f t="shared" ref="BM364:BM404" si="274">+BG364+BH364+BK364+BL364</f>
        <v>0</v>
      </c>
      <c r="BN364" s="47"/>
      <c r="BO364" s="47"/>
      <c r="BP364" s="47"/>
      <c r="BQ364" s="47"/>
      <c r="BR364" s="47"/>
      <c r="BS364" s="47">
        <f t="shared" ref="BS364:BS381" si="275">+BQ364*BR364</f>
        <v>0</v>
      </c>
      <c r="BT364" s="47"/>
      <c r="BU364" s="47">
        <f t="shared" ref="BU364:BU383" si="276">+BO364+BP364+BS364+BT364</f>
        <v>0</v>
      </c>
      <c r="BV364" s="47"/>
      <c r="BW364" s="47"/>
      <c r="BX364" s="47"/>
      <c r="BY364" s="47"/>
      <c r="BZ364" s="47"/>
      <c r="CA364" s="47">
        <f t="shared" ref="CA364:CA381" si="277">+BY364*BZ364</f>
        <v>0</v>
      </c>
      <c r="CB364" s="47"/>
      <c r="CC364" s="47">
        <f t="shared" ref="CC364:CC383" si="278">+BW364+BX364+CA364+CB364</f>
        <v>0</v>
      </c>
      <c r="CD364" s="47"/>
      <c r="CE364" s="47"/>
      <c r="CF364" s="47"/>
      <c r="CG364" s="47"/>
      <c r="CH364" s="47"/>
      <c r="CI364" s="47">
        <f t="shared" ref="CI364:CI381" si="279">+CG364*CH364</f>
        <v>0</v>
      </c>
      <c r="CJ364" s="47"/>
      <c r="CK364" s="47">
        <f t="shared" ref="CK364:CK383" si="280">+CE364+CF364+CI364+CJ364</f>
        <v>0</v>
      </c>
      <c r="CL364" s="47"/>
      <c r="CM364" s="47"/>
      <c r="CN364" s="47"/>
      <c r="CO364" s="47"/>
      <c r="CP364" s="46">
        <f t="shared" ref="CP364:CP388" si="281">CN364*CO364</f>
        <v>0</v>
      </c>
      <c r="CQ364" s="47"/>
      <c r="CR364" s="47">
        <f t="shared" si="270"/>
        <v>0</v>
      </c>
      <c r="CS364" s="47"/>
      <c r="CT364" s="47"/>
      <c r="CU364" s="47"/>
      <c r="CV364" s="47"/>
      <c r="CW364" s="47">
        <f t="shared" si="250"/>
        <v>0</v>
      </c>
      <c r="CX364" s="46"/>
      <c r="CY364" s="47">
        <f t="shared" si="251"/>
        <v>0</v>
      </c>
      <c r="CZ364" s="47"/>
      <c r="DA364" s="47"/>
      <c r="DB364" s="47"/>
      <c r="DC364" s="47"/>
      <c r="DD364" s="47">
        <f t="shared" ref="DD364:DD373" si="282">+DB364*DC364</f>
        <v>0</v>
      </c>
      <c r="DE364" s="47"/>
      <c r="DF364" s="46">
        <f t="shared" si="256"/>
        <v>0</v>
      </c>
      <c r="DG364" s="47"/>
      <c r="DH364" s="46"/>
      <c r="DI364" s="47"/>
      <c r="DJ364" s="47"/>
      <c r="DK364" s="47"/>
      <c r="DL364" s="47"/>
      <c r="DM364" s="47"/>
      <c r="DN364" s="46">
        <f t="shared" si="272"/>
        <v>0</v>
      </c>
      <c r="DO364" s="47"/>
      <c r="DP364" s="46"/>
      <c r="DQ364" s="47"/>
      <c r="DR364" s="46"/>
      <c r="DS364" s="47"/>
      <c r="DT364" s="46"/>
      <c r="DU364" s="47"/>
      <c r="DV364" s="46"/>
      <c r="DW364" s="47"/>
      <c r="DX364" s="47">
        <f t="shared" si="265"/>
        <v>0</v>
      </c>
      <c r="DY364" s="47"/>
      <c r="DZ364" s="47"/>
      <c r="EA364" s="47"/>
      <c r="EB364" s="47"/>
      <c r="EC364" s="47"/>
      <c r="ED364" s="47"/>
      <c r="EE364" s="47">
        <f t="shared" si="264"/>
        <v>0</v>
      </c>
      <c r="EF364" s="47"/>
      <c r="EG364" s="47"/>
      <c r="EH364" s="47"/>
      <c r="EI364" s="47"/>
      <c r="EJ364" s="47"/>
      <c r="EK364" s="47">
        <f t="shared" si="242"/>
        <v>0</v>
      </c>
      <c r="EL364" s="46">
        <f t="shared" si="243"/>
        <v>0</v>
      </c>
      <c r="EM364" s="46"/>
      <c r="EN364" s="46">
        <f t="shared" si="244"/>
        <v>0</v>
      </c>
    </row>
    <row r="365" spans="1:144" s="48" customFormat="1" ht="15" customHeight="1" x14ac:dyDescent="0.25">
      <c r="A365" s="58"/>
      <c r="B365" s="41">
        <v>34</v>
      </c>
      <c r="C365" s="49"/>
      <c r="D365" s="53"/>
      <c r="E365" s="52"/>
      <c r="F365" s="52"/>
      <c r="G365" s="52"/>
      <c r="H365" s="52"/>
      <c r="I365" s="52"/>
      <c r="J365" s="52"/>
      <c r="K365" s="52"/>
      <c r="L365" s="49"/>
      <c r="M365" s="42"/>
      <c r="N365" s="41"/>
      <c r="O365" s="41"/>
      <c r="P365" s="42"/>
      <c r="Q365" s="45"/>
      <c r="R365" s="45"/>
      <c r="S365" s="42"/>
      <c r="T365" s="46"/>
      <c r="U365" s="46"/>
      <c r="V365" s="46"/>
      <c r="W365" s="46"/>
      <c r="X365" s="46"/>
      <c r="Y365" s="46"/>
      <c r="Z365" s="42"/>
      <c r="AA365" s="42"/>
      <c r="AB365" s="42"/>
      <c r="AC365" s="42"/>
      <c r="AD365" s="42"/>
      <c r="AE365" s="42"/>
      <c r="AF365" s="42"/>
      <c r="AG365" s="42"/>
      <c r="AH365" s="42"/>
      <c r="AI365" s="46"/>
      <c r="AJ365" s="42"/>
      <c r="AK365" s="42"/>
      <c r="AL365" s="42"/>
      <c r="AM365" s="42"/>
      <c r="AN365" s="47">
        <f t="shared" si="239"/>
        <v>0</v>
      </c>
      <c r="AO365" s="47">
        <f t="shared" si="240"/>
        <v>0</v>
      </c>
      <c r="AP365" s="42" t="s">
        <v>102</v>
      </c>
      <c r="AQ365" s="61"/>
      <c r="AR365" s="42"/>
      <c r="AS365" s="42"/>
      <c r="AT365" s="46"/>
      <c r="AU365" s="47">
        <f t="shared" si="267"/>
        <v>0</v>
      </c>
      <c r="AV365" s="47"/>
      <c r="AW365" s="47">
        <f t="shared" si="271"/>
        <v>0</v>
      </c>
      <c r="AX365" s="47"/>
      <c r="AY365" s="47"/>
      <c r="AZ365" s="47"/>
      <c r="BA365" s="47"/>
      <c r="BB365" s="47"/>
      <c r="BC365" s="47">
        <f t="shared" si="266"/>
        <v>0</v>
      </c>
      <c r="BD365" s="47"/>
      <c r="BE365" s="47">
        <f t="shared" si="268"/>
        <v>0</v>
      </c>
      <c r="BF365" s="47"/>
      <c r="BG365" s="47"/>
      <c r="BH365" s="47"/>
      <c r="BI365" s="47"/>
      <c r="BJ365" s="47"/>
      <c r="BK365" s="47">
        <f t="shared" si="273"/>
        <v>0</v>
      </c>
      <c r="BL365" s="47"/>
      <c r="BM365" s="47">
        <f t="shared" si="274"/>
        <v>0</v>
      </c>
      <c r="BN365" s="47"/>
      <c r="BO365" s="47"/>
      <c r="BP365" s="47"/>
      <c r="BQ365" s="47"/>
      <c r="BR365" s="47"/>
      <c r="BS365" s="47">
        <f t="shared" si="275"/>
        <v>0</v>
      </c>
      <c r="BT365" s="47"/>
      <c r="BU365" s="47">
        <f t="shared" si="276"/>
        <v>0</v>
      </c>
      <c r="BV365" s="47"/>
      <c r="BW365" s="47"/>
      <c r="BX365" s="47"/>
      <c r="BY365" s="47"/>
      <c r="BZ365" s="47"/>
      <c r="CA365" s="47">
        <f t="shared" si="277"/>
        <v>0</v>
      </c>
      <c r="CB365" s="47"/>
      <c r="CC365" s="47">
        <f t="shared" si="278"/>
        <v>0</v>
      </c>
      <c r="CD365" s="47"/>
      <c r="CE365" s="47"/>
      <c r="CF365" s="47"/>
      <c r="CG365" s="47"/>
      <c r="CH365" s="47"/>
      <c r="CI365" s="47">
        <f t="shared" si="279"/>
        <v>0</v>
      </c>
      <c r="CJ365" s="47"/>
      <c r="CK365" s="47">
        <f t="shared" si="280"/>
        <v>0</v>
      </c>
      <c r="CL365" s="47"/>
      <c r="CM365" s="47"/>
      <c r="CN365" s="47"/>
      <c r="CO365" s="47"/>
      <c r="CP365" s="46">
        <f t="shared" si="281"/>
        <v>0</v>
      </c>
      <c r="CQ365" s="47"/>
      <c r="CR365" s="47">
        <f t="shared" si="270"/>
        <v>0</v>
      </c>
      <c r="CS365" s="47"/>
      <c r="CT365" s="47"/>
      <c r="CU365" s="47"/>
      <c r="CV365" s="47"/>
      <c r="CW365" s="47">
        <f t="shared" si="250"/>
        <v>0</v>
      </c>
      <c r="CX365" s="46"/>
      <c r="CY365" s="47">
        <f t="shared" si="251"/>
        <v>0</v>
      </c>
      <c r="CZ365" s="47"/>
      <c r="DA365" s="47"/>
      <c r="DB365" s="47"/>
      <c r="DC365" s="47"/>
      <c r="DD365" s="47">
        <f t="shared" si="282"/>
        <v>0</v>
      </c>
      <c r="DE365" s="47"/>
      <c r="DF365" s="46">
        <f t="shared" si="256"/>
        <v>0</v>
      </c>
      <c r="DG365" s="47"/>
      <c r="DH365" s="46"/>
      <c r="DI365" s="47"/>
      <c r="DJ365" s="47"/>
      <c r="DK365" s="47"/>
      <c r="DL365" s="47"/>
      <c r="DM365" s="47"/>
      <c r="DN365" s="46">
        <f t="shared" si="272"/>
        <v>0</v>
      </c>
      <c r="DO365" s="47"/>
      <c r="DP365" s="46"/>
      <c r="DQ365" s="47"/>
      <c r="DR365" s="46"/>
      <c r="DS365" s="47"/>
      <c r="DT365" s="46"/>
      <c r="DU365" s="47"/>
      <c r="DV365" s="46"/>
      <c r="DW365" s="47"/>
      <c r="DX365" s="47">
        <f t="shared" si="265"/>
        <v>0</v>
      </c>
      <c r="DY365" s="47"/>
      <c r="DZ365" s="47"/>
      <c r="EA365" s="47"/>
      <c r="EB365" s="47"/>
      <c r="EC365" s="47"/>
      <c r="ED365" s="47"/>
      <c r="EE365" s="47">
        <f t="shared" si="264"/>
        <v>0</v>
      </c>
      <c r="EF365" s="47"/>
      <c r="EG365" s="47"/>
      <c r="EH365" s="47"/>
      <c r="EI365" s="47"/>
      <c r="EJ365" s="47"/>
      <c r="EK365" s="47">
        <f t="shared" si="242"/>
        <v>0</v>
      </c>
      <c r="EL365" s="46">
        <f t="shared" si="243"/>
        <v>0</v>
      </c>
      <c r="EM365" s="46"/>
      <c r="EN365" s="46">
        <f t="shared" si="244"/>
        <v>0</v>
      </c>
    </row>
    <row r="366" spans="1:144" s="48" customFormat="1" ht="15" customHeight="1" x14ac:dyDescent="0.25">
      <c r="A366" s="58"/>
      <c r="B366" s="41">
        <v>35</v>
      </c>
      <c r="C366" s="49"/>
      <c r="D366" s="53"/>
      <c r="E366" s="52"/>
      <c r="F366" s="52"/>
      <c r="G366" s="52"/>
      <c r="H366" s="52"/>
      <c r="I366" s="52"/>
      <c r="J366" s="52"/>
      <c r="K366" s="52"/>
      <c r="L366" s="49"/>
      <c r="M366" s="42"/>
      <c r="N366" s="41"/>
      <c r="O366" s="41"/>
      <c r="P366" s="42"/>
      <c r="Q366" s="45"/>
      <c r="R366" s="45"/>
      <c r="S366" s="42"/>
      <c r="T366" s="46"/>
      <c r="U366" s="46"/>
      <c r="V366" s="46"/>
      <c r="W366" s="46"/>
      <c r="X366" s="46"/>
      <c r="Y366" s="46"/>
      <c r="Z366" s="42"/>
      <c r="AA366" s="42"/>
      <c r="AB366" s="42"/>
      <c r="AC366" s="42"/>
      <c r="AD366" s="42"/>
      <c r="AE366" s="42"/>
      <c r="AF366" s="42"/>
      <c r="AG366" s="42"/>
      <c r="AH366" s="42"/>
      <c r="AI366" s="46"/>
      <c r="AJ366" s="42"/>
      <c r="AK366" s="42"/>
      <c r="AL366" s="42"/>
      <c r="AM366" s="42"/>
      <c r="AN366" s="47">
        <f t="shared" si="239"/>
        <v>0</v>
      </c>
      <c r="AO366" s="47">
        <f t="shared" si="240"/>
        <v>0</v>
      </c>
      <c r="AP366" s="42" t="s">
        <v>102</v>
      </c>
      <c r="AQ366" s="61"/>
      <c r="AR366" s="42"/>
      <c r="AS366" s="42"/>
      <c r="AT366" s="46"/>
      <c r="AU366" s="47">
        <f t="shared" si="267"/>
        <v>0</v>
      </c>
      <c r="AV366" s="47"/>
      <c r="AW366" s="47">
        <f t="shared" si="271"/>
        <v>0</v>
      </c>
      <c r="AX366" s="47"/>
      <c r="AY366" s="47"/>
      <c r="AZ366" s="47"/>
      <c r="BA366" s="47"/>
      <c r="BB366" s="47"/>
      <c r="BC366" s="47">
        <f t="shared" si="266"/>
        <v>0</v>
      </c>
      <c r="BD366" s="47"/>
      <c r="BE366" s="47">
        <f t="shared" si="268"/>
        <v>0</v>
      </c>
      <c r="BF366" s="47"/>
      <c r="BG366" s="47"/>
      <c r="BH366" s="47"/>
      <c r="BI366" s="47"/>
      <c r="BJ366" s="47"/>
      <c r="BK366" s="47">
        <f t="shared" si="273"/>
        <v>0</v>
      </c>
      <c r="BL366" s="47"/>
      <c r="BM366" s="47">
        <f t="shared" si="274"/>
        <v>0</v>
      </c>
      <c r="BN366" s="47"/>
      <c r="BO366" s="47"/>
      <c r="BP366" s="47"/>
      <c r="BQ366" s="47"/>
      <c r="BR366" s="47"/>
      <c r="BS366" s="47">
        <f t="shared" si="275"/>
        <v>0</v>
      </c>
      <c r="BT366" s="47"/>
      <c r="BU366" s="47">
        <f t="shared" si="276"/>
        <v>0</v>
      </c>
      <c r="BV366" s="47"/>
      <c r="BW366" s="47"/>
      <c r="BX366" s="47"/>
      <c r="BY366" s="47"/>
      <c r="BZ366" s="47"/>
      <c r="CA366" s="47">
        <f t="shared" si="277"/>
        <v>0</v>
      </c>
      <c r="CB366" s="47"/>
      <c r="CC366" s="47">
        <f t="shared" si="278"/>
        <v>0</v>
      </c>
      <c r="CD366" s="47"/>
      <c r="CE366" s="47"/>
      <c r="CF366" s="47"/>
      <c r="CG366" s="47"/>
      <c r="CH366" s="47"/>
      <c r="CI366" s="47">
        <f t="shared" si="279"/>
        <v>0</v>
      </c>
      <c r="CJ366" s="47"/>
      <c r="CK366" s="47">
        <f t="shared" si="280"/>
        <v>0</v>
      </c>
      <c r="CL366" s="47"/>
      <c r="CM366" s="47"/>
      <c r="CN366" s="47"/>
      <c r="CO366" s="47"/>
      <c r="CP366" s="46">
        <f t="shared" si="281"/>
        <v>0</v>
      </c>
      <c r="CQ366" s="47"/>
      <c r="CR366" s="47">
        <f t="shared" si="270"/>
        <v>0</v>
      </c>
      <c r="CS366" s="47"/>
      <c r="CT366" s="47"/>
      <c r="CU366" s="47"/>
      <c r="CV366" s="47"/>
      <c r="CW366" s="47">
        <f t="shared" si="250"/>
        <v>0</v>
      </c>
      <c r="CX366" s="46"/>
      <c r="CY366" s="47">
        <f t="shared" si="251"/>
        <v>0</v>
      </c>
      <c r="CZ366" s="47"/>
      <c r="DA366" s="47"/>
      <c r="DB366" s="47"/>
      <c r="DC366" s="47"/>
      <c r="DD366" s="47">
        <f t="shared" si="282"/>
        <v>0</v>
      </c>
      <c r="DE366" s="47"/>
      <c r="DF366" s="46">
        <f t="shared" si="256"/>
        <v>0</v>
      </c>
      <c r="DG366" s="47"/>
      <c r="DH366" s="46"/>
      <c r="DI366" s="47"/>
      <c r="DJ366" s="47"/>
      <c r="DK366" s="47"/>
      <c r="DL366" s="47"/>
      <c r="DM366" s="47"/>
      <c r="DN366" s="46">
        <f t="shared" si="272"/>
        <v>0</v>
      </c>
      <c r="DO366" s="47"/>
      <c r="DP366" s="46"/>
      <c r="DQ366" s="47"/>
      <c r="DR366" s="46"/>
      <c r="DS366" s="47"/>
      <c r="DT366" s="46"/>
      <c r="DU366" s="47"/>
      <c r="DV366" s="46"/>
      <c r="DW366" s="47"/>
      <c r="DX366" s="47">
        <f t="shared" si="265"/>
        <v>0</v>
      </c>
      <c r="DY366" s="47"/>
      <c r="DZ366" s="47"/>
      <c r="EA366" s="47"/>
      <c r="EB366" s="47"/>
      <c r="EC366" s="47"/>
      <c r="ED366" s="47"/>
      <c r="EE366" s="47">
        <f t="shared" si="264"/>
        <v>0</v>
      </c>
      <c r="EF366" s="47"/>
      <c r="EG366" s="47"/>
      <c r="EH366" s="47"/>
      <c r="EI366" s="47"/>
      <c r="EJ366" s="47"/>
      <c r="EK366" s="47">
        <f t="shared" si="242"/>
        <v>0</v>
      </c>
      <c r="EL366" s="46">
        <f t="shared" si="243"/>
        <v>0</v>
      </c>
      <c r="EM366" s="46"/>
      <c r="EN366" s="46">
        <f t="shared" si="244"/>
        <v>0</v>
      </c>
    </row>
    <row r="367" spans="1:144" s="48" customFormat="1" ht="15" customHeight="1" x14ac:dyDescent="0.25">
      <c r="A367" s="58"/>
      <c r="B367" s="41">
        <v>36</v>
      </c>
      <c r="C367" s="49"/>
      <c r="D367" s="53"/>
      <c r="E367" s="52"/>
      <c r="F367" s="52"/>
      <c r="G367" s="52"/>
      <c r="H367" s="52"/>
      <c r="I367" s="52"/>
      <c r="J367" s="52"/>
      <c r="K367" s="52"/>
      <c r="L367" s="49"/>
      <c r="M367" s="42"/>
      <c r="N367" s="41"/>
      <c r="O367" s="41"/>
      <c r="P367" s="42"/>
      <c r="Q367" s="45"/>
      <c r="R367" s="45"/>
      <c r="S367" s="42"/>
      <c r="T367" s="46"/>
      <c r="U367" s="46"/>
      <c r="V367" s="46"/>
      <c r="W367" s="46"/>
      <c r="X367" s="46"/>
      <c r="Y367" s="46"/>
      <c r="Z367" s="42"/>
      <c r="AA367" s="42"/>
      <c r="AB367" s="42"/>
      <c r="AC367" s="42"/>
      <c r="AD367" s="42"/>
      <c r="AE367" s="42"/>
      <c r="AF367" s="42"/>
      <c r="AG367" s="42"/>
      <c r="AH367" s="42"/>
      <c r="AI367" s="46"/>
      <c r="AJ367" s="42"/>
      <c r="AK367" s="42"/>
      <c r="AL367" s="42"/>
      <c r="AM367" s="42"/>
      <c r="AN367" s="47">
        <f t="shared" si="239"/>
        <v>0</v>
      </c>
      <c r="AO367" s="47">
        <f t="shared" si="240"/>
        <v>0</v>
      </c>
      <c r="AP367" s="42" t="s">
        <v>102</v>
      </c>
      <c r="AQ367" s="61"/>
      <c r="AR367" s="42"/>
      <c r="AS367" s="42"/>
      <c r="AT367" s="46"/>
      <c r="AU367" s="47">
        <f t="shared" si="267"/>
        <v>0</v>
      </c>
      <c r="AV367" s="47"/>
      <c r="AW367" s="47">
        <f t="shared" si="271"/>
        <v>0</v>
      </c>
      <c r="AX367" s="47"/>
      <c r="AY367" s="47"/>
      <c r="AZ367" s="47"/>
      <c r="BA367" s="47"/>
      <c r="BB367" s="47"/>
      <c r="BC367" s="47">
        <f t="shared" si="266"/>
        <v>0</v>
      </c>
      <c r="BD367" s="47"/>
      <c r="BE367" s="47">
        <f t="shared" si="268"/>
        <v>0</v>
      </c>
      <c r="BF367" s="47"/>
      <c r="BG367" s="47"/>
      <c r="BH367" s="47"/>
      <c r="BI367" s="47"/>
      <c r="BJ367" s="47"/>
      <c r="BK367" s="47">
        <f t="shared" si="273"/>
        <v>0</v>
      </c>
      <c r="BL367" s="47"/>
      <c r="BM367" s="47">
        <f t="shared" si="274"/>
        <v>0</v>
      </c>
      <c r="BN367" s="47"/>
      <c r="BO367" s="47"/>
      <c r="BP367" s="47"/>
      <c r="BQ367" s="47"/>
      <c r="BR367" s="47"/>
      <c r="BS367" s="47">
        <f t="shared" si="275"/>
        <v>0</v>
      </c>
      <c r="BT367" s="47"/>
      <c r="BU367" s="47">
        <f t="shared" si="276"/>
        <v>0</v>
      </c>
      <c r="BV367" s="47"/>
      <c r="BW367" s="47"/>
      <c r="BX367" s="47"/>
      <c r="BY367" s="47"/>
      <c r="BZ367" s="47"/>
      <c r="CA367" s="47">
        <f t="shared" si="277"/>
        <v>0</v>
      </c>
      <c r="CB367" s="47"/>
      <c r="CC367" s="47">
        <f t="shared" si="278"/>
        <v>0</v>
      </c>
      <c r="CD367" s="47"/>
      <c r="CE367" s="47"/>
      <c r="CF367" s="47"/>
      <c r="CG367" s="47"/>
      <c r="CH367" s="47"/>
      <c r="CI367" s="47">
        <f t="shared" si="279"/>
        <v>0</v>
      </c>
      <c r="CJ367" s="47"/>
      <c r="CK367" s="47">
        <f t="shared" si="280"/>
        <v>0</v>
      </c>
      <c r="CL367" s="47"/>
      <c r="CM367" s="47"/>
      <c r="CN367" s="47"/>
      <c r="CO367" s="47"/>
      <c r="CP367" s="46">
        <f t="shared" si="281"/>
        <v>0</v>
      </c>
      <c r="CQ367" s="47"/>
      <c r="CR367" s="47">
        <f t="shared" si="270"/>
        <v>0</v>
      </c>
      <c r="CS367" s="47"/>
      <c r="CT367" s="47"/>
      <c r="CU367" s="47"/>
      <c r="CV367" s="47"/>
      <c r="CW367" s="47">
        <f t="shared" si="250"/>
        <v>0</v>
      </c>
      <c r="CX367" s="46"/>
      <c r="CY367" s="47">
        <f t="shared" si="251"/>
        <v>0</v>
      </c>
      <c r="CZ367" s="47"/>
      <c r="DA367" s="47"/>
      <c r="DB367" s="47"/>
      <c r="DC367" s="47"/>
      <c r="DD367" s="47">
        <f t="shared" si="282"/>
        <v>0</v>
      </c>
      <c r="DE367" s="47"/>
      <c r="DF367" s="46">
        <f t="shared" si="256"/>
        <v>0</v>
      </c>
      <c r="DG367" s="47"/>
      <c r="DH367" s="46"/>
      <c r="DI367" s="47"/>
      <c r="DJ367" s="47"/>
      <c r="DK367" s="47"/>
      <c r="DL367" s="47"/>
      <c r="DM367" s="47"/>
      <c r="DN367" s="46">
        <f t="shared" si="272"/>
        <v>0</v>
      </c>
      <c r="DO367" s="47"/>
      <c r="DP367" s="46"/>
      <c r="DQ367" s="47"/>
      <c r="DR367" s="46"/>
      <c r="DS367" s="47"/>
      <c r="DT367" s="46"/>
      <c r="DU367" s="47"/>
      <c r="DV367" s="46"/>
      <c r="DW367" s="47"/>
      <c r="DX367" s="47">
        <f t="shared" si="265"/>
        <v>0</v>
      </c>
      <c r="DY367" s="47"/>
      <c r="DZ367" s="47"/>
      <c r="EA367" s="47"/>
      <c r="EB367" s="47"/>
      <c r="EC367" s="47"/>
      <c r="ED367" s="47"/>
      <c r="EE367" s="47">
        <f t="shared" si="264"/>
        <v>0</v>
      </c>
      <c r="EF367" s="47"/>
      <c r="EG367" s="47"/>
      <c r="EH367" s="47"/>
      <c r="EI367" s="47"/>
      <c r="EJ367" s="47"/>
      <c r="EK367" s="47">
        <f t="shared" si="242"/>
        <v>0</v>
      </c>
      <c r="EL367" s="46">
        <f t="shared" si="243"/>
        <v>0</v>
      </c>
      <c r="EM367" s="46"/>
      <c r="EN367" s="46">
        <f t="shared" si="244"/>
        <v>0</v>
      </c>
    </row>
    <row r="368" spans="1:144" s="48" customFormat="1" ht="15" customHeight="1" x14ac:dyDescent="0.25">
      <c r="A368" s="58"/>
      <c r="B368" s="41">
        <v>37</v>
      </c>
      <c r="C368" s="49"/>
      <c r="D368" s="53"/>
      <c r="E368" s="52"/>
      <c r="F368" s="52"/>
      <c r="G368" s="52"/>
      <c r="H368" s="52"/>
      <c r="I368" s="52"/>
      <c r="J368" s="52"/>
      <c r="K368" s="52"/>
      <c r="L368" s="49"/>
      <c r="M368" s="42"/>
      <c r="N368" s="41"/>
      <c r="O368" s="41"/>
      <c r="P368" s="42"/>
      <c r="Q368" s="45"/>
      <c r="R368" s="45"/>
      <c r="S368" s="42"/>
      <c r="T368" s="46"/>
      <c r="U368" s="46"/>
      <c r="V368" s="46"/>
      <c r="W368" s="46"/>
      <c r="X368" s="46"/>
      <c r="Y368" s="46"/>
      <c r="Z368" s="42"/>
      <c r="AA368" s="42"/>
      <c r="AB368" s="42"/>
      <c r="AC368" s="42"/>
      <c r="AD368" s="42"/>
      <c r="AE368" s="42"/>
      <c r="AF368" s="42"/>
      <c r="AG368" s="42"/>
      <c r="AH368" s="42"/>
      <c r="AI368" s="46"/>
      <c r="AJ368" s="42"/>
      <c r="AK368" s="42"/>
      <c r="AL368" s="42"/>
      <c r="AM368" s="42"/>
      <c r="AN368" s="47">
        <f t="shared" si="239"/>
        <v>0</v>
      </c>
      <c r="AO368" s="47">
        <f t="shared" si="240"/>
        <v>0</v>
      </c>
      <c r="AP368" s="42" t="s">
        <v>102</v>
      </c>
      <c r="AQ368" s="61"/>
      <c r="AR368" s="42"/>
      <c r="AS368" s="42"/>
      <c r="AT368" s="46"/>
      <c r="AU368" s="47">
        <f t="shared" si="267"/>
        <v>0</v>
      </c>
      <c r="AV368" s="47"/>
      <c r="AW368" s="47">
        <f t="shared" si="271"/>
        <v>0</v>
      </c>
      <c r="AX368" s="47"/>
      <c r="AY368" s="47"/>
      <c r="AZ368" s="47"/>
      <c r="BA368" s="47"/>
      <c r="BB368" s="47"/>
      <c r="BC368" s="47">
        <f t="shared" si="266"/>
        <v>0</v>
      </c>
      <c r="BD368" s="47"/>
      <c r="BE368" s="47">
        <f t="shared" si="268"/>
        <v>0</v>
      </c>
      <c r="BF368" s="47"/>
      <c r="BG368" s="47"/>
      <c r="BH368" s="47"/>
      <c r="BI368" s="47"/>
      <c r="BJ368" s="47"/>
      <c r="BK368" s="47">
        <f t="shared" si="273"/>
        <v>0</v>
      </c>
      <c r="BL368" s="47"/>
      <c r="BM368" s="47">
        <f t="shared" si="274"/>
        <v>0</v>
      </c>
      <c r="BN368" s="47"/>
      <c r="BO368" s="47"/>
      <c r="BP368" s="47"/>
      <c r="BQ368" s="47"/>
      <c r="BR368" s="47"/>
      <c r="BS368" s="47">
        <f t="shared" si="275"/>
        <v>0</v>
      </c>
      <c r="BT368" s="47"/>
      <c r="BU368" s="47">
        <f t="shared" si="276"/>
        <v>0</v>
      </c>
      <c r="BV368" s="47"/>
      <c r="BW368" s="47"/>
      <c r="BX368" s="47"/>
      <c r="BY368" s="47"/>
      <c r="BZ368" s="47"/>
      <c r="CA368" s="47">
        <f t="shared" si="277"/>
        <v>0</v>
      </c>
      <c r="CB368" s="47"/>
      <c r="CC368" s="47">
        <f t="shared" si="278"/>
        <v>0</v>
      </c>
      <c r="CD368" s="47"/>
      <c r="CE368" s="47"/>
      <c r="CF368" s="47"/>
      <c r="CG368" s="47"/>
      <c r="CH368" s="47"/>
      <c r="CI368" s="47">
        <f t="shared" si="279"/>
        <v>0</v>
      </c>
      <c r="CJ368" s="47"/>
      <c r="CK368" s="47">
        <f t="shared" si="280"/>
        <v>0</v>
      </c>
      <c r="CL368" s="47"/>
      <c r="CM368" s="47"/>
      <c r="CN368" s="47"/>
      <c r="CO368" s="47"/>
      <c r="CP368" s="46">
        <f t="shared" si="281"/>
        <v>0</v>
      </c>
      <c r="CQ368" s="47"/>
      <c r="CR368" s="47">
        <f t="shared" si="270"/>
        <v>0</v>
      </c>
      <c r="CS368" s="47"/>
      <c r="CT368" s="47"/>
      <c r="CU368" s="47"/>
      <c r="CV368" s="47"/>
      <c r="CW368" s="47">
        <f t="shared" si="250"/>
        <v>0</v>
      </c>
      <c r="CX368" s="46"/>
      <c r="CY368" s="47">
        <f t="shared" si="251"/>
        <v>0</v>
      </c>
      <c r="CZ368" s="47"/>
      <c r="DA368" s="47"/>
      <c r="DB368" s="47"/>
      <c r="DC368" s="47"/>
      <c r="DD368" s="47">
        <f t="shared" si="282"/>
        <v>0</v>
      </c>
      <c r="DE368" s="47"/>
      <c r="DF368" s="46">
        <f t="shared" si="256"/>
        <v>0</v>
      </c>
      <c r="DG368" s="47"/>
      <c r="DH368" s="46"/>
      <c r="DI368" s="47"/>
      <c r="DJ368" s="47"/>
      <c r="DK368" s="64"/>
      <c r="DL368" s="47"/>
      <c r="DM368" s="47"/>
      <c r="DN368" s="46">
        <f t="shared" si="272"/>
        <v>0</v>
      </c>
      <c r="DO368" s="47"/>
      <c r="DP368" s="46"/>
      <c r="DQ368" s="47"/>
      <c r="DR368" s="46"/>
      <c r="DS368" s="47"/>
      <c r="DT368" s="46"/>
      <c r="DU368" s="47"/>
      <c r="DV368" s="46"/>
      <c r="DW368" s="47"/>
      <c r="DX368" s="47">
        <f t="shared" si="265"/>
        <v>0</v>
      </c>
      <c r="DY368" s="47"/>
      <c r="DZ368" s="47"/>
      <c r="EA368" s="47"/>
      <c r="EB368" s="47"/>
      <c r="EC368" s="47"/>
      <c r="ED368" s="47"/>
      <c r="EE368" s="47">
        <f t="shared" si="264"/>
        <v>0</v>
      </c>
      <c r="EF368" s="47"/>
      <c r="EG368" s="47"/>
      <c r="EH368" s="47"/>
      <c r="EI368" s="47"/>
      <c r="EJ368" s="47"/>
      <c r="EK368" s="47">
        <f t="shared" si="242"/>
        <v>0</v>
      </c>
      <c r="EL368" s="46">
        <f t="shared" si="243"/>
        <v>0</v>
      </c>
      <c r="EM368" s="46">
        <v>105825</v>
      </c>
      <c r="EN368" s="46">
        <f t="shared" si="244"/>
        <v>105825</v>
      </c>
    </row>
    <row r="369" spans="1:144" s="48" customFormat="1" ht="15" customHeight="1" x14ac:dyDescent="0.25">
      <c r="A369" s="58"/>
      <c r="B369" s="41">
        <v>38</v>
      </c>
      <c r="C369" s="49"/>
      <c r="D369" s="53"/>
      <c r="E369" s="52"/>
      <c r="F369" s="52"/>
      <c r="G369" s="52"/>
      <c r="H369" s="52"/>
      <c r="I369" s="52"/>
      <c r="J369" s="52"/>
      <c r="K369" s="52"/>
      <c r="L369" s="49"/>
      <c r="M369" s="42"/>
      <c r="N369" s="41"/>
      <c r="O369" s="41"/>
      <c r="P369" s="42"/>
      <c r="Q369" s="45"/>
      <c r="R369" s="45"/>
      <c r="S369" s="42"/>
      <c r="T369" s="46"/>
      <c r="U369" s="46"/>
      <c r="V369" s="46"/>
      <c r="W369" s="46"/>
      <c r="X369" s="46"/>
      <c r="Y369" s="46"/>
      <c r="Z369" s="42"/>
      <c r="AA369" s="42"/>
      <c r="AB369" s="42"/>
      <c r="AC369" s="42"/>
      <c r="AD369" s="42"/>
      <c r="AE369" s="42"/>
      <c r="AF369" s="42"/>
      <c r="AG369" s="42"/>
      <c r="AH369" s="42"/>
      <c r="AI369" s="46"/>
      <c r="AJ369" s="42"/>
      <c r="AK369" s="42"/>
      <c r="AL369" s="42"/>
      <c r="AM369" s="42"/>
      <c r="AN369" s="47">
        <f t="shared" si="239"/>
        <v>0</v>
      </c>
      <c r="AO369" s="47">
        <f t="shared" si="240"/>
        <v>0</v>
      </c>
      <c r="AP369" s="42" t="s">
        <v>102</v>
      </c>
      <c r="AQ369" s="61"/>
      <c r="AR369" s="42"/>
      <c r="AS369" s="42"/>
      <c r="AT369" s="46"/>
      <c r="AU369" s="47">
        <f t="shared" si="267"/>
        <v>0</v>
      </c>
      <c r="AV369" s="47"/>
      <c r="AW369" s="47">
        <f t="shared" si="271"/>
        <v>0</v>
      </c>
      <c r="AX369" s="47"/>
      <c r="AY369" s="47"/>
      <c r="AZ369" s="47"/>
      <c r="BA369" s="47"/>
      <c r="BB369" s="47"/>
      <c r="BC369" s="47">
        <f t="shared" si="266"/>
        <v>0</v>
      </c>
      <c r="BD369" s="47"/>
      <c r="BE369" s="47">
        <f t="shared" si="268"/>
        <v>0</v>
      </c>
      <c r="BF369" s="47"/>
      <c r="BG369" s="47"/>
      <c r="BH369" s="47"/>
      <c r="BI369" s="47"/>
      <c r="BJ369" s="47"/>
      <c r="BK369" s="47">
        <f t="shared" si="273"/>
        <v>0</v>
      </c>
      <c r="BL369" s="47"/>
      <c r="BM369" s="47">
        <f t="shared" si="274"/>
        <v>0</v>
      </c>
      <c r="BN369" s="47"/>
      <c r="BO369" s="47"/>
      <c r="BP369" s="47"/>
      <c r="BQ369" s="47"/>
      <c r="BR369" s="47"/>
      <c r="BS369" s="47">
        <f t="shared" si="275"/>
        <v>0</v>
      </c>
      <c r="BT369" s="47"/>
      <c r="BU369" s="47">
        <f t="shared" si="276"/>
        <v>0</v>
      </c>
      <c r="BV369" s="47"/>
      <c r="BW369" s="47"/>
      <c r="BX369" s="47"/>
      <c r="BY369" s="47"/>
      <c r="BZ369" s="47"/>
      <c r="CA369" s="47">
        <f t="shared" si="277"/>
        <v>0</v>
      </c>
      <c r="CB369" s="47"/>
      <c r="CC369" s="47">
        <f t="shared" si="278"/>
        <v>0</v>
      </c>
      <c r="CD369" s="47"/>
      <c r="CE369" s="47"/>
      <c r="CF369" s="47"/>
      <c r="CG369" s="47"/>
      <c r="CH369" s="47"/>
      <c r="CI369" s="47">
        <f t="shared" si="279"/>
        <v>0</v>
      </c>
      <c r="CJ369" s="47"/>
      <c r="CK369" s="47">
        <f t="shared" si="280"/>
        <v>0</v>
      </c>
      <c r="CL369" s="47"/>
      <c r="CM369" s="47"/>
      <c r="CN369" s="47"/>
      <c r="CO369" s="47"/>
      <c r="CP369" s="46">
        <f t="shared" si="281"/>
        <v>0</v>
      </c>
      <c r="CQ369" s="47"/>
      <c r="CR369" s="47">
        <f t="shared" si="270"/>
        <v>0</v>
      </c>
      <c r="CS369" s="47"/>
      <c r="CT369" s="47"/>
      <c r="CU369" s="47"/>
      <c r="CV369" s="47"/>
      <c r="CW369" s="47">
        <f t="shared" si="250"/>
        <v>0</v>
      </c>
      <c r="CX369" s="46"/>
      <c r="CY369" s="47">
        <f t="shared" si="251"/>
        <v>0</v>
      </c>
      <c r="CZ369" s="47"/>
      <c r="DA369" s="47"/>
      <c r="DB369" s="47"/>
      <c r="DC369" s="47"/>
      <c r="DD369" s="47">
        <f t="shared" si="282"/>
        <v>0</v>
      </c>
      <c r="DE369" s="47"/>
      <c r="DF369" s="46">
        <f t="shared" si="256"/>
        <v>0</v>
      </c>
      <c r="DG369" s="47"/>
      <c r="DH369" s="46"/>
      <c r="DI369" s="47"/>
      <c r="DJ369" s="47"/>
      <c r="DK369" s="64"/>
      <c r="DL369" s="47"/>
      <c r="DM369" s="47"/>
      <c r="DN369" s="46">
        <f t="shared" si="272"/>
        <v>0</v>
      </c>
      <c r="DO369" s="47"/>
      <c r="DP369" s="46"/>
      <c r="DQ369" s="47"/>
      <c r="DR369" s="46"/>
      <c r="DS369" s="47"/>
      <c r="DT369" s="46"/>
      <c r="DU369" s="47"/>
      <c r="DV369" s="46"/>
      <c r="DW369" s="47"/>
      <c r="DX369" s="47">
        <f t="shared" si="265"/>
        <v>0</v>
      </c>
      <c r="DY369" s="47"/>
      <c r="DZ369" s="47"/>
      <c r="EA369" s="47"/>
      <c r="EB369" s="47"/>
      <c r="EC369" s="47"/>
      <c r="ED369" s="47"/>
      <c r="EE369" s="47">
        <f t="shared" si="264"/>
        <v>0</v>
      </c>
      <c r="EF369" s="47"/>
      <c r="EG369" s="47"/>
      <c r="EH369" s="47"/>
      <c r="EI369" s="47"/>
      <c r="EJ369" s="47"/>
      <c r="EK369" s="47">
        <f t="shared" si="242"/>
        <v>0</v>
      </c>
      <c r="EL369" s="46">
        <f t="shared" si="243"/>
        <v>0</v>
      </c>
      <c r="EM369" s="46"/>
      <c r="EN369" s="46">
        <f t="shared" si="244"/>
        <v>0</v>
      </c>
    </row>
    <row r="370" spans="1:144" s="48" customFormat="1" ht="15" customHeight="1" x14ac:dyDescent="0.25">
      <c r="A370" s="58"/>
      <c r="B370" s="41">
        <v>39</v>
      </c>
      <c r="C370" s="49"/>
      <c r="D370" s="53"/>
      <c r="E370" s="52"/>
      <c r="F370" s="52"/>
      <c r="G370" s="52"/>
      <c r="H370" s="52"/>
      <c r="I370" s="52"/>
      <c r="J370" s="52"/>
      <c r="K370" s="52"/>
      <c r="L370" s="49"/>
      <c r="M370" s="42"/>
      <c r="N370" s="41"/>
      <c r="O370" s="41"/>
      <c r="P370" s="42"/>
      <c r="Q370" s="45"/>
      <c r="R370" s="45"/>
      <c r="S370" s="42"/>
      <c r="T370" s="46"/>
      <c r="U370" s="46"/>
      <c r="V370" s="46"/>
      <c r="W370" s="46"/>
      <c r="X370" s="46"/>
      <c r="Y370" s="46"/>
      <c r="Z370" s="42"/>
      <c r="AA370" s="42"/>
      <c r="AB370" s="42"/>
      <c r="AC370" s="42"/>
      <c r="AD370" s="42"/>
      <c r="AE370" s="42"/>
      <c r="AF370" s="42"/>
      <c r="AG370" s="42"/>
      <c r="AH370" s="42"/>
      <c r="AI370" s="46"/>
      <c r="AJ370" s="42"/>
      <c r="AK370" s="42"/>
      <c r="AL370" s="42"/>
      <c r="AM370" s="42"/>
      <c r="AN370" s="47">
        <f t="shared" si="239"/>
        <v>0</v>
      </c>
      <c r="AO370" s="47">
        <f t="shared" si="240"/>
        <v>0</v>
      </c>
      <c r="AP370" s="42" t="s">
        <v>102</v>
      </c>
      <c r="AQ370" s="61"/>
      <c r="AR370" s="42"/>
      <c r="AS370" s="42"/>
      <c r="AT370" s="46"/>
      <c r="AU370" s="47">
        <f t="shared" si="267"/>
        <v>0</v>
      </c>
      <c r="AV370" s="47"/>
      <c r="AW370" s="47">
        <f t="shared" si="271"/>
        <v>0</v>
      </c>
      <c r="AX370" s="47"/>
      <c r="AY370" s="47"/>
      <c r="AZ370" s="47"/>
      <c r="BA370" s="47"/>
      <c r="BB370" s="47"/>
      <c r="BC370" s="47">
        <f t="shared" si="266"/>
        <v>0</v>
      </c>
      <c r="BD370" s="47"/>
      <c r="BE370" s="47">
        <f t="shared" si="268"/>
        <v>0</v>
      </c>
      <c r="BF370" s="47"/>
      <c r="BG370" s="47"/>
      <c r="BH370" s="47"/>
      <c r="BI370" s="47"/>
      <c r="BJ370" s="47"/>
      <c r="BK370" s="47">
        <f t="shared" si="273"/>
        <v>0</v>
      </c>
      <c r="BL370" s="47"/>
      <c r="BM370" s="47">
        <f t="shared" si="274"/>
        <v>0</v>
      </c>
      <c r="BN370" s="47"/>
      <c r="BO370" s="47"/>
      <c r="BP370" s="47"/>
      <c r="BQ370" s="47"/>
      <c r="BR370" s="47"/>
      <c r="BS370" s="47">
        <f t="shared" si="275"/>
        <v>0</v>
      </c>
      <c r="BT370" s="47"/>
      <c r="BU370" s="47">
        <f t="shared" si="276"/>
        <v>0</v>
      </c>
      <c r="BV370" s="47"/>
      <c r="BW370" s="47"/>
      <c r="BX370" s="47"/>
      <c r="BY370" s="47"/>
      <c r="BZ370" s="47"/>
      <c r="CA370" s="47">
        <f t="shared" si="277"/>
        <v>0</v>
      </c>
      <c r="CB370" s="47"/>
      <c r="CC370" s="47">
        <f t="shared" si="278"/>
        <v>0</v>
      </c>
      <c r="CD370" s="47"/>
      <c r="CE370" s="47"/>
      <c r="CF370" s="47"/>
      <c r="CG370" s="47"/>
      <c r="CH370" s="47"/>
      <c r="CI370" s="47">
        <f t="shared" si="279"/>
        <v>0</v>
      </c>
      <c r="CJ370" s="47"/>
      <c r="CK370" s="47">
        <f t="shared" si="280"/>
        <v>0</v>
      </c>
      <c r="CL370" s="47"/>
      <c r="CM370" s="47"/>
      <c r="CN370" s="47"/>
      <c r="CO370" s="47"/>
      <c r="CP370" s="46">
        <f t="shared" si="281"/>
        <v>0</v>
      </c>
      <c r="CQ370" s="47"/>
      <c r="CR370" s="47">
        <f t="shared" si="270"/>
        <v>0</v>
      </c>
      <c r="CS370" s="47"/>
      <c r="CT370" s="47"/>
      <c r="CU370" s="47"/>
      <c r="CV370" s="47"/>
      <c r="CW370" s="47">
        <f t="shared" si="250"/>
        <v>0</v>
      </c>
      <c r="CX370" s="46"/>
      <c r="CY370" s="47">
        <f t="shared" si="251"/>
        <v>0</v>
      </c>
      <c r="CZ370" s="47"/>
      <c r="DA370" s="47"/>
      <c r="DB370" s="47"/>
      <c r="DC370" s="47"/>
      <c r="DD370" s="47">
        <f t="shared" si="282"/>
        <v>0</v>
      </c>
      <c r="DE370" s="47"/>
      <c r="DF370" s="46">
        <f t="shared" si="256"/>
        <v>0</v>
      </c>
      <c r="DG370" s="47"/>
      <c r="DH370" s="46"/>
      <c r="DI370" s="47"/>
      <c r="DJ370" s="47"/>
      <c r="DK370" s="64"/>
      <c r="DL370" s="47"/>
      <c r="DM370" s="47"/>
      <c r="DN370" s="46">
        <f t="shared" si="272"/>
        <v>0</v>
      </c>
      <c r="DO370" s="47"/>
      <c r="DP370" s="46"/>
      <c r="DQ370" s="47"/>
      <c r="DR370" s="46"/>
      <c r="DS370" s="47"/>
      <c r="DT370" s="46"/>
      <c r="DU370" s="47"/>
      <c r="DV370" s="46"/>
      <c r="DW370" s="47"/>
      <c r="DX370" s="47">
        <f t="shared" si="265"/>
        <v>0</v>
      </c>
      <c r="DY370" s="47"/>
      <c r="DZ370" s="47"/>
      <c r="EA370" s="47"/>
      <c r="EB370" s="47"/>
      <c r="EC370" s="47"/>
      <c r="ED370" s="47"/>
      <c r="EE370" s="47">
        <f t="shared" si="264"/>
        <v>0</v>
      </c>
      <c r="EF370" s="47"/>
      <c r="EG370" s="47"/>
      <c r="EH370" s="47"/>
      <c r="EI370" s="47"/>
      <c r="EJ370" s="47"/>
      <c r="EK370" s="47">
        <f t="shared" si="242"/>
        <v>0</v>
      </c>
      <c r="EL370" s="46">
        <f t="shared" si="243"/>
        <v>0</v>
      </c>
      <c r="EM370" s="46"/>
      <c r="EN370" s="46">
        <f t="shared" si="244"/>
        <v>0</v>
      </c>
    </row>
    <row r="371" spans="1:144" s="48" customFormat="1" ht="15" customHeight="1" x14ac:dyDescent="0.25">
      <c r="A371" s="58"/>
      <c r="B371" s="41">
        <v>40</v>
      </c>
      <c r="C371" s="49"/>
      <c r="D371" s="53"/>
      <c r="E371" s="52"/>
      <c r="F371" s="52"/>
      <c r="G371" s="52"/>
      <c r="H371" s="52"/>
      <c r="I371" s="52"/>
      <c r="J371" s="52"/>
      <c r="K371" s="52"/>
      <c r="L371" s="49"/>
      <c r="M371" s="42"/>
      <c r="N371" s="41"/>
      <c r="O371" s="41"/>
      <c r="P371" s="42"/>
      <c r="Q371" s="45"/>
      <c r="R371" s="45"/>
      <c r="S371" s="42"/>
      <c r="T371" s="46"/>
      <c r="U371" s="46"/>
      <c r="V371" s="46"/>
      <c r="W371" s="46"/>
      <c r="X371" s="46"/>
      <c r="Y371" s="46"/>
      <c r="Z371" s="42"/>
      <c r="AA371" s="42"/>
      <c r="AB371" s="42"/>
      <c r="AC371" s="42"/>
      <c r="AD371" s="42"/>
      <c r="AE371" s="42"/>
      <c r="AF371" s="42"/>
      <c r="AG371" s="42"/>
      <c r="AH371" s="42"/>
      <c r="AI371" s="46"/>
      <c r="AJ371" s="42"/>
      <c r="AK371" s="42"/>
      <c r="AL371" s="42"/>
      <c r="AM371" s="42"/>
      <c r="AN371" s="47">
        <f t="shared" si="239"/>
        <v>0</v>
      </c>
      <c r="AO371" s="47">
        <f t="shared" si="240"/>
        <v>0</v>
      </c>
      <c r="AP371" s="42" t="s">
        <v>102</v>
      </c>
      <c r="AQ371" s="61"/>
      <c r="AR371" s="42"/>
      <c r="AS371" s="42"/>
      <c r="AT371" s="46"/>
      <c r="AU371" s="47">
        <f t="shared" si="267"/>
        <v>0</v>
      </c>
      <c r="AV371" s="47"/>
      <c r="AW371" s="47">
        <f t="shared" si="271"/>
        <v>0</v>
      </c>
      <c r="AX371" s="47"/>
      <c r="AY371" s="47"/>
      <c r="AZ371" s="47"/>
      <c r="BA371" s="47"/>
      <c r="BB371" s="47"/>
      <c r="BC371" s="47">
        <f t="shared" si="266"/>
        <v>0</v>
      </c>
      <c r="BD371" s="47"/>
      <c r="BE371" s="47">
        <f t="shared" si="268"/>
        <v>0</v>
      </c>
      <c r="BF371" s="47"/>
      <c r="BG371" s="47"/>
      <c r="BH371" s="47"/>
      <c r="BI371" s="47"/>
      <c r="BJ371" s="47"/>
      <c r="BK371" s="47">
        <f t="shared" si="273"/>
        <v>0</v>
      </c>
      <c r="BL371" s="47"/>
      <c r="BM371" s="47">
        <f t="shared" si="274"/>
        <v>0</v>
      </c>
      <c r="BN371" s="47"/>
      <c r="BO371" s="47"/>
      <c r="BP371" s="47"/>
      <c r="BQ371" s="47"/>
      <c r="BR371" s="47"/>
      <c r="BS371" s="47">
        <f t="shared" si="275"/>
        <v>0</v>
      </c>
      <c r="BT371" s="47"/>
      <c r="BU371" s="47">
        <f t="shared" si="276"/>
        <v>0</v>
      </c>
      <c r="BV371" s="47"/>
      <c r="BW371" s="47"/>
      <c r="BX371" s="47"/>
      <c r="BY371" s="47"/>
      <c r="BZ371" s="47"/>
      <c r="CA371" s="47">
        <f t="shared" si="277"/>
        <v>0</v>
      </c>
      <c r="CB371" s="47"/>
      <c r="CC371" s="47">
        <f t="shared" si="278"/>
        <v>0</v>
      </c>
      <c r="CD371" s="47"/>
      <c r="CE371" s="47"/>
      <c r="CF371" s="47"/>
      <c r="CG371" s="47"/>
      <c r="CH371" s="47"/>
      <c r="CI371" s="47">
        <f t="shared" si="279"/>
        <v>0</v>
      </c>
      <c r="CJ371" s="47"/>
      <c r="CK371" s="47">
        <f t="shared" si="280"/>
        <v>0</v>
      </c>
      <c r="CL371" s="47"/>
      <c r="CM371" s="47"/>
      <c r="CN371" s="47"/>
      <c r="CO371" s="47"/>
      <c r="CP371" s="46">
        <f t="shared" si="281"/>
        <v>0</v>
      </c>
      <c r="CQ371" s="47"/>
      <c r="CR371" s="47">
        <f t="shared" si="270"/>
        <v>0</v>
      </c>
      <c r="CS371" s="47"/>
      <c r="CT371" s="47"/>
      <c r="CU371" s="47"/>
      <c r="CV371" s="47"/>
      <c r="CW371" s="47">
        <f t="shared" si="250"/>
        <v>0</v>
      </c>
      <c r="CX371" s="46"/>
      <c r="CY371" s="47">
        <f t="shared" si="251"/>
        <v>0</v>
      </c>
      <c r="CZ371" s="47"/>
      <c r="DA371" s="47"/>
      <c r="DB371" s="47"/>
      <c r="DC371" s="47"/>
      <c r="DD371" s="47">
        <f t="shared" si="282"/>
        <v>0</v>
      </c>
      <c r="DE371" s="47"/>
      <c r="DF371" s="46">
        <f t="shared" si="256"/>
        <v>0</v>
      </c>
      <c r="DG371" s="47"/>
      <c r="DH371" s="46"/>
      <c r="DI371" s="47"/>
      <c r="DJ371" s="47"/>
      <c r="DK371" s="64"/>
      <c r="DL371" s="47"/>
      <c r="DM371" s="47"/>
      <c r="DN371" s="46">
        <f t="shared" si="272"/>
        <v>0</v>
      </c>
      <c r="DO371" s="47"/>
      <c r="DP371" s="46"/>
      <c r="DQ371" s="47"/>
      <c r="DR371" s="46"/>
      <c r="DS371" s="47"/>
      <c r="DT371" s="46"/>
      <c r="DU371" s="47"/>
      <c r="DV371" s="46"/>
      <c r="DW371" s="47"/>
      <c r="DX371" s="47">
        <f t="shared" si="265"/>
        <v>0</v>
      </c>
      <c r="DY371" s="47"/>
      <c r="DZ371" s="47"/>
      <c r="EA371" s="47"/>
      <c r="EB371" s="47"/>
      <c r="EC371" s="47"/>
      <c r="ED371" s="47"/>
      <c r="EE371" s="47">
        <f t="shared" si="264"/>
        <v>0</v>
      </c>
      <c r="EF371" s="47"/>
      <c r="EG371" s="47"/>
      <c r="EH371" s="47"/>
      <c r="EI371" s="47"/>
      <c r="EJ371" s="47"/>
      <c r="EK371" s="47">
        <f t="shared" si="242"/>
        <v>0</v>
      </c>
      <c r="EL371" s="46">
        <f t="shared" si="243"/>
        <v>0</v>
      </c>
      <c r="EM371" s="46"/>
      <c r="EN371" s="46">
        <f t="shared" si="244"/>
        <v>0</v>
      </c>
    </row>
    <row r="372" spans="1:144" s="48" customFormat="1" ht="15" customHeight="1" x14ac:dyDescent="0.25">
      <c r="A372" s="58"/>
      <c r="B372" s="41">
        <v>41</v>
      </c>
      <c r="C372" s="49"/>
      <c r="D372" s="53"/>
      <c r="E372" s="52"/>
      <c r="F372" s="52"/>
      <c r="G372" s="52"/>
      <c r="H372" s="52"/>
      <c r="I372" s="52"/>
      <c r="J372" s="52"/>
      <c r="K372" s="52"/>
      <c r="L372" s="49"/>
      <c r="M372" s="42"/>
      <c r="N372" s="41"/>
      <c r="O372" s="41"/>
      <c r="P372" s="42"/>
      <c r="Q372" s="45"/>
      <c r="R372" s="45"/>
      <c r="S372" s="42"/>
      <c r="T372" s="46"/>
      <c r="U372" s="46"/>
      <c r="V372" s="46"/>
      <c r="W372" s="46"/>
      <c r="X372" s="46"/>
      <c r="Y372" s="46"/>
      <c r="Z372" s="42"/>
      <c r="AA372" s="42"/>
      <c r="AB372" s="42"/>
      <c r="AC372" s="42"/>
      <c r="AD372" s="42"/>
      <c r="AE372" s="42"/>
      <c r="AF372" s="42"/>
      <c r="AG372" s="42"/>
      <c r="AH372" s="42"/>
      <c r="AI372" s="46"/>
      <c r="AJ372" s="42"/>
      <c r="AK372" s="42"/>
      <c r="AL372" s="42"/>
      <c r="AM372" s="42"/>
      <c r="AN372" s="47">
        <f t="shared" si="239"/>
        <v>0</v>
      </c>
      <c r="AO372" s="47">
        <f t="shared" si="240"/>
        <v>0</v>
      </c>
      <c r="AP372" s="42" t="s">
        <v>102</v>
      </c>
      <c r="AQ372" s="61"/>
      <c r="AR372" s="42"/>
      <c r="AS372" s="42"/>
      <c r="AT372" s="46"/>
      <c r="AU372" s="47">
        <f t="shared" si="267"/>
        <v>0</v>
      </c>
      <c r="AV372" s="47"/>
      <c r="AW372" s="47">
        <f t="shared" si="271"/>
        <v>0</v>
      </c>
      <c r="AX372" s="47"/>
      <c r="AY372" s="47"/>
      <c r="AZ372" s="47"/>
      <c r="BA372" s="47"/>
      <c r="BB372" s="47"/>
      <c r="BC372" s="47">
        <f t="shared" si="266"/>
        <v>0</v>
      </c>
      <c r="BD372" s="47"/>
      <c r="BE372" s="47">
        <f t="shared" si="268"/>
        <v>0</v>
      </c>
      <c r="BF372" s="47"/>
      <c r="BG372" s="47"/>
      <c r="BH372" s="47"/>
      <c r="BI372" s="47"/>
      <c r="BJ372" s="47"/>
      <c r="BK372" s="47">
        <f t="shared" si="273"/>
        <v>0</v>
      </c>
      <c r="BL372" s="47"/>
      <c r="BM372" s="47">
        <f t="shared" si="274"/>
        <v>0</v>
      </c>
      <c r="BN372" s="47"/>
      <c r="BO372" s="47"/>
      <c r="BP372" s="47"/>
      <c r="BQ372" s="47"/>
      <c r="BR372" s="47"/>
      <c r="BS372" s="47">
        <f t="shared" si="275"/>
        <v>0</v>
      </c>
      <c r="BT372" s="47"/>
      <c r="BU372" s="47">
        <f t="shared" si="276"/>
        <v>0</v>
      </c>
      <c r="BV372" s="47"/>
      <c r="BW372" s="47"/>
      <c r="BX372" s="47"/>
      <c r="BY372" s="47"/>
      <c r="BZ372" s="47"/>
      <c r="CA372" s="47">
        <f t="shared" si="277"/>
        <v>0</v>
      </c>
      <c r="CB372" s="47"/>
      <c r="CC372" s="47">
        <f t="shared" si="278"/>
        <v>0</v>
      </c>
      <c r="CD372" s="47"/>
      <c r="CE372" s="47"/>
      <c r="CF372" s="47"/>
      <c r="CG372" s="47"/>
      <c r="CH372" s="47"/>
      <c r="CI372" s="47">
        <f t="shared" si="279"/>
        <v>0</v>
      </c>
      <c r="CJ372" s="47"/>
      <c r="CK372" s="47">
        <f t="shared" si="280"/>
        <v>0</v>
      </c>
      <c r="CL372" s="47"/>
      <c r="CM372" s="47"/>
      <c r="CN372" s="47"/>
      <c r="CO372" s="47"/>
      <c r="CP372" s="46">
        <f t="shared" si="281"/>
        <v>0</v>
      </c>
      <c r="CQ372" s="47"/>
      <c r="CR372" s="47">
        <f t="shared" si="270"/>
        <v>0</v>
      </c>
      <c r="CS372" s="47"/>
      <c r="CT372" s="47"/>
      <c r="CU372" s="47"/>
      <c r="CV372" s="47"/>
      <c r="CW372" s="47">
        <f t="shared" si="250"/>
        <v>0</v>
      </c>
      <c r="CX372" s="46"/>
      <c r="CY372" s="47">
        <f t="shared" si="251"/>
        <v>0</v>
      </c>
      <c r="CZ372" s="47"/>
      <c r="DA372" s="47"/>
      <c r="DB372" s="47"/>
      <c r="DC372" s="47"/>
      <c r="DD372" s="47">
        <f t="shared" si="282"/>
        <v>0</v>
      </c>
      <c r="DE372" s="47"/>
      <c r="DF372" s="46">
        <f t="shared" si="256"/>
        <v>0</v>
      </c>
      <c r="DG372" s="47"/>
      <c r="DH372" s="46"/>
      <c r="DI372" s="47"/>
      <c r="DJ372" s="47"/>
      <c r="DK372" s="64"/>
      <c r="DL372" s="47"/>
      <c r="DM372" s="47"/>
      <c r="DN372" s="46">
        <f t="shared" si="272"/>
        <v>0</v>
      </c>
      <c r="DO372" s="47"/>
      <c r="DP372" s="46"/>
      <c r="DQ372" s="47"/>
      <c r="DR372" s="46"/>
      <c r="DS372" s="47"/>
      <c r="DT372" s="46"/>
      <c r="DU372" s="47"/>
      <c r="DV372" s="46"/>
      <c r="DW372" s="47"/>
      <c r="DX372" s="47">
        <f t="shared" si="265"/>
        <v>0</v>
      </c>
      <c r="DY372" s="47"/>
      <c r="DZ372" s="47"/>
      <c r="EA372" s="47"/>
      <c r="EB372" s="47"/>
      <c r="EC372" s="47"/>
      <c r="ED372" s="47"/>
      <c r="EE372" s="47">
        <f t="shared" si="264"/>
        <v>0</v>
      </c>
      <c r="EF372" s="47"/>
      <c r="EG372" s="47"/>
      <c r="EH372" s="47"/>
      <c r="EI372" s="47"/>
      <c r="EJ372" s="47"/>
      <c r="EK372" s="47">
        <f t="shared" si="242"/>
        <v>0</v>
      </c>
      <c r="EL372" s="46">
        <f t="shared" si="243"/>
        <v>0</v>
      </c>
      <c r="EM372" s="46"/>
      <c r="EN372" s="46">
        <f t="shared" si="244"/>
        <v>0</v>
      </c>
    </row>
    <row r="373" spans="1:144" s="48" customFormat="1" ht="15" customHeight="1" x14ac:dyDescent="0.25">
      <c r="A373" s="58"/>
      <c r="B373" s="41">
        <v>43</v>
      </c>
      <c r="C373" s="49"/>
      <c r="D373" s="53"/>
      <c r="E373" s="52"/>
      <c r="F373" s="52"/>
      <c r="G373" s="52"/>
      <c r="H373" s="52"/>
      <c r="I373" s="52"/>
      <c r="J373" s="52"/>
      <c r="K373" s="52"/>
      <c r="L373" s="49"/>
      <c r="M373" s="42"/>
      <c r="N373" s="41"/>
      <c r="O373" s="41"/>
      <c r="P373" s="42"/>
      <c r="Q373" s="45"/>
      <c r="R373" s="45"/>
      <c r="S373" s="42"/>
      <c r="T373" s="46"/>
      <c r="U373" s="46"/>
      <c r="V373" s="46"/>
      <c r="W373" s="46"/>
      <c r="X373" s="46"/>
      <c r="Y373" s="46"/>
      <c r="Z373" s="42"/>
      <c r="AA373" s="42"/>
      <c r="AB373" s="42"/>
      <c r="AC373" s="42"/>
      <c r="AD373" s="42"/>
      <c r="AE373" s="42"/>
      <c r="AF373" s="42"/>
      <c r="AG373" s="42"/>
      <c r="AH373" s="42"/>
      <c r="AI373" s="46"/>
      <c r="AJ373" s="42"/>
      <c r="AK373" s="42"/>
      <c r="AL373" s="42"/>
      <c r="AM373" s="42"/>
      <c r="AN373" s="47">
        <f t="shared" si="239"/>
        <v>0</v>
      </c>
      <c r="AO373" s="47">
        <f t="shared" si="240"/>
        <v>0</v>
      </c>
      <c r="AP373" s="42" t="s">
        <v>102</v>
      </c>
      <c r="AQ373" s="61"/>
      <c r="AR373" s="42"/>
      <c r="AS373" s="42"/>
      <c r="AT373" s="46"/>
      <c r="AU373" s="47">
        <f t="shared" si="267"/>
        <v>0</v>
      </c>
      <c r="AV373" s="47"/>
      <c r="AW373" s="47">
        <f t="shared" si="271"/>
        <v>0</v>
      </c>
      <c r="AX373" s="47"/>
      <c r="AY373" s="47"/>
      <c r="AZ373" s="47"/>
      <c r="BA373" s="47"/>
      <c r="BB373" s="47"/>
      <c r="BC373" s="47">
        <f t="shared" si="266"/>
        <v>0</v>
      </c>
      <c r="BD373" s="47"/>
      <c r="BE373" s="47">
        <f t="shared" si="268"/>
        <v>0</v>
      </c>
      <c r="BF373" s="47"/>
      <c r="BG373" s="47"/>
      <c r="BH373" s="47"/>
      <c r="BI373" s="47"/>
      <c r="BJ373" s="47"/>
      <c r="BK373" s="47">
        <f t="shared" si="273"/>
        <v>0</v>
      </c>
      <c r="BL373" s="47"/>
      <c r="BM373" s="47">
        <f t="shared" si="274"/>
        <v>0</v>
      </c>
      <c r="BN373" s="47"/>
      <c r="BO373" s="47"/>
      <c r="BP373" s="47"/>
      <c r="BQ373" s="47"/>
      <c r="BR373" s="47"/>
      <c r="BS373" s="47">
        <f t="shared" si="275"/>
        <v>0</v>
      </c>
      <c r="BT373" s="47"/>
      <c r="BU373" s="47">
        <f t="shared" si="276"/>
        <v>0</v>
      </c>
      <c r="BV373" s="47"/>
      <c r="BW373" s="47"/>
      <c r="BX373" s="47"/>
      <c r="BY373" s="47"/>
      <c r="BZ373" s="47"/>
      <c r="CA373" s="47">
        <f t="shared" si="277"/>
        <v>0</v>
      </c>
      <c r="CB373" s="47"/>
      <c r="CC373" s="47">
        <f t="shared" si="278"/>
        <v>0</v>
      </c>
      <c r="CD373" s="47"/>
      <c r="CE373" s="47"/>
      <c r="CF373" s="47"/>
      <c r="CG373" s="47"/>
      <c r="CH373" s="47"/>
      <c r="CI373" s="47">
        <f t="shared" si="279"/>
        <v>0</v>
      </c>
      <c r="CJ373" s="47"/>
      <c r="CK373" s="47">
        <f t="shared" si="280"/>
        <v>0</v>
      </c>
      <c r="CL373" s="47"/>
      <c r="CM373" s="47"/>
      <c r="CN373" s="47"/>
      <c r="CO373" s="47"/>
      <c r="CP373" s="46">
        <f t="shared" si="281"/>
        <v>0</v>
      </c>
      <c r="CQ373" s="47"/>
      <c r="CR373" s="47">
        <f t="shared" si="270"/>
        <v>0</v>
      </c>
      <c r="CS373" s="47"/>
      <c r="CT373" s="47"/>
      <c r="CU373" s="47"/>
      <c r="CV373" s="47"/>
      <c r="CW373" s="47">
        <f t="shared" si="250"/>
        <v>0</v>
      </c>
      <c r="CX373" s="46"/>
      <c r="CY373" s="47">
        <f t="shared" si="251"/>
        <v>0</v>
      </c>
      <c r="CZ373" s="47"/>
      <c r="DA373" s="47"/>
      <c r="DB373" s="47"/>
      <c r="DC373" s="47"/>
      <c r="DD373" s="47">
        <f t="shared" si="282"/>
        <v>0</v>
      </c>
      <c r="DE373" s="47"/>
      <c r="DF373" s="46">
        <f t="shared" si="256"/>
        <v>0</v>
      </c>
      <c r="DG373" s="47"/>
      <c r="DH373" s="46"/>
      <c r="DI373" s="47"/>
      <c r="DJ373" s="47"/>
      <c r="DK373" s="64"/>
      <c r="DL373" s="47"/>
      <c r="DM373" s="47"/>
      <c r="DN373" s="46">
        <f t="shared" si="272"/>
        <v>0</v>
      </c>
      <c r="DO373" s="47"/>
      <c r="DP373" s="46"/>
      <c r="DQ373" s="47"/>
      <c r="DR373" s="46"/>
      <c r="DS373" s="47"/>
      <c r="DT373" s="46"/>
      <c r="DU373" s="47"/>
      <c r="DV373" s="46"/>
      <c r="DW373" s="47"/>
      <c r="DX373" s="47">
        <f t="shared" si="265"/>
        <v>0</v>
      </c>
      <c r="DY373" s="47"/>
      <c r="DZ373" s="47"/>
      <c r="EA373" s="47"/>
      <c r="EB373" s="47"/>
      <c r="EC373" s="47"/>
      <c r="ED373" s="47"/>
      <c r="EE373" s="47">
        <f t="shared" si="264"/>
        <v>0</v>
      </c>
      <c r="EF373" s="47"/>
      <c r="EG373" s="47"/>
      <c r="EH373" s="47"/>
      <c r="EI373" s="47"/>
      <c r="EJ373" s="47"/>
      <c r="EK373" s="47">
        <f t="shared" si="242"/>
        <v>0</v>
      </c>
      <c r="EL373" s="46">
        <f t="shared" si="243"/>
        <v>0</v>
      </c>
      <c r="EM373" s="46"/>
      <c r="EN373" s="46">
        <f t="shared" si="244"/>
        <v>0</v>
      </c>
    </row>
    <row r="374" spans="1:144" s="48" customFormat="1" ht="15" customHeight="1" x14ac:dyDescent="0.25">
      <c r="A374" s="58"/>
      <c r="B374" s="41">
        <v>44</v>
      </c>
      <c r="C374" s="49"/>
      <c r="D374" s="53"/>
      <c r="E374" s="52"/>
      <c r="F374" s="52"/>
      <c r="G374" s="52"/>
      <c r="H374" s="52"/>
      <c r="I374" s="52"/>
      <c r="J374" s="52"/>
      <c r="K374" s="52"/>
      <c r="L374" s="49"/>
      <c r="M374" s="42"/>
      <c r="N374" s="41"/>
      <c r="O374" s="41"/>
      <c r="P374" s="42"/>
      <c r="Q374" s="45"/>
      <c r="R374" s="45"/>
      <c r="S374" s="42"/>
      <c r="T374" s="46"/>
      <c r="U374" s="46"/>
      <c r="V374" s="46"/>
      <c r="W374" s="46"/>
      <c r="X374" s="46"/>
      <c r="Y374" s="46"/>
      <c r="Z374" s="42"/>
      <c r="AA374" s="42"/>
      <c r="AB374" s="42"/>
      <c r="AC374" s="42"/>
      <c r="AD374" s="42"/>
      <c r="AE374" s="42"/>
      <c r="AF374" s="42"/>
      <c r="AG374" s="42"/>
      <c r="AH374" s="42"/>
      <c r="AI374" s="46"/>
      <c r="AJ374" s="42"/>
      <c r="AK374" s="42"/>
      <c r="AL374" s="42"/>
      <c r="AM374" s="42"/>
      <c r="AN374" s="47">
        <f t="shared" si="239"/>
        <v>0</v>
      </c>
      <c r="AO374" s="47">
        <f t="shared" si="240"/>
        <v>0</v>
      </c>
      <c r="AP374" s="42" t="s">
        <v>102</v>
      </c>
      <c r="AQ374" s="61"/>
      <c r="AR374" s="42"/>
      <c r="AS374" s="42"/>
      <c r="AT374" s="46"/>
      <c r="AU374" s="47">
        <f t="shared" si="267"/>
        <v>0</v>
      </c>
      <c r="AV374" s="47"/>
      <c r="AW374" s="47">
        <f t="shared" si="271"/>
        <v>0</v>
      </c>
      <c r="AX374" s="47"/>
      <c r="AY374" s="47"/>
      <c r="AZ374" s="47"/>
      <c r="BA374" s="47"/>
      <c r="BB374" s="47"/>
      <c r="BC374" s="47">
        <f t="shared" si="266"/>
        <v>0</v>
      </c>
      <c r="BD374" s="47"/>
      <c r="BE374" s="47">
        <f t="shared" si="268"/>
        <v>0</v>
      </c>
      <c r="BF374" s="47"/>
      <c r="BG374" s="47"/>
      <c r="BH374" s="47"/>
      <c r="BI374" s="47"/>
      <c r="BJ374" s="47"/>
      <c r="BK374" s="47">
        <f t="shared" si="273"/>
        <v>0</v>
      </c>
      <c r="BL374" s="47"/>
      <c r="BM374" s="47">
        <f t="shared" si="274"/>
        <v>0</v>
      </c>
      <c r="BN374" s="47"/>
      <c r="BO374" s="47"/>
      <c r="BP374" s="47"/>
      <c r="BQ374" s="47"/>
      <c r="BR374" s="47"/>
      <c r="BS374" s="47">
        <f t="shared" si="275"/>
        <v>0</v>
      </c>
      <c r="BT374" s="47"/>
      <c r="BU374" s="47">
        <f t="shared" si="276"/>
        <v>0</v>
      </c>
      <c r="BV374" s="47"/>
      <c r="BW374" s="47"/>
      <c r="BX374" s="47"/>
      <c r="BY374" s="47"/>
      <c r="BZ374" s="47"/>
      <c r="CA374" s="47">
        <f t="shared" si="277"/>
        <v>0</v>
      </c>
      <c r="CB374" s="47"/>
      <c r="CC374" s="47">
        <f t="shared" si="278"/>
        <v>0</v>
      </c>
      <c r="CD374" s="47"/>
      <c r="CE374" s="47"/>
      <c r="CF374" s="47"/>
      <c r="CG374" s="47"/>
      <c r="CH374" s="47"/>
      <c r="CI374" s="47">
        <f t="shared" si="279"/>
        <v>0</v>
      </c>
      <c r="CJ374" s="47"/>
      <c r="CK374" s="47">
        <f t="shared" si="280"/>
        <v>0</v>
      </c>
      <c r="CL374" s="47"/>
      <c r="CM374" s="47"/>
      <c r="CN374" s="47"/>
      <c r="CO374" s="47"/>
      <c r="CP374" s="46">
        <f t="shared" si="281"/>
        <v>0</v>
      </c>
      <c r="CQ374" s="47"/>
      <c r="CR374" s="47">
        <f t="shared" si="270"/>
        <v>0</v>
      </c>
      <c r="CS374" s="47"/>
      <c r="CT374" s="47"/>
      <c r="CU374" s="47"/>
      <c r="CV374" s="47"/>
      <c r="CW374" s="47">
        <f t="shared" si="250"/>
        <v>0</v>
      </c>
      <c r="CX374" s="46"/>
      <c r="CY374" s="47">
        <f t="shared" si="251"/>
        <v>0</v>
      </c>
      <c r="CZ374" s="47"/>
      <c r="DA374" s="47"/>
      <c r="DB374" s="47"/>
      <c r="DC374" s="47"/>
      <c r="DD374" s="47"/>
      <c r="DE374" s="47"/>
      <c r="DF374" s="46"/>
      <c r="DG374" s="47"/>
      <c r="DH374" s="46"/>
      <c r="DI374" s="47"/>
      <c r="DJ374" s="47"/>
      <c r="DK374" s="64"/>
      <c r="DL374" s="47"/>
      <c r="DM374" s="47"/>
      <c r="DN374" s="46">
        <f t="shared" si="272"/>
        <v>0</v>
      </c>
      <c r="DO374" s="47"/>
      <c r="DP374" s="46"/>
      <c r="DQ374" s="47"/>
      <c r="DR374" s="46"/>
      <c r="DS374" s="47"/>
      <c r="DT374" s="46"/>
      <c r="DU374" s="47"/>
      <c r="DV374" s="46"/>
      <c r="DW374" s="47"/>
      <c r="DX374" s="47">
        <f t="shared" si="265"/>
        <v>0</v>
      </c>
      <c r="DY374" s="47"/>
      <c r="DZ374" s="47"/>
      <c r="EA374" s="47"/>
      <c r="EB374" s="47"/>
      <c r="EC374" s="47"/>
      <c r="ED374" s="47"/>
      <c r="EE374" s="47">
        <f t="shared" si="264"/>
        <v>0</v>
      </c>
      <c r="EF374" s="47"/>
      <c r="EG374" s="47"/>
      <c r="EH374" s="47"/>
      <c r="EI374" s="47"/>
      <c r="EJ374" s="47"/>
      <c r="EK374" s="47">
        <f t="shared" si="242"/>
        <v>0</v>
      </c>
      <c r="EL374" s="46">
        <f t="shared" si="243"/>
        <v>0</v>
      </c>
      <c r="EM374" s="46"/>
      <c r="EN374" s="46">
        <f t="shared" si="244"/>
        <v>0</v>
      </c>
    </row>
    <row r="375" spans="1:144" s="48" customFormat="1" ht="15" customHeight="1" x14ac:dyDescent="0.25">
      <c r="A375" s="58"/>
      <c r="B375" s="41">
        <v>45</v>
      </c>
      <c r="C375" s="49"/>
      <c r="D375" s="53"/>
      <c r="E375" s="52"/>
      <c r="F375" s="52"/>
      <c r="G375" s="52"/>
      <c r="H375" s="52"/>
      <c r="I375" s="52"/>
      <c r="J375" s="52"/>
      <c r="K375" s="52"/>
      <c r="L375" s="49"/>
      <c r="M375" s="42"/>
      <c r="N375" s="41"/>
      <c r="O375" s="41"/>
      <c r="P375" s="42"/>
      <c r="Q375" s="45"/>
      <c r="R375" s="45"/>
      <c r="S375" s="42"/>
      <c r="T375" s="46"/>
      <c r="U375" s="46"/>
      <c r="V375" s="46"/>
      <c r="W375" s="46"/>
      <c r="X375" s="46"/>
      <c r="Y375" s="46"/>
      <c r="Z375" s="42"/>
      <c r="AA375" s="42"/>
      <c r="AB375" s="42"/>
      <c r="AC375" s="42"/>
      <c r="AD375" s="42"/>
      <c r="AE375" s="42"/>
      <c r="AF375" s="42"/>
      <c r="AG375" s="42"/>
      <c r="AH375" s="42"/>
      <c r="AI375" s="46"/>
      <c r="AJ375" s="42"/>
      <c r="AK375" s="42"/>
      <c r="AL375" s="42"/>
      <c r="AM375" s="42"/>
      <c r="AN375" s="47">
        <f t="shared" si="239"/>
        <v>0</v>
      </c>
      <c r="AO375" s="47">
        <f t="shared" si="240"/>
        <v>0</v>
      </c>
      <c r="AP375" s="42" t="s">
        <v>102</v>
      </c>
      <c r="AQ375" s="61"/>
      <c r="AR375" s="42"/>
      <c r="AS375" s="42"/>
      <c r="AT375" s="46"/>
      <c r="AU375" s="47">
        <f t="shared" si="267"/>
        <v>0</v>
      </c>
      <c r="AV375" s="47"/>
      <c r="AW375" s="47">
        <f t="shared" si="271"/>
        <v>0</v>
      </c>
      <c r="AX375" s="47"/>
      <c r="AY375" s="47"/>
      <c r="AZ375" s="47"/>
      <c r="BA375" s="47"/>
      <c r="BB375" s="47"/>
      <c r="BC375" s="47">
        <f t="shared" si="266"/>
        <v>0</v>
      </c>
      <c r="BD375" s="47"/>
      <c r="BE375" s="47">
        <f t="shared" si="268"/>
        <v>0</v>
      </c>
      <c r="BF375" s="47"/>
      <c r="BG375" s="47"/>
      <c r="BH375" s="47"/>
      <c r="BI375" s="47"/>
      <c r="BJ375" s="47"/>
      <c r="BK375" s="47">
        <f t="shared" si="273"/>
        <v>0</v>
      </c>
      <c r="BL375" s="47"/>
      <c r="BM375" s="47">
        <f t="shared" si="274"/>
        <v>0</v>
      </c>
      <c r="BN375" s="47"/>
      <c r="BO375" s="47"/>
      <c r="BP375" s="47"/>
      <c r="BQ375" s="47"/>
      <c r="BR375" s="47"/>
      <c r="BS375" s="47">
        <f t="shared" si="275"/>
        <v>0</v>
      </c>
      <c r="BT375" s="47"/>
      <c r="BU375" s="47">
        <f t="shared" si="276"/>
        <v>0</v>
      </c>
      <c r="BV375" s="47"/>
      <c r="BW375" s="47"/>
      <c r="BX375" s="47"/>
      <c r="BY375" s="47"/>
      <c r="BZ375" s="47"/>
      <c r="CA375" s="47">
        <f t="shared" si="277"/>
        <v>0</v>
      </c>
      <c r="CB375" s="47"/>
      <c r="CC375" s="47">
        <f t="shared" si="278"/>
        <v>0</v>
      </c>
      <c r="CD375" s="47"/>
      <c r="CE375" s="47"/>
      <c r="CF375" s="47"/>
      <c r="CG375" s="47"/>
      <c r="CH375" s="47"/>
      <c r="CI375" s="47">
        <f t="shared" si="279"/>
        <v>0</v>
      </c>
      <c r="CJ375" s="47"/>
      <c r="CK375" s="47">
        <f t="shared" si="280"/>
        <v>0</v>
      </c>
      <c r="CL375" s="47"/>
      <c r="CM375" s="47"/>
      <c r="CN375" s="47"/>
      <c r="CO375" s="47"/>
      <c r="CP375" s="46">
        <f t="shared" si="281"/>
        <v>0</v>
      </c>
      <c r="CQ375" s="47"/>
      <c r="CR375" s="47">
        <f t="shared" si="270"/>
        <v>0</v>
      </c>
      <c r="CS375" s="47"/>
      <c r="CT375" s="47"/>
      <c r="CU375" s="47"/>
      <c r="CV375" s="47"/>
      <c r="CW375" s="47">
        <f t="shared" si="250"/>
        <v>0</v>
      </c>
      <c r="CX375" s="46"/>
      <c r="CY375" s="47">
        <f t="shared" si="251"/>
        <v>0</v>
      </c>
      <c r="CZ375" s="47"/>
      <c r="DA375" s="47"/>
      <c r="DB375" s="47"/>
      <c r="DC375" s="47"/>
      <c r="DD375" s="47"/>
      <c r="DE375" s="47"/>
      <c r="DF375" s="46"/>
      <c r="DG375" s="47"/>
      <c r="DH375" s="46"/>
      <c r="DI375" s="47"/>
      <c r="DJ375" s="47"/>
      <c r="DK375" s="64"/>
      <c r="DL375" s="47"/>
      <c r="DM375" s="47"/>
      <c r="DN375" s="46">
        <f t="shared" si="272"/>
        <v>0</v>
      </c>
      <c r="DO375" s="47"/>
      <c r="DP375" s="46"/>
      <c r="DQ375" s="47"/>
      <c r="DR375" s="46"/>
      <c r="DS375" s="47"/>
      <c r="DT375" s="46"/>
      <c r="DU375" s="47"/>
      <c r="DV375" s="46"/>
      <c r="DW375" s="47"/>
      <c r="DX375" s="47">
        <f t="shared" si="265"/>
        <v>0</v>
      </c>
      <c r="DY375" s="47"/>
      <c r="DZ375" s="47"/>
      <c r="EA375" s="47"/>
      <c r="EB375" s="47"/>
      <c r="EC375" s="47"/>
      <c r="ED375" s="47"/>
      <c r="EE375" s="47">
        <f t="shared" si="264"/>
        <v>0</v>
      </c>
      <c r="EF375" s="47"/>
      <c r="EG375" s="47"/>
      <c r="EH375" s="47"/>
      <c r="EI375" s="47"/>
      <c r="EJ375" s="47"/>
      <c r="EK375" s="47">
        <f t="shared" si="242"/>
        <v>0</v>
      </c>
      <c r="EL375" s="46">
        <f t="shared" si="243"/>
        <v>0</v>
      </c>
      <c r="EM375" s="46"/>
      <c r="EN375" s="46">
        <f t="shared" si="244"/>
        <v>0</v>
      </c>
    </row>
    <row r="376" spans="1:144" s="48" customFormat="1" ht="15" customHeight="1" x14ac:dyDescent="0.25">
      <c r="A376" s="58"/>
      <c r="B376" s="41">
        <v>46</v>
      </c>
      <c r="C376" s="49"/>
      <c r="D376" s="53"/>
      <c r="E376" s="52"/>
      <c r="F376" s="52"/>
      <c r="G376" s="52"/>
      <c r="H376" s="52"/>
      <c r="I376" s="52"/>
      <c r="J376" s="52"/>
      <c r="K376" s="52"/>
      <c r="L376" s="49"/>
      <c r="M376" s="42"/>
      <c r="N376" s="41"/>
      <c r="O376" s="41"/>
      <c r="P376" s="42"/>
      <c r="Q376" s="45"/>
      <c r="R376" s="45"/>
      <c r="S376" s="42"/>
      <c r="T376" s="46"/>
      <c r="U376" s="46"/>
      <c r="V376" s="46"/>
      <c r="W376" s="46"/>
      <c r="X376" s="46"/>
      <c r="Y376" s="46"/>
      <c r="Z376" s="42"/>
      <c r="AA376" s="42"/>
      <c r="AB376" s="42"/>
      <c r="AC376" s="42"/>
      <c r="AD376" s="42"/>
      <c r="AE376" s="42"/>
      <c r="AF376" s="42"/>
      <c r="AG376" s="42"/>
      <c r="AH376" s="42"/>
      <c r="AI376" s="46"/>
      <c r="AJ376" s="42"/>
      <c r="AK376" s="42"/>
      <c r="AL376" s="42"/>
      <c r="AM376" s="42"/>
      <c r="AN376" s="47">
        <f t="shared" si="239"/>
        <v>0</v>
      </c>
      <c r="AO376" s="47">
        <f t="shared" si="240"/>
        <v>0</v>
      </c>
      <c r="AP376" s="42" t="s">
        <v>102</v>
      </c>
      <c r="AQ376" s="61"/>
      <c r="AR376" s="42"/>
      <c r="AS376" s="42"/>
      <c r="AT376" s="46"/>
      <c r="AU376" s="47">
        <f t="shared" si="267"/>
        <v>0</v>
      </c>
      <c r="AV376" s="47"/>
      <c r="AW376" s="47">
        <f t="shared" si="271"/>
        <v>0</v>
      </c>
      <c r="AX376" s="47"/>
      <c r="AY376" s="47"/>
      <c r="AZ376" s="47"/>
      <c r="BA376" s="47"/>
      <c r="BB376" s="47"/>
      <c r="BC376" s="47">
        <f t="shared" si="266"/>
        <v>0</v>
      </c>
      <c r="BD376" s="47"/>
      <c r="BE376" s="47">
        <f t="shared" si="268"/>
        <v>0</v>
      </c>
      <c r="BF376" s="47"/>
      <c r="BG376" s="47"/>
      <c r="BH376" s="47"/>
      <c r="BI376" s="47"/>
      <c r="BJ376" s="47"/>
      <c r="BK376" s="47">
        <f t="shared" si="273"/>
        <v>0</v>
      </c>
      <c r="BL376" s="47"/>
      <c r="BM376" s="47">
        <f t="shared" si="274"/>
        <v>0</v>
      </c>
      <c r="BN376" s="47"/>
      <c r="BO376" s="47"/>
      <c r="BP376" s="47"/>
      <c r="BQ376" s="47"/>
      <c r="BR376" s="47"/>
      <c r="BS376" s="47">
        <f t="shared" si="275"/>
        <v>0</v>
      </c>
      <c r="BT376" s="47"/>
      <c r="BU376" s="47">
        <f t="shared" si="276"/>
        <v>0</v>
      </c>
      <c r="BV376" s="47"/>
      <c r="BW376" s="47"/>
      <c r="BX376" s="47"/>
      <c r="BY376" s="47"/>
      <c r="BZ376" s="47"/>
      <c r="CA376" s="47">
        <f t="shared" si="277"/>
        <v>0</v>
      </c>
      <c r="CB376" s="47"/>
      <c r="CC376" s="47">
        <f t="shared" si="278"/>
        <v>0</v>
      </c>
      <c r="CD376" s="47"/>
      <c r="CE376" s="47"/>
      <c r="CF376" s="47"/>
      <c r="CG376" s="47"/>
      <c r="CH376" s="47"/>
      <c r="CI376" s="47">
        <f t="shared" si="279"/>
        <v>0</v>
      </c>
      <c r="CJ376" s="47"/>
      <c r="CK376" s="47">
        <f t="shared" si="280"/>
        <v>0</v>
      </c>
      <c r="CL376" s="47"/>
      <c r="CM376" s="47"/>
      <c r="CN376" s="47"/>
      <c r="CO376" s="47"/>
      <c r="CP376" s="46">
        <f t="shared" si="281"/>
        <v>0</v>
      </c>
      <c r="CQ376" s="47"/>
      <c r="CR376" s="47">
        <f t="shared" si="270"/>
        <v>0</v>
      </c>
      <c r="CS376" s="47"/>
      <c r="CT376" s="47"/>
      <c r="CU376" s="47"/>
      <c r="CV376" s="47"/>
      <c r="CW376" s="47">
        <f t="shared" si="250"/>
        <v>0</v>
      </c>
      <c r="CX376" s="46"/>
      <c r="CY376" s="47">
        <f t="shared" si="251"/>
        <v>0</v>
      </c>
      <c r="CZ376" s="47"/>
      <c r="DA376" s="47"/>
      <c r="DB376" s="47"/>
      <c r="DC376" s="47"/>
      <c r="DD376" s="47"/>
      <c r="DE376" s="47"/>
      <c r="DF376" s="46"/>
      <c r="DG376" s="47"/>
      <c r="DH376" s="46"/>
      <c r="DI376" s="47"/>
      <c r="DJ376" s="47"/>
      <c r="DK376" s="47"/>
      <c r="DL376" s="47"/>
      <c r="DM376" s="47"/>
      <c r="DN376" s="46">
        <f t="shared" si="272"/>
        <v>0</v>
      </c>
      <c r="DO376" s="47"/>
      <c r="DP376" s="46"/>
      <c r="DQ376" s="47"/>
      <c r="DR376" s="46"/>
      <c r="DS376" s="47"/>
      <c r="DT376" s="46"/>
      <c r="DU376" s="47"/>
      <c r="DV376" s="46"/>
      <c r="DW376" s="47"/>
      <c r="DX376" s="47">
        <f t="shared" si="265"/>
        <v>0</v>
      </c>
      <c r="DY376" s="47"/>
      <c r="DZ376" s="47"/>
      <c r="EA376" s="47"/>
      <c r="EB376" s="47"/>
      <c r="EC376" s="47"/>
      <c r="ED376" s="47"/>
      <c r="EE376" s="47">
        <f t="shared" si="264"/>
        <v>0</v>
      </c>
      <c r="EF376" s="47"/>
      <c r="EG376" s="47"/>
      <c r="EH376" s="47"/>
      <c r="EI376" s="47"/>
      <c r="EJ376" s="47"/>
      <c r="EK376" s="47">
        <f t="shared" si="242"/>
        <v>0</v>
      </c>
      <c r="EL376" s="46">
        <f t="shared" si="243"/>
        <v>0</v>
      </c>
      <c r="EM376" s="46"/>
      <c r="EN376" s="46">
        <f t="shared" si="244"/>
        <v>0</v>
      </c>
    </row>
    <row r="377" spans="1:144" s="48" customFormat="1" ht="15" customHeight="1" x14ac:dyDescent="0.25">
      <c r="A377" s="58"/>
      <c r="B377" s="41">
        <v>47</v>
      </c>
      <c r="C377" s="49"/>
      <c r="D377" s="53"/>
      <c r="E377" s="52"/>
      <c r="F377" s="52"/>
      <c r="G377" s="52"/>
      <c r="H377" s="52"/>
      <c r="I377" s="52"/>
      <c r="J377" s="52"/>
      <c r="K377" s="52"/>
      <c r="L377" s="49"/>
      <c r="M377" s="42"/>
      <c r="N377" s="41"/>
      <c r="O377" s="41"/>
      <c r="P377" s="42"/>
      <c r="Q377" s="45"/>
      <c r="R377" s="45"/>
      <c r="S377" s="42"/>
      <c r="T377" s="46"/>
      <c r="U377" s="46"/>
      <c r="V377" s="46"/>
      <c r="W377" s="46"/>
      <c r="X377" s="46"/>
      <c r="Y377" s="46"/>
      <c r="Z377" s="42"/>
      <c r="AA377" s="42"/>
      <c r="AB377" s="42"/>
      <c r="AC377" s="42"/>
      <c r="AD377" s="42"/>
      <c r="AE377" s="42"/>
      <c r="AF377" s="42"/>
      <c r="AG377" s="42"/>
      <c r="AH377" s="42"/>
      <c r="AI377" s="46"/>
      <c r="AJ377" s="42"/>
      <c r="AK377" s="42"/>
      <c r="AL377" s="42"/>
      <c r="AM377" s="42"/>
      <c r="AN377" s="47">
        <f t="shared" si="239"/>
        <v>0</v>
      </c>
      <c r="AO377" s="47">
        <f t="shared" si="240"/>
        <v>0</v>
      </c>
      <c r="AP377" s="42" t="s">
        <v>102</v>
      </c>
      <c r="AQ377" s="61"/>
      <c r="AR377" s="42"/>
      <c r="AS377" s="42"/>
      <c r="AT377" s="46"/>
      <c r="AU377" s="47">
        <f t="shared" si="267"/>
        <v>0</v>
      </c>
      <c r="AV377" s="47"/>
      <c r="AW377" s="47">
        <f t="shared" si="271"/>
        <v>0</v>
      </c>
      <c r="AX377" s="47"/>
      <c r="AY377" s="47"/>
      <c r="AZ377" s="47"/>
      <c r="BA377" s="47"/>
      <c r="BB377" s="47"/>
      <c r="BC377" s="47">
        <f t="shared" si="266"/>
        <v>0</v>
      </c>
      <c r="BD377" s="47"/>
      <c r="BE377" s="47">
        <f t="shared" si="268"/>
        <v>0</v>
      </c>
      <c r="BF377" s="47"/>
      <c r="BG377" s="47"/>
      <c r="BH377" s="47"/>
      <c r="BI377" s="47"/>
      <c r="BJ377" s="47"/>
      <c r="BK377" s="47">
        <f t="shared" si="273"/>
        <v>0</v>
      </c>
      <c r="BL377" s="47"/>
      <c r="BM377" s="47">
        <f t="shared" si="274"/>
        <v>0</v>
      </c>
      <c r="BN377" s="47"/>
      <c r="BO377" s="47"/>
      <c r="BP377" s="47"/>
      <c r="BQ377" s="47"/>
      <c r="BR377" s="47"/>
      <c r="BS377" s="47">
        <f t="shared" si="275"/>
        <v>0</v>
      </c>
      <c r="BT377" s="47"/>
      <c r="BU377" s="47">
        <f t="shared" si="276"/>
        <v>0</v>
      </c>
      <c r="BV377" s="47"/>
      <c r="BW377" s="47"/>
      <c r="BX377" s="47"/>
      <c r="BY377" s="47"/>
      <c r="BZ377" s="47"/>
      <c r="CA377" s="47">
        <f t="shared" si="277"/>
        <v>0</v>
      </c>
      <c r="CB377" s="47"/>
      <c r="CC377" s="47">
        <f t="shared" si="278"/>
        <v>0</v>
      </c>
      <c r="CD377" s="47"/>
      <c r="CE377" s="47"/>
      <c r="CF377" s="47"/>
      <c r="CG377" s="47"/>
      <c r="CH377" s="47"/>
      <c r="CI377" s="47">
        <f t="shared" si="279"/>
        <v>0</v>
      </c>
      <c r="CJ377" s="47"/>
      <c r="CK377" s="47">
        <f t="shared" si="280"/>
        <v>0</v>
      </c>
      <c r="CL377" s="47"/>
      <c r="CM377" s="47"/>
      <c r="CN377" s="47"/>
      <c r="CO377" s="47"/>
      <c r="CP377" s="46">
        <f t="shared" si="281"/>
        <v>0</v>
      </c>
      <c r="CQ377" s="47"/>
      <c r="CR377" s="47">
        <f t="shared" si="270"/>
        <v>0</v>
      </c>
      <c r="CS377" s="47"/>
      <c r="CT377" s="47"/>
      <c r="CU377" s="47"/>
      <c r="CV377" s="47"/>
      <c r="CW377" s="47">
        <f t="shared" si="250"/>
        <v>0</v>
      </c>
      <c r="CX377" s="46"/>
      <c r="CY377" s="47">
        <f t="shared" si="251"/>
        <v>0</v>
      </c>
      <c r="CZ377" s="47"/>
      <c r="DA377" s="47"/>
      <c r="DB377" s="47"/>
      <c r="DC377" s="47"/>
      <c r="DD377" s="47"/>
      <c r="DE377" s="47"/>
      <c r="DF377" s="46"/>
      <c r="DG377" s="47"/>
      <c r="DH377" s="46"/>
      <c r="DI377" s="47"/>
      <c r="DJ377" s="47"/>
      <c r="DK377" s="47"/>
      <c r="DL377" s="47"/>
      <c r="DM377" s="47"/>
      <c r="DN377" s="46">
        <f t="shared" si="272"/>
        <v>0</v>
      </c>
      <c r="DO377" s="47"/>
      <c r="DP377" s="46"/>
      <c r="DQ377" s="47"/>
      <c r="DR377" s="46"/>
      <c r="DS377" s="47"/>
      <c r="DT377" s="46"/>
      <c r="DU377" s="47"/>
      <c r="DV377" s="46"/>
      <c r="DW377" s="47"/>
      <c r="DX377" s="47">
        <f t="shared" si="265"/>
        <v>0</v>
      </c>
      <c r="DY377" s="47"/>
      <c r="DZ377" s="47"/>
      <c r="EA377" s="47"/>
      <c r="EB377" s="47"/>
      <c r="EC377" s="47"/>
      <c r="ED377" s="47"/>
      <c r="EE377" s="47">
        <f t="shared" si="264"/>
        <v>0</v>
      </c>
      <c r="EF377" s="47"/>
      <c r="EG377" s="47"/>
      <c r="EH377" s="47"/>
      <c r="EI377" s="47"/>
      <c r="EJ377" s="47"/>
      <c r="EK377" s="47">
        <f t="shared" si="242"/>
        <v>0</v>
      </c>
      <c r="EL377" s="46">
        <f t="shared" si="243"/>
        <v>0</v>
      </c>
      <c r="EM377" s="46"/>
      <c r="EN377" s="46">
        <f t="shared" si="244"/>
        <v>0</v>
      </c>
    </row>
    <row r="378" spans="1:144" s="48" customFormat="1" ht="15" customHeight="1" x14ac:dyDescent="0.25">
      <c r="A378" s="58"/>
      <c r="B378" s="41">
        <v>48</v>
      </c>
      <c r="C378" s="49"/>
      <c r="D378" s="53"/>
      <c r="E378" s="52"/>
      <c r="F378" s="52"/>
      <c r="G378" s="52"/>
      <c r="H378" s="52"/>
      <c r="I378" s="52"/>
      <c r="J378" s="52"/>
      <c r="K378" s="52"/>
      <c r="L378" s="49"/>
      <c r="M378" s="42"/>
      <c r="N378" s="41"/>
      <c r="O378" s="41"/>
      <c r="P378" s="42"/>
      <c r="Q378" s="45"/>
      <c r="R378" s="45"/>
      <c r="S378" s="42"/>
      <c r="T378" s="46"/>
      <c r="U378" s="46"/>
      <c r="V378" s="46"/>
      <c r="W378" s="46"/>
      <c r="X378" s="46"/>
      <c r="Y378" s="46"/>
      <c r="Z378" s="42"/>
      <c r="AA378" s="42"/>
      <c r="AB378" s="42"/>
      <c r="AC378" s="42"/>
      <c r="AD378" s="42"/>
      <c r="AE378" s="42"/>
      <c r="AF378" s="42"/>
      <c r="AG378" s="42"/>
      <c r="AH378" s="42"/>
      <c r="AI378" s="46"/>
      <c r="AJ378" s="42"/>
      <c r="AK378" s="42"/>
      <c r="AL378" s="42"/>
      <c r="AM378" s="42"/>
      <c r="AN378" s="47">
        <f t="shared" si="239"/>
        <v>0</v>
      </c>
      <c r="AO378" s="47">
        <f t="shared" si="240"/>
        <v>0</v>
      </c>
      <c r="AP378" s="42" t="s">
        <v>102</v>
      </c>
      <c r="AQ378" s="61"/>
      <c r="AR378" s="42"/>
      <c r="AS378" s="42"/>
      <c r="AT378" s="46"/>
      <c r="AU378" s="47">
        <f t="shared" si="267"/>
        <v>0</v>
      </c>
      <c r="AV378" s="47"/>
      <c r="AW378" s="47">
        <f t="shared" si="271"/>
        <v>0</v>
      </c>
      <c r="AX378" s="47"/>
      <c r="AY378" s="47"/>
      <c r="AZ378" s="47"/>
      <c r="BA378" s="47"/>
      <c r="BB378" s="47"/>
      <c r="BC378" s="47">
        <f t="shared" si="266"/>
        <v>0</v>
      </c>
      <c r="BD378" s="47"/>
      <c r="BE378" s="47">
        <f t="shared" si="268"/>
        <v>0</v>
      </c>
      <c r="BF378" s="47"/>
      <c r="BG378" s="47"/>
      <c r="BH378" s="47"/>
      <c r="BI378" s="47"/>
      <c r="BJ378" s="47"/>
      <c r="BK378" s="47">
        <f t="shared" si="273"/>
        <v>0</v>
      </c>
      <c r="BL378" s="47"/>
      <c r="BM378" s="47">
        <f t="shared" si="274"/>
        <v>0</v>
      </c>
      <c r="BN378" s="47"/>
      <c r="BO378" s="47"/>
      <c r="BP378" s="47"/>
      <c r="BQ378" s="47"/>
      <c r="BR378" s="47"/>
      <c r="BS378" s="47">
        <f t="shared" si="275"/>
        <v>0</v>
      </c>
      <c r="BT378" s="47"/>
      <c r="BU378" s="47">
        <f t="shared" si="276"/>
        <v>0</v>
      </c>
      <c r="BV378" s="47"/>
      <c r="BW378" s="47"/>
      <c r="BX378" s="47"/>
      <c r="BY378" s="47"/>
      <c r="BZ378" s="47"/>
      <c r="CA378" s="47">
        <f t="shared" si="277"/>
        <v>0</v>
      </c>
      <c r="CB378" s="47"/>
      <c r="CC378" s="47">
        <f t="shared" si="278"/>
        <v>0</v>
      </c>
      <c r="CD378" s="47"/>
      <c r="CE378" s="47"/>
      <c r="CF378" s="47"/>
      <c r="CG378" s="47"/>
      <c r="CH378" s="47"/>
      <c r="CI378" s="47">
        <f t="shared" si="279"/>
        <v>0</v>
      </c>
      <c r="CJ378" s="47"/>
      <c r="CK378" s="47">
        <f t="shared" si="280"/>
        <v>0</v>
      </c>
      <c r="CL378" s="47"/>
      <c r="CM378" s="47"/>
      <c r="CN378" s="47"/>
      <c r="CO378" s="47"/>
      <c r="CP378" s="46">
        <f t="shared" si="281"/>
        <v>0</v>
      </c>
      <c r="CQ378" s="47"/>
      <c r="CR378" s="47">
        <f t="shared" si="270"/>
        <v>0</v>
      </c>
      <c r="CS378" s="47"/>
      <c r="CT378" s="47"/>
      <c r="CU378" s="47"/>
      <c r="CV378" s="47"/>
      <c r="CW378" s="47">
        <f t="shared" si="250"/>
        <v>0</v>
      </c>
      <c r="CX378" s="46"/>
      <c r="CY378" s="47">
        <f t="shared" si="251"/>
        <v>0</v>
      </c>
      <c r="CZ378" s="47"/>
      <c r="DA378" s="47"/>
      <c r="DB378" s="47"/>
      <c r="DC378" s="47"/>
      <c r="DD378" s="47"/>
      <c r="DE378" s="47"/>
      <c r="DF378" s="46"/>
      <c r="DG378" s="47"/>
      <c r="DH378" s="46"/>
      <c r="DI378" s="47"/>
      <c r="DJ378" s="47"/>
      <c r="DK378" s="47"/>
      <c r="DL378" s="47"/>
      <c r="DM378" s="47"/>
      <c r="DN378" s="46">
        <f t="shared" si="272"/>
        <v>0</v>
      </c>
      <c r="DO378" s="47"/>
      <c r="DP378" s="46"/>
      <c r="DQ378" s="47"/>
      <c r="DR378" s="46"/>
      <c r="DS378" s="47"/>
      <c r="DT378" s="46"/>
      <c r="DU378" s="47"/>
      <c r="DV378" s="46"/>
      <c r="DW378" s="47"/>
      <c r="DX378" s="47">
        <f t="shared" si="265"/>
        <v>0</v>
      </c>
      <c r="DY378" s="47"/>
      <c r="DZ378" s="47"/>
      <c r="EA378" s="47"/>
      <c r="EB378" s="47"/>
      <c r="EC378" s="47"/>
      <c r="ED378" s="47"/>
      <c r="EE378" s="47">
        <f t="shared" si="264"/>
        <v>0</v>
      </c>
      <c r="EF378" s="47"/>
      <c r="EG378" s="47"/>
      <c r="EH378" s="47"/>
      <c r="EI378" s="47"/>
      <c r="EJ378" s="47"/>
      <c r="EK378" s="47">
        <f t="shared" si="242"/>
        <v>0</v>
      </c>
      <c r="EL378" s="46">
        <f t="shared" si="243"/>
        <v>0</v>
      </c>
      <c r="EM378" s="46"/>
      <c r="EN378" s="46">
        <f t="shared" si="244"/>
        <v>0</v>
      </c>
    </row>
    <row r="379" spans="1:144" s="48" customFormat="1" ht="15" customHeight="1" x14ac:dyDescent="0.25">
      <c r="A379" s="58"/>
      <c r="B379" s="41">
        <v>49</v>
      </c>
      <c r="C379" s="49"/>
      <c r="D379" s="53"/>
      <c r="E379" s="52"/>
      <c r="F379" s="52"/>
      <c r="G379" s="52"/>
      <c r="H379" s="52"/>
      <c r="I379" s="52"/>
      <c r="J379" s="52"/>
      <c r="K379" s="52"/>
      <c r="L379" s="49"/>
      <c r="M379" s="42"/>
      <c r="N379" s="41"/>
      <c r="O379" s="41"/>
      <c r="P379" s="42"/>
      <c r="Q379" s="45"/>
      <c r="R379" s="45"/>
      <c r="S379" s="42"/>
      <c r="T379" s="46"/>
      <c r="U379" s="46"/>
      <c r="V379" s="46"/>
      <c r="W379" s="46"/>
      <c r="X379" s="46"/>
      <c r="Y379" s="46"/>
      <c r="Z379" s="42"/>
      <c r="AA379" s="42"/>
      <c r="AB379" s="42"/>
      <c r="AC379" s="42"/>
      <c r="AD379" s="42"/>
      <c r="AE379" s="42"/>
      <c r="AF379" s="42"/>
      <c r="AG379" s="42"/>
      <c r="AH379" s="42"/>
      <c r="AI379" s="46"/>
      <c r="AJ379" s="42"/>
      <c r="AK379" s="42"/>
      <c r="AL379" s="42"/>
      <c r="AM379" s="42"/>
      <c r="AN379" s="47">
        <f t="shared" si="239"/>
        <v>0</v>
      </c>
      <c r="AO379" s="47">
        <f t="shared" si="240"/>
        <v>0</v>
      </c>
      <c r="AP379" s="42" t="s">
        <v>102</v>
      </c>
      <c r="AQ379" s="61"/>
      <c r="AR379" s="42"/>
      <c r="AS379" s="42"/>
      <c r="AT379" s="46"/>
      <c r="AU379" s="47">
        <f t="shared" si="267"/>
        <v>0</v>
      </c>
      <c r="AV379" s="47"/>
      <c r="AW379" s="47">
        <f t="shared" si="271"/>
        <v>0</v>
      </c>
      <c r="AX379" s="47"/>
      <c r="AY379" s="47"/>
      <c r="AZ379" s="47"/>
      <c r="BA379" s="47"/>
      <c r="BB379" s="47"/>
      <c r="BC379" s="47">
        <f t="shared" si="266"/>
        <v>0</v>
      </c>
      <c r="BD379" s="47"/>
      <c r="BE379" s="47">
        <f t="shared" si="268"/>
        <v>0</v>
      </c>
      <c r="BF379" s="47"/>
      <c r="BG379" s="47"/>
      <c r="BH379" s="47"/>
      <c r="BI379" s="47"/>
      <c r="BJ379" s="47"/>
      <c r="BK379" s="47">
        <f t="shared" si="273"/>
        <v>0</v>
      </c>
      <c r="BL379" s="47"/>
      <c r="BM379" s="47">
        <f t="shared" si="274"/>
        <v>0</v>
      </c>
      <c r="BN379" s="47"/>
      <c r="BO379" s="47"/>
      <c r="BP379" s="47"/>
      <c r="BQ379" s="47"/>
      <c r="BR379" s="47"/>
      <c r="BS379" s="47">
        <f t="shared" si="275"/>
        <v>0</v>
      </c>
      <c r="BT379" s="47"/>
      <c r="BU379" s="47">
        <f t="shared" si="276"/>
        <v>0</v>
      </c>
      <c r="BV379" s="47"/>
      <c r="BW379" s="47"/>
      <c r="BX379" s="47"/>
      <c r="BY379" s="47"/>
      <c r="BZ379" s="47"/>
      <c r="CA379" s="47">
        <f t="shared" si="277"/>
        <v>0</v>
      </c>
      <c r="CB379" s="47"/>
      <c r="CC379" s="47">
        <f t="shared" si="278"/>
        <v>0</v>
      </c>
      <c r="CD379" s="47"/>
      <c r="CE379" s="47"/>
      <c r="CF379" s="47"/>
      <c r="CG379" s="47"/>
      <c r="CH379" s="47"/>
      <c r="CI379" s="47">
        <f t="shared" si="279"/>
        <v>0</v>
      </c>
      <c r="CJ379" s="47"/>
      <c r="CK379" s="47">
        <f t="shared" si="280"/>
        <v>0</v>
      </c>
      <c r="CL379" s="47"/>
      <c r="CM379" s="47"/>
      <c r="CN379" s="47"/>
      <c r="CO379" s="47"/>
      <c r="CP379" s="46">
        <f t="shared" si="281"/>
        <v>0</v>
      </c>
      <c r="CQ379" s="47"/>
      <c r="CR379" s="47">
        <f t="shared" si="270"/>
        <v>0</v>
      </c>
      <c r="CS379" s="47"/>
      <c r="CT379" s="47"/>
      <c r="CU379" s="47"/>
      <c r="CV379" s="47"/>
      <c r="CW379" s="47">
        <f t="shared" si="250"/>
        <v>0</v>
      </c>
      <c r="CX379" s="46"/>
      <c r="CY379" s="47">
        <f t="shared" si="251"/>
        <v>0</v>
      </c>
      <c r="CZ379" s="47"/>
      <c r="DA379" s="47"/>
      <c r="DB379" s="47"/>
      <c r="DC379" s="47"/>
      <c r="DD379" s="47"/>
      <c r="DE379" s="47"/>
      <c r="DF379" s="46"/>
      <c r="DG379" s="47"/>
      <c r="DH379" s="46"/>
      <c r="DI379" s="47"/>
      <c r="DJ379" s="47"/>
      <c r="DK379" s="47"/>
      <c r="DL379" s="47"/>
      <c r="DM379" s="47"/>
      <c r="DN379" s="46">
        <f t="shared" si="272"/>
        <v>0</v>
      </c>
      <c r="DO379" s="47"/>
      <c r="DP379" s="46"/>
      <c r="DQ379" s="47"/>
      <c r="DR379" s="46"/>
      <c r="DS379" s="47"/>
      <c r="DT379" s="46"/>
      <c r="DU379" s="47"/>
      <c r="DV379" s="46"/>
      <c r="DW379" s="47"/>
      <c r="DX379" s="47">
        <f t="shared" si="265"/>
        <v>0</v>
      </c>
      <c r="DY379" s="47"/>
      <c r="DZ379" s="47"/>
      <c r="EA379" s="47"/>
      <c r="EB379" s="47"/>
      <c r="EC379" s="47"/>
      <c r="ED379" s="47"/>
      <c r="EE379" s="47">
        <f t="shared" si="264"/>
        <v>0</v>
      </c>
      <c r="EF379" s="47"/>
      <c r="EG379" s="47"/>
      <c r="EH379" s="47"/>
      <c r="EI379" s="47"/>
      <c r="EJ379" s="47"/>
      <c r="EK379" s="47">
        <f t="shared" si="242"/>
        <v>0</v>
      </c>
      <c r="EL379" s="46">
        <f t="shared" si="243"/>
        <v>0</v>
      </c>
      <c r="EM379" s="46"/>
      <c r="EN379" s="46">
        <f t="shared" si="244"/>
        <v>0</v>
      </c>
    </row>
    <row r="380" spans="1:144" s="48" customFormat="1" ht="15" customHeight="1" x14ac:dyDescent="0.25">
      <c r="A380" s="58"/>
      <c r="B380" s="41">
        <v>50</v>
      </c>
      <c r="C380" s="49"/>
      <c r="D380" s="53"/>
      <c r="E380" s="52"/>
      <c r="F380" s="52"/>
      <c r="G380" s="52"/>
      <c r="H380" s="52"/>
      <c r="I380" s="52"/>
      <c r="J380" s="52"/>
      <c r="K380" s="52"/>
      <c r="L380" s="49"/>
      <c r="M380" s="42"/>
      <c r="N380" s="41"/>
      <c r="O380" s="41"/>
      <c r="P380" s="42"/>
      <c r="Q380" s="45"/>
      <c r="R380" s="45"/>
      <c r="S380" s="42"/>
      <c r="T380" s="46"/>
      <c r="U380" s="46"/>
      <c r="V380" s="46"/>
      <c r="W380" s="46"/>
      <c r="X380" s="46"/>
      <c r="Y380" s="46"/>
      <c r="Z380" s="42"/>
      <c r="AA380" s="42"/>
      <c r="AB380" s="42"/>
      <c r="AC380" s="42"/>
      <c r="AD380" s="42"/>
      <c r="AE380" s="42"/>
      <c r="AF380" s="42"/>
      <c r="AG380" s="42"/>
      <c r="AH380" s="42"/>
      <c r="AI380" s="46"/>
      <c r="AJ380" s="42"/>
      <c r="AK380" s="42"/>
      <c r="AL380" s="42"/>
      <c r="AM380" s="42"/>
      <c r="AN380" s="47">
        <f t="shared" si="239"/>
        <v>0</v>
      </c>
      <c r="AO380" s="47">
        <f t="shared" si="240"/>
        <v>0</v>
      </c>
      <c r="AP380" s="42" t="s">
        <v>102</v>
      </c>
      <c r="AQ380" s="61"/>
      <c r="AR380" s="42"/>
      <c r="AS380" s="42"/>
      <c r="AT380" s="46"/>
      <c r="AU380" s="47">
        <f t="shared" si="267"/>
        <v>0</v>
      </c>
      <c r="AV380" s="47"/>
      <c r="AW380" s="47">
        <f t="shared" si="271"/>
        <v>0</v>
      </c>
      <c r="AX380" s="47"/>
      <c r="AY380" s="47"/>
      <c r="AZ380" s="47"/>
      <c r="BA380" s="47"/>
      <c r="BB380" s="47"/>
      <c r="BC380" s="47">
        <f t="shared" si="266"/>
        <v>0</v>
      </c>
      <c r="BD380" s="47"/>
      <c r="BE380" s="47">
        <f t="shared" si="268"/>
        <v>0</v>
      </c>
      <c r="BF380" s="47"/>
      <c r="BG380" s="47"/>
      <c r="BH380" s="47"/>
      <c r="BI380" s="47"/>
      <c r="BJ380" s="47"/>
      <c r="BK380" s="47">
        <f t="shared" si="273"/>
        <v>0</v>
      </c>
      <c r="BL380" s="47"/>
      <c r="BM380" s="47">
        <f t="shared" si="274"/>
        <v>0</v>
      </c>
      <c r="BN380" s="47"/>
      <c r="BO380" s="47"/>
      <c r="BP380" s="47"/>
      <c r="BQ380" s="47"/>
      <c r="BR380" s="47"/>
      <c r="BS380" s="47">
        <f t="shared" si="275"/>
        <v>0</v>
      </c>
      <c r="BT380" s="47"/>
      <c r="BU380" s="47">
        <f t="shared" si="276"/>
        <v>0</v>
      </c>
      <c r="BV380" s="47"/>
      <c r="BW380" s="47"/>
      <c r="BX380" s="47"/>
      <c r="BY380" s="47"/>
      <c r="BZ380" s="47"/>
      <c r="CA380" s="47">
        <f t="shared" si="277"/>
        <v>0</v>
      </c>
      <c r="CB380" s="47"/>
      <c r="CC380" s="47">
        <f t="shared" si="278"/>
        <v>0</v>
      </c>
      <c r="CD380" s="47"/>
      <c r="CE380" s="47"/>
      <c r="CF380" s="47"/>
      <c r="CG380" s="47"/>
      <c r="CH380" s="47"/>
      <c r="CI380" s="47">
        <f t="shared" si="279"/>
        <v>0</v>
      </c>
      <c r="CJ380" s="47"/>
      <c r="CK380" s="47">
        <f t="shared" si="280"/>
        <v>0</v>
      </c>
      <c r="CL380" s="47"/>
      <c r="CM380" s="47"/>
      <c r="CN380" s="47"/>
      <c r="CO380" s="47"/>
      <c r="CP380" s="46">
        <f t="shared" si="281"/>
        <v>0</v>
      </c>
      <c r="CQ380" s="47"/>
      <c r="CR380" s="47">
        <f t="shared" si="270"/>
        <v>0</v>
      </c>
      <c r="CS380" s="47"/>
      <c r="CT380" s="47"/>
      <c r="CU380" s="47"/>
      <c r="CV380" s="47"/>
      <c r="CW380" s="47">
        <f t="shared" si="250"/>
        <v>0</v>
      </c>
      <c r="CX380" s="46"/>
      <c r="CY380" s="47">
        <f t="shared" si="251"/>
        <v>0</v>
      </c>
      <c r="CZ380" s="47"/>
      <c r="DA380" s="47"/>
      <c r="DB380" s="47"/>
      <c r="DC380" s="47"/>
      <c r="DD380" s="47"/>
      <c r="DE380" s="47"/>
      <c r="DF380" s="46"/>
      <c r="DG380" s="47"/>
      <c r="DH380" s="46"/>
      <c r="DI380" s="47"/>
      <c r="DJ380" s="47"/>
      <c r="DK380" s="47"/>
      <c r="DL380" s="47"/>
      <c r="DM380" s="47"/>
      <c r="DN380" s="46">
        <f t="shared" si="272"/>
        <v>0</v>
      </c>
      <c r="DO380" s="47"/>
      <c r="DP380" s="46"/>
      <c r="DQ380" s="47"/>
      <c r="DR380" s="46"/>
      <c r="DS380" s="47"/>
      <c r="DT380" s="46"/>
      <c r="DU380" s="47"/>
      <c r="DV380" s="46"/>
      <c r="DW380" s="47"/>
      <c r="DX380" s="47">
        <f t="shared" si="265"/>
        <v>0</v>
      </c>
      <c r="DY380" s="47"/>
      <c r="DZ380" s="47"/>
      <c r="EA380" s="47"/>
      <c r="EB380" s="47"/>
      <c r="EC380" s="47"/>
      <c r="ED380" s="47"/>
      <c r="EE380" s="47">
        <f t="shared" si="264"/>
        <v>0</v>
      </c>
      <c r="EF380" s="47"/>
      <c r="EG380" s="47"/>
      <c r="EH380" s="47"/>
      <c r="EI380" s="47"/>
      <c r="EJ380" s="47"/>
      <c r="EK380" s="47">
        <f t="shared" si="242"/>
        <v>0</v>
      </c>
      <c r="EL380" s="46">
        <f t="shared" si="243"/>
        <v>0</v>
      </c>
      <c r="EM380" s="46"/>
      <c r="EN380" s="46">
        <f t="shared" si="244"/>
        <v>0</v>
      </c>
    </row>
    <row r="381" spans="1:144" s="48" customFormat="1" ht="15" customHeight="1" x14ac:dyDescent="0.25">
      <c r="A381" s="58"/>
      <c r="B381" s="41">
        <v>51</v>
      </c>
      <c r="C381" s="49"/>
      <c r="D381" s="53"/>
      <c r="E381" s="52"/>
      <c r="F381" s="52"/>
      <c r="G381" s="52"/>
      <c r="H381" s="52"/>
      <c r="I381" s="52"/>
      <c r="J381" s="52"/>
      <c r="K381" s="52"/>
      <c r="L381" s="49"/>
      <c r="M381" s="42"/>
      <c r="N381" s="41"/>
      <c r="O381" s="41"/>
      <c r="P381" s="42"/>
      <c r="Q381" s="45"/>
      <c r="R381" s="45"/>
      <c r="S381" s="42"/>
      <c r="T381" s="46"/>
      <c r="U381" s="46"/>
      <c r="V381" s="46"/>
      <c r="W381" s="46"/>
      <c r="X381" s="46"/>
      <c r="Y381" s="46"/>
      <c r="Z381" s="42"/>
      <c r="AA381" s="42"/>
      <c r="AB381" s="42"/>
      <c r="AC381" s="42"/>
      <c r="AD381" s="42"/>
      <c r="AE381" s="42"/>
      <c r="AF381" s="42"/>
      <c r="AG381" s="42"/>
      <c r="AH381" s="42"/>
      <c r="AI381" s="46"/>
      <c r="AJ381" s="42"/>
      <c r="AK381" s="42"/>
      <c r="AL381" s="42"/>
      <c r="AM381" s="42"/>
      <c r="AN381" s="47">
        <f t="shared" si="239"/>
        <v>0</v>
      </c>
      <c r="AO381" s="47">
        <f t="shared" si="240"/>
        <v>0</v>
      </c>
      <c r="AP381" s="42" t="s">
        <v>102</v>
      </c>
      <c r="AQ381" s="61"/>
      <c r="AR381" s="42"/>
      <c r="AS381" s="42"/>
      <c r="AT381" s="46"/>
      <c r="AU381" s="47">
        <f t="shared" si="267"/>
        <v>0</v>
      </c>
      <c r="AV381" s="47"/>
      <c r="AW381" s="47">
        <f t="shared" si="271"/>
        <v>0</v>
      </c>
      <c r="AX381" s="47"/>
      <c r="AY381" s="47"/>
      <c r="AZ381" s="47"/>
      <c r="BA381" s="47"/>
      <c r="BB381" s="47"/>
      <c r="BC381" s="47">
        <f t="shared" si="266"/>
        <v>0</v>
      </c>
      <c r="BD381" s="47"/>
      <c r="BE381" s="47">
        <f t="shared" si="268"/>
        <v>0</v>
      </c>
      <c r="BF381" s="47"/>
      <c r="BG381" s="47"/>
      <c r="BH381" s="47"/>
      <c r="BI381" s="47"/>
      <c r="BJ381" s="47"/>
      <c r="BK381" s="47">
        <f t="shared" si="273"/>
        <v>0</v>
      </c>
      <c r="BL381" s="47"/>
      <c r="BM381" s="47">
        <f t="shared" si="274"/>
        <v>0</v>
      </c>
      <c r="BN381" s="47"/>
      <c r="BO381" s="47"/>
      <c r="BP381" s="47"/>
      <c r="BQ381" s="47"/>
      <c r="BR381" s="47"/>
      <c r="BS381" s="47">
        <f t="shared" si="275"/>
        <v>0</v>
      </c>
      <c r="BT381" s="47"/>
      <c r="BU381" s="47">
        <f t="shared" si="276"/>
        <v>0</v>
      </c>
      <c r="BV381" s="47"/>
      <c r="BW381" s="47"/>
      <c r="BX381" s="47"/>
      <c r="BY381" s="47"/>
      <c r="BZ381" s="47"/>
      <c r="CA381" s="47">
        <f t="shared" si="277"/>
        <v>0</v>
      </c>
      <c r="CB381" s="47"/>
      <c r="CC381" s="47">
        <f t="shared" si="278"/>
        <v>0</v>
      </c>
      <c r="CD381" s="47"/>
      <c r="CE381" s="47"/>
      <c r="CF381" s="47"/>
      <c r="CG381" s="47"/>
      <c r="CH381" s="47"/>
      <c r="CI381" s="47">
        <f t="shared" si="279"/>
        <v>0</v>
      </c>
      <c r="CJ381" s="47"/>
      <c r="CK381" s="47">
        <f t="shared" si="280"/>
        <v>0</v>
      </c>
      <c r="CL381" s="47"/>
      <c r="CM381" s="47"/>
      <c r="CN381" s="47"/>
      <c r="CO381" s="47"/>
      <c r="CP381" s="46">
        <f t="shared" si="281"/>
        <v>0</v>
      </c>
      <c r="CQ381" s="47"/>
      <c r="CR381" s="47">
        <f t="shared" si="270"/>
        <v>0</v>
      </c>
      <c r="CS381" s="47"/>
      <c r="CT381" s="47"/>
      <c r="CU381" s="47"/>
      <c r="CV381" s="47"/>
      <c r="CW381" s="47">
        <f t="shared" si="250"/>
        <v>0</v>
      </c>
      <c r="CX381" s="46"/>
      <c r="CY381" s="47">
        <f t="shared" si="251"/>
        <v>0</v>
      </c>
      <c r="CZ381" s="47"/>
      <c r="DA381" s="47"/>
      <c r="DB381" s="47"/>
      <c r="DC381" s="47"/>
      <c r="DD381" s="47"/>
      <c r="DE381" s="47"/>
      <c r="DF381" s="46"/>
      <c r="DG381" s="47"/>
      <c r="DH381" s="46"/>
      <c r="DI381" s="47"/>
      <c r="DJ381" s="47"/>
      <c r="DK381" s="47"/>
      <c r="DL381" s="47"/>
      <c r="DM381" s="47"/>
      <c r="DN381" s="46">
        <f t="shared" si="272"/>
        <v>0</v>
      </c>
      <c r="DO381" s="47"/>
      <c r="DP381" s="46"/>
      <c r="DQ381" s="47"/>
      <c r="DR381" s="46"/>
      <c r="DS381" s="47"/>
      <c r="DT381" s="46"/>
      <c r="DU381" s="47"/>
      <c r="DV381" s="46"/>
      <c r="DW381" s="47"/>
      <c r="DX381" s="47">
        <f t="shared" si="265"/>
        <v>0</v>
      </c>
      <c r="DY381" s="47"/>
      <c r="DZ381" s="47"/>
      <c r="EA381" s="47"/>
      <c r="EB381" s="47"/>
      <c r="EC381" s="47"/>
      <c r="ED381" s="47"/>
      <c r="EE381" s="47">
        <f t="shared" si="264"/>
        <v>0</v>
      </c>
      <c r="EF381" s="47"/>
      <c r="EG381" s="47"/>
      <c r="EH381" s="47"/>
      <c r="EI381" s="47"/>
      <c r="EJ381" s="47"/>
      <c r="EK381" s="47">
        <f t="shared" si="242"/>
        <v>0</v>
      </c>
      <c r="EL381" s="46">
        <f t="shared" si="243"/>
        <v>0</v>
      </c>
      <c r="EM381" s="46"/>
      <c r="EN381" s="46">
        <f t="shared" si="244"/>
        <v>0</v>
      </c>
    </row>
    <row r="382" spans="1:144" s="48" customFormat="1" ht="15" customHeight="1" x14ac:dyDescent="0.25">
      <c r="A382" s="58"/>
      <c r="B382" s="41">
        <v>52</v>
      </c>
      <c r="C382" s="49"/>
      <c r="D382" s="53"/>
      <c r="E382" s="52"/>
      <c r="F382" s="52"/>
      <c r="G382" s="52"/>
      <c r="H382" s="52"/>
      <c r="I382" s="52"/>
      <c r="J382" s="52"/>
      <c r="K382" s="52"/>
      <c r="L382" s="49"/>
      <c r="M382" s="42"/>
      <c r="N382" s="41"/>
      <c r="O382" s="41"/>
      <c r="P382" s="42"/>
      <c r="Q382" s="45"/>
      <c r="R382" s="45"/>
      <c r="S382" s="42"/>
      <c r="T382" s="46"/>
      <c r="U382" s="46"/>
      <c r="V382" s="46"/>
      <c r="W382" s="46"/>
      <c r="X382" s="46"/>
      <c r="Y382" s="46"/>
      <c r="Z382" s="42"/>
      <c r="AA382" s="42"/>
      <c r="AB382" s="42"/>
      <c r="AC382" s="42"/>
      <c r="AD382" s="42"/>
      <c r="AE382" s="42"/>
      <c r="AF382" s="42"/>
      <c r="AG382" s="42"/>
      <c r="AH382" s="42"/>
      <c r="AI382" s="46"/>
      <c r="AJ382" s="42"/>
      <c r="AK382" s="42"/>
      <c r="AL382" s="42"/>
      <c r="AM382" s="42"/>
      <c r="AN382" s="47">
        <f t="shared" si="239"/>
        <v>0</v>
      </c>
      <c r="AO382" s="47">
        <f t="shared" si="240"/>
        <v>0</v>
      </c>
      <c r="AP382" s="42" t="s">
        <v>102</v>
      </c>
      <c r="AQ382" s="61"/>
      <c r="AR382" s="42"/>
      <c r="AS382" s="42"/>
      <c r="AT382" s="46"/>
      <c r="AU382" s="47">
        <f t="shared" si="267"/>
        <v>0</v>
      </c>
      <c r="AV382" s="47"/>
      <c r="AW382" s="47">
        <f t="shared" si="271"/>
        <v>0</v>
      </c>
      <c r="AX382" s="47"/>
      <c r="AY382" s="47"/>
      <c r="AZ382" s="47"/>
      <c r="BA382" s="47"/>
      <c r="BB382" s="47"/>
      <c r="BC382" s="47">
        <f t="shared" si="266"/>
        <v>0</v>
      </c>
      <c r="BD382" s="47"/>
      <c r="BE382" s="47">
        <f t="shared" si="268"/>
        <v>0</v>
      </c>
      <c r="BF382" s="47"/>
      <c r="BG382" s="47"/>
      <c r="BH382" s="47"/>
      <c r="BI382" s="47"/>
      <c r="BJ382" s="47"/>
      <c r="BK382" s="47"/>
      <c r="BL382" s="47"/>
      <c r="BM382" s="47">
        <f t="shared" si="274"/>
        <v>0</v>
      </c>
      <c r="BN382" s="47"/>
      <c r="BO382" s="47"/>
      <c r="BP382" s="47"/>
      <c r="BQ382" s="47"/>
      <c r="BR382" s="47"/>
      <c r="BS382" s="47"/>
      <c r="BT382" s="47"/>
      <c r="BU382" s="47">
        <f t="shared" si="276"/>
        <v>0</v>
      </c>
      <c r="BV382" s="47"/>
      <c r="BW382" s="47"/>
      <c r="BX382" s="47"/>
      <c r="BY382" s="47"/>
      <c r="BZ382" s="47"/>
      <c r="CA382" s="47"/>
      <c r="CB382" s="47"/>
      <c r="CC382" s="47">
        <f t="shared" si="278"/>
        <v>0</v>
      </c>
      <c r="CD382" s="47"/>
      <c r="CE382" s="47"/>
      <c r="CF382" s="47"/>
      <c r="CG382" s="47"/>
      <c r="CH382" s="47"/>
      <c r="CI382" s="47"/>
      <c r="CJ382" s="47"/>
      <c r="CK382" s="47">
        <f t="shared" si="280"/>
        <v>0</v>
      </c>
      <c r="CL382" s="47"/>
      <c r="CM382" s="47"/>
      <c r="CN382" s="47"/>
      <c r="CO382" s="47"/>
      <c r="CP382" s="46">
        <f t="shared" si="281"/>
        <v>0</v>
      </c>
      <c r="CQ382" s="47"/>
      <c r="CR382" s="47">
        <f t="shared" si="270"/>
        <v>0</v>
      </c>
      <c r="CS382" s="47"/>
      <c r="CT382" s="47"/>
      <c r="CU382" s="47"/>
      <c r="CV382" s="47"/>
      <c r="CW382" s="47">
        <f t="shared" si="250"/>
        <v>0</v>
      </c>
      <c r="CX382" s="46"/>
      <c r="CY382" s="47">
        <f t="shared" si="251"/>
        <v>0</v>
      </c>
      <c r="CZ382" s="47"/>
      <c r="DA382" s="47"/>
      <c r="DB382" s="47"/>
      <c r="DC382" s="47"/>
      <c r="DD382" s="47"/>
      <c r="DE382" s="47"/>
      <c r="DF382" s="46"/>
      <c r="DG382" s="47"/>
      <c r="DH382" s="46"/>
      <c r="DI382" s="47"/>
      <c r="DJ382" s="47"/>
      <c r="DK382" s="47"/>
      <c r="DL382" s="47"/>
      <c r="DM382" s="47"/>
      <c r="DN382" s="46">
        <f t="shared" si="272"/>
        <v>0</v>
      </c>
      <c r="DO382" s="47"/>
      <c r="DP382" s="46"/>
      <c r="DQ382" s="47"/>
      <c r="DR382" s="46"/>
      <c r="DS382" s="47"/>
      <c r="DT382" s="46"/>
      <c r="DU382" s="47"/>
      <c r="DV382" s="46"/>
      <c r="DW382" s="47"/>
      <c r="DX382" s="47">
        <f t="shared" si="265"/>
        <v>0</v>
      </c>
      <c r="DY382" s="47"/>
      <c r="DZ382" s="47"/>
      <c r="EA382" s="47"/>
      <c r="EB382" s="47"/>
      <c r="EC382" s="47"/>
      <c r="ED382" s="47"/>
      <c r="EE382" s="47">
        <f t="shared" si="264"/>
        <v>0</v>
      </c>
      <c r="EF382" s="47"/>
      <c r="EG382" s="47"/>
      <c r="EH382" s="47"/>
      <c r="EI382" s="47"/>
      <c r="EJ382" s="47"/>
      <c r="EK382" s="47">
        <f t="shared" si="242"/>
        <v>0</v>
      </c>
      <c r="EL382" s="46">
        <f t="shared" si="243"/>
        <v>0</v>
      </c>
      <c r="EM382" s="46"/>
      <c r="EN382" s="46">
        <f t="shared" si="244"/>
        <v>0</v>
      </c>
    </row>
    <row r="383" spans="1:144" s="48" customFormat="1" ht="15" customHeight="1" x14ac:dyDescent="0.25">
      <c r="A383" s="58"/>
      <c r="B383" s="41">
        <v>53</v>
      </c>
      <c r="C383" s="49"/>
      <c r="D383" s="53"/>
      <c r="E383" s="52"/>
      <c r="F383" s="52"/>
      <c r="G383" s="52"/>
      <c r="H383" s="52"/>
      <c r="I383" s="52"/>
      <c r="J383" s="52"/>
      <c r="K383" s="52"/>
      <c r="L383" s="49"/>
      <c r="M383" s="42"/>
      <c r="N383" s="41"/>
      <c r="O383" s="41"/>
      <c r="P383" s="42"/>
      <c r="Q383" s="45"/>
      <c r="R383" s="45"/>
      <c r="S383" s="42"/>
      <c r="T383" s="46"/>
      <c r="U383" s="46"/>
      <c r="V383" s="46"/>
      <c r="W383" s="46"/>
      <c r="X383" s="46"/>
      <c r="Y383" s="46"/>
      <c r="Z383" s="42"/>
      <c r="AA383" s="42"/>
      <c r="AB383" s="42"/>
      <c r="AC383" s="42"/>
      <c r="AD383" s="42"/>
      <c r="AE383" s="42"/>
      <c r="AF383" s="42"/>
      <c r="AG383" s="42"/>
      <c r="AH383" s="42"/>
      <c r="AI383" s="46"/>
      <c r="AJ383" s="42"/>
      <c r="AK383" s="42"/>
      <c r="AL383" s="42"/>
      <c r="AM383" s="42"/>
      <c r="AN383" s="47">
        <f t="shared" si="239"/>
        <v>0</v>
      </c>
      <c r="AO383" s="47">
        <f t="shared" si="240"/>
        <v>0</v>
      </c>
      <c r="AP383" s="42" t="s">
        <v>102</v>
      </c>
      <c r="AQ383" s="61"/>
      <c r="AR383" s="42"/>
      <c r="AS383" s="42"/>
      <c r="AT383" s="46"/>
      <c r="AU383" s="47">
        <f t="shared" si="267"/>
        <v>0</v>
      </c>
      <c r="AV383" s="47"/>
      <c r="AW383" s="47">
        <f t="shared" si="271"/>
        <v>0</v>
      </c>
      <c r="AX383" s="47"/>
      <c r="AY383" s="47"/>
      <c r="AZ383" s="47"/>
      <c r="BA383" s="47"/>
      <c r="BB383" s="47"/>
      <c r="BC383" s="47">
        <f t="shared" si="266"/>
        <v>0</v>
      </c>
      <c r="BD383" s="47"/>
      <c r="BE383" s="47">
        <f t="shared" si="268"/>
        <v>0</v>
      </c>
      <c r="BF383" s="47"/>
      <c r="BG383" s="47"/>
      <c r="BH383" s="47"/>
      <c r="BI383" s="47"/>
      <c r="BJ383" s="47"/>
      <c r="BK383" s="47"/>
      <c r="BL383" s="47"/>
      <c r="BM383" s="47">
        <f t="shared" si="274"/>
        <v>0</v>
      </c>
      <c r="BN383" s="47"/>
      <c r="BO383" s="47"/>
      <c r="BP383" s="47"/>
      <c r="BQ383" s="47"/>
      <c r="BR383" s="47"/>
      <c r="BS383" s="47"/>
      <c r="BT383" s="47"/>
      <c r="BU383" s="47">
        <f t="shared" si="276"/>
        <v>0</v>
      </c>
      <c r="BV383" s="47"/>
      <c r="BW383" s="47"/>
      <c r="BX383" s="47"/>
      <c r="BY383" s="47"/>
      <c r="BZ383" s="47"/>
      <c r="CA383" s="47"/>
      <c r="CB383" s="47"/>
      <c r="CC383" s="47">
        <f t="shared" si="278"/>
        <v>0</v>
      </c>
      <c r="CD383" s="47"/>
      <c r="CE383" s="47"/>
      <c r="CF383" s="47"/>
      <c r="CG383" s="47"/>
      <c r="CH383" s="47"/>
      <c r="CI383" s="47"/>
      <c r="CJ383" s="47"/>
      <c r="CK383" s="47">
        <f t="shared" si="280"/>
        <v>0</v>
      </c>
      <c r="CL383" s="47"/>
      <c r="CM383" s="47"/>
      <c r="CN383" s="47"/>
      <c r="CO383" s="47"/>
      <c r="CP383" s="46">
        <f t="shared" si="281"/>
        <v>0</v>
      </c>
      <c r="CQ383" s="47"/>
      <c r="CR383" s="47">
        <f t="shared" si="270"/>
        <v>0</v>
      </c>
      <c r="CS383" s="47"/>
      <c r="CT383" s="47"/>
      <c r="CU383" s="47"/>
      <c r="CV383" s="47"/>
      <c r="CW383" s="47">
        <f t="shared" si="250"/>
        <v>0</v>
      </c>
      <c r="CX383" s="46"/>
      <c r="CY383" s="47">
        <f t="shared" si="251"/>
        <v>0</v>
      </c>
      <c r="CZ383" s="47"/>
      <c r="DA383" s="47"/>
      <c r="DB383" s="47"/>
      <c r="DC383" s="47"/>
      <c r="DD383" s="47"/>
      <c r="DE383" s="47"/>
      <c r="DF383" s="46"/>
      <c r="DG383" s="47"/>
      <c r="DH383" s="46"/>
      <c r="DI383" s="47"/>
      <c r="DJ383" s="47"/>
      <c r="DK383" s="47"/>
      <c r="DL383" s="47"/>
      <c r="DM383" s="47"/>
      <c r="DN383" s="46">
        <f t="shared" si="272"/>
        <v>0</v>
      </c>
      <c r="DO383" s="47"/>
      <c r="DP383" s="46"/>
      <c r="DQ383" s="47"/>
      <c r="DR383" s="46"/>
      <c r="DS383" s="47"/>
      <c r="DT383" s="46"/>
      <c r="DU383" s="47"/>
      <c r="DV383" s="46"/>
      <c r="DW383" s="47"/>
      <c r="DX383" s="47">
        <f t="shared" si="265"/>
        <v>0</v>
      </c>
      <c r="DY383" s="47"/>
      <c r="DZ383" s="47"/>
      <c r="EA383" s="47"/>
      <c r="EB383" s="47"/>
      <c r="EC383" s="47"/>
      <c r="ED383" s="47"/>
      <c r="EE383" s="47">
        <f t="shared" si="264"/>
        <v>0</v>
      </c>
      <c r="EF383" s="47"/>
      <c r="EG383" s="47"/>
      <c r="EH383" s="47"/>
      <c r="EI383" s="47"/>
      <c r="EJ383" s="47"/>
      <c r="EK383" s="47">
        <f t="shared" si="242"/>
        <v>0</v>
      </c>
      <c r="EL383" s="46">
        <f t="shared" si="243"/>
        <v>0</v>
      </c>
      <c r="EM383" s="46"/>
      <c r="EN383" s="46">
        <f t="shared" si="244"/>
        <v>0</v>
      </c>
    </row>
    <row r="384" spans="1:144" s="48" customFormat="1" ht="15" customHeight="1" x14ac:dyDescent="0.25">
      <c r="A384" s="58"/>
      <c r="B384" s="41">
        <v>54</v>
      </c>
      <c r="C384" s="49"/>
      <c r="D384" s="53"/>
      <c r="E384" s="52"/>
      <c r="F384" s="52"/>
      <c r="G384" s="52"/>
      <c r="H384" s="52"/>
      <c r="I384" s="52"/>
      <c r="J384" s="52"/>
      <c r="K384" s="52"/>
      <c r="L384" s="49"/>
      <c r="M384" s="42"/>
      <c r="N384" s="41"/>
      <c r="O384" s="41"/>
      <c r="P384" s="42"/>
      <c r="Q384" s="45"/>
      <c r="R384" s="45"/>
      <c r="S384" s="42"/>
      <c r="T384" s="46"/>
      <c r="U384" s="46"/>
      <c r="V384" s="46"/>
      <c r="W384" s="46"/>
      <c r="X384" s="46"/>
      <c r="Y384" s="46"/>
      <c r="Z384" s="42"/>
      <c r="AA384" s="42"/>
      <c r="AB384" s="42"/>
      <c r="AC384" s="42"/>
      <c r="AD384" s="42"/>
      <c r="AE384" s="42"/>
      <c r="AF384" s="42"/>
      <c r="AG384" s="42"/>
      <c r="AH384" s="42"/>
      <c r="AI384" s="46"/>
      <c r="AJ384" s="42"/>
      <c r="AK384" s="42"/>
      <c r="AL384" s="42"/>
      <c r="AM384" s="42"/>
      <c r="AN384" s="47">
        <f t="shared" si="239"/>
        <v>0</v>
      </c>
      <c r="AO384" s="47">
        <f t="shared" si="240"/>
        <v>0</v>
      </c>
      <c r="AP384" s="42" t="s">
        <v>102</v>
      </c>
      <c r="AQ384" s="61"/>
      <c r="AR384" s="42"/>
      <c r="AS384" s="42"/>
      <c r="AT384" s="46"/>
      <c r="AU384" s="47">
        <f t="shared" si="267"/>
        <v>0</v>
      </c>
      <c r="AV384" s="47"/>
      <c r="AW384" s="47">
        <f t="shared" si="271"/>
        <v>0</v>
      </c>
      <c r="AX384" s="47"/>
      <c r="AY384" s="47"/>
      <c r="AZ384" s="47"/>
      <c r="BA384" s="47"/>
      <c r="BB384" s="47"/>
      <c r="BC384" s="47">
        <f t="shared" si="266"/>
        <v>0</v>
      </c>
      <c r="BD384" s="47"/>
      <c r="BE384" s="47">
        <f t="shared" si="268"/>
        <v>0</v>
      </c>
      <c r="BF384" s="47"/>
      <c r="BG384" s="47"/>
      <c r="BH384" s="47"/>
      <c r="BI384" s="47"/>
      <c r="BJ384" s="47"/>
      <c r="BK384" s="47"/>
      <c r="BL384" s="47"/>
      <c r="BM384" s="47">
        <f t="shared" si="274"/>
        <v>0</v>
      </c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6">
        <f t="shared" si="281"/>
        <v>0</v>
      </c>
      <c r="CQ384" s="47"/>
      <c r="CR384" s="47">
        <f t="shared" si="270"/>
        <v>0</v>
      </c>
      <c r="CS384" s="47"/>
      <c r="CT384" s="47"/>
      <c r="CU384" s="47"/>
      <c r="CV384" s="47"/>
      <c r="CW384" s="47">
        <f t="shared" si="250"/>
        <v>0</v>
      </c>
      <c r="CX384" s="46"/>
      <c r="CY384" s="47">
        <f t="shared" si="251"/>
        <v>0</v>
      </c>
      <c r="CZ384" s="47"/>
      <c r="DA384" s="47"/>
      <c r="DB384" s="47"/>
      <c r="DC384" s="47"/>
      <c r="DD384" s="47"/>
      <c r="DE384" s="47"/>
      <c r="DF384" s="46"/>
      <c r="DG384" s="47"/>
      <c r="DH384" s="46"/>
      <c r="DI384" s="47"/>
      <c r="DJ384" s="47"/>
      <c r="DK384" s="47"/>
      <c r="DL384" s="47"/>
      <c r="DM384" s="47"/>
      <c r="DN384" s="46">
        <f t="shared" si="272"/>
        <v>0</v>
      </c>
      <c r="DO384" s="47"/>
      <c r="DP384" s="46"/>
      <c r="DQ384" s="47"/>
      <c r="DR384" s="46"/>
      <c r="DS384" s="47"/>
      <c r="DT384" s="46"/>
      <c r="DU384" s="47"/>
      <c r="DV384" s="46"/>
      <c r="DW384" s="47"/>
      <c r="DX384" s="47">
        <f t="shared" si="265"/>
        <v>0</v>
      </c>
      <c r="DY384" s="47"/>
      <c r="DZ384" s="47"/>
      <c r="EA384" s="47"/>
      <c r="EB384" s="47"/>
      <c r="EC384" s="47"/>
      <c r="ED384" s="47"/>
      <c r="EE384" s="47">
        <f t="shared" si="264"/>
        <v>0</v>
      </c>
      <c r="EF384" s="47"/>
      <c r="EG384" s="47"/>
      <c r="EH384" s="47"/>
      <c r="EI384" s="47"/>
      <c r="EJ384" s="47"/>
      <c r="EK384" s="47">
        <f t="shared" si="242"/>
        <v>0</v>
      </c>
      <c r="EL384" s="46">
        <f t="shared" si="243"/>
        <v>0</v>
      </c>
      <c r="EM384" s="46"/>
      <c r="EN384" s="46">
        <f t="shared" si="244"/>
        <v>0</v>
      </c>
    </row>
    <row r="385" spans="1:145" s="48" customFormat="1" ht="15" customHeight="1" x14ac:dyDescent="0.25">
      <c r="A385" s="58"/>
      <c r="B385" s="41">
        <v>55</v>
      </c>
      <c r="C385" s="49"/>
      <c r="D385" s="53"/>
      <c r="E385" s="52"/>
      <c r="F385" s="52"/>
      <c r="G385" s="52"/>
      <c r="H385" s="52"/>
      <c r="I385" s="52"/>
      <c r="J385" s="52"/>
      <c r="K385" s="52"/>
      <c r="L385" s="49"/>
      <c r="M385" s="42"/>
      <c r="N385" s="41"/>
      <c r="O385" s="41"/>
      <c r="P385" s="42"/>
      <c r="Q385" s="45"/>
      <c r="R385" s="45"/>
      <c r="S385" s="42"/>
      <c r="T385" s="46"/>
      <c r="U385" s="46"/>
      <c r="V385" s="46"/>
      <c r="W385" s="46"/>
      <c r="X385" s="46"/>
      <c r="Y385" s="46"/>
      <c r="Z385" s="42"/>
      <c r="AA385" s="42"/>
      <c r="AB385" s="42"/>
      <c r="AC385" s="42"/>
      <c r="AD385" s="42"/>
      <c r="AE385" s="42"/>
      <c r="AF385" s="42"/>
      <c r="AG385" s="42"/>
      <c r="AH385" s="42"/>
      <c r="AI385" s="46"/>
      <c r="AJ385" s="42"/>
      <c r="AK385" s="42"/>
      <c r="AL385" s="42"/>
      <c r="AM385" s="42"/>
      <c r="AN385" s="47">
        <f t="shared" si="239"/>
        <v>0</v>
      </c>
      <c r="AO385" s="47">
        <f t="shared" si="240"/>
        <v>0</v>
      </c>
      <c r="AP385" s="42" t="s">
        <v>102</v>
      </c>
      <c r="AQ385" s="61"/>
      <c r="AR385" s="42"/>
      <c r="AS385" s="42"/>
      <c r="AT385" s="46"/>
      <c r="AU385" s="47">
        <f t="shared" si="267"/>
        <v>0</v>
      </c>
      <c r="AV385" s="47"/>
      <c r="AW385" s="47">
        <f t="shared" si="271"/>
        <v>0</v>
      </c>
      <c r="AX385" s="47"/>
      <c r="AY385" s="47"/>
      <c r="AZ385" s="47"/>
      <c r="BA385" s="47"/>
      <c r="BB385" s="47"/>
      <c r="BC385" s="47">
        <f t="shared" si="266"/>
        <v>0</v>
      </c>
      <c r="BD385" s="47"/>
      <c r="BE385" s="47">
        <f t="shared" si="268"/>
        <v>0</v>
      </c>
      <c r="BF385" s="47"/>
      <c r="BG385" s="47"/>
      <c r="BH385" s="47"/>
      <c r="BI385" s="47"/>
      <c r="BJ385" s="47"/>
      <c r="BK385" s="47"/>
      <c r="BL385" s="47"/>
      <c r="BM385" s="47">
        <f t="shared" si="274"/>
        <v>0</v>
      </c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6">
        <f t="shared" si="281"/>
        <v>0</v>
      </c>
      <c r="CQ385" s="47"/>
      <c r="CR385" s="47">
        <f t="shared" si="270"/>
        <v>0</v>
      </c>
      <c r="CS385" s="47"/>
      <c r="CT385" s="47"/>
      <c r="CU385" s="47"/>
      <c r="CV385" s="47"/>
      <c r="CW385" s="47">
        <f t="shared" si="250"/>
        <v>0</v>
      </c>
      <c r="CX385" s="46"/>
      <c r="CY385" s="47">
        <f t="shared" si="251"/>
        <v>0</v>
      </c>
      <c r="CZ385" s="47"/>
      <c r="DA385" s="47"/>
      <c r="DB385" s="47"/>
      <c r="DC385" s="47"/>
      <c r="DD385" s="47"/>
      <c r="DE385" s="47"/>
      <c r="DF385" s="46"/>
      <c r="DG385" s="47"/>
      <c r="DH385" s="46"/>
      <c r="DI385" s="47"/>
      <c r="DJ385" s="47"/>
      <c r="DK385" s="47"/>
      <c r="DL385" s="47"/>
      <c r="DM385" s="47"/>
      <c r="DN385" s="46">
        <f t="shared" si="272"/>
        <v>0</v>
      </c>
      <c r="DO385" s="47"/>
      <c r="DP385" s="46"/>
      <c r="DQ385" s="47"/>
      <c r="DR385" s="46"/>
      <c r="DS385" s="47"/>
      <c r="DT385" s="46"/>
      <c r="DU385" s="47"/>
      <c r="DV385" s="46"/>
      <c r="DW385" s="47"/>
      <c r="DX385" s="47">
        <f t="shared" si="265"/>
        <v>0</v>
      </c>
      <c r="DY385" s="47"/>
      <c r="DZ385" s="47"/>
      <c r="EA385" s="47"/>
      <c r="EB385" s="47"/>
      <c r="EC385" s="47"/>
      <c r="ED385" s="47"/>
      <c r="EE385" s="47">
        <f t="shared" si="264"/>
        <v>0</v>
      </c>
      <c r="EF385" s="47"/>
      <c r="EG385" s="47"/>
      <c r="EH385" s="47"/>
      <c r="EI385" s="47"/>
      <c r="EJ385" s="47"/>
      <c r="EK385" s="47">
        <f t="shared" si="242"/>
        <v>0</v>
      </c>
      <c r="EL385" s="46">
        <f t="shared" si="243"/>
        <v>0</v>
      </c>
      <c r="EM385" s="46"/>
      <c r="EN385" s="46">
        <f t="shared" si="244"/>
        <v>0</v>
      </c>
    </row>
    <row r="386" spans="1:145" s="48" customFormat="1" ht="15" customHeight="1" x14ac:dyDescent="0.25">
      <c r="A386" s="58"/>
      <c r="B386" s="41">
        <v>56</v>
      </c>
      <c r="C386" s="49"/>
      <c r="D386" s="53"/>
      <c r="E386" s="52"/>
      <c r="F386" s="52"/>
      <c r="G386" s="52"/>
      <c r="H386" s="52"/>
      <c r="I386" s="52"/>
      <c r="J386" s="52"/>
      <c r="K386" s="52"/>
      <c r="L386" s="49"/>
      <c r="M386" s="42"/>
      <c r="N386" s="41"/>
      <c r="O386" s="41"/>
      <c r="P386" s="42"/>
      <c r="Q386" s="45"/>
      <c r="R386" s="45"/>
      <c r="S386" s="42"/>
      <c r="T386" s="46"/>
      <c r="U386" s="46"/>
      <c r="V386" s="46"/>
      <c r="W386" s="46"/>
      <c r="X386" s="46"/>
      <c r="Y386" s="46"/>
      <c r="Z386" s="42"/>
      <c r="AA386" s="42"/>
      <c r="AB386" s="42"/>
      <c r="AC386" s="42"/>
      <c r="AD386" s="42"/>
      <c r="AE386" s="42"/>
      <c r="AF386" s="42"/>
      <c r="AG386" s="42"/>
      <c r="AH386" s="42"/>
      <c r="AI386" s="46"/>
      <c r="AJ386" s="42"/>
      <c r="AK386" s="42"/>
      <c r="AL386" s="42"/>
      <c r="AM386" s="42"/>
      <c r="AN386" s="47">
        <f t="shared" si="239"/>
        <v>0</v>
      </c>
      <c r="AO386" s="47">
        <f t="shared" si="240"/>
        <v>0</v>
      </c>
      <c r="AP386" s="42" t="s">
        <v>102</v>
      </c>
      <c r="AQ386" s="61"/>
      <c r="AR386" s="42"/>
      <c r="AS386" s="42"/>
      <c r="AT386" s="46"/>
      <c r="AU386" s="47">
        <f t="shared" si="267"/>
        <v>0</v>
      </c>
      <c r="AV386" s="47"/>
      <c r="AW386" s="47">
        <f t="shared" si="271"/>
        <v>0</v>
      </c>
      <c r="AX386" s="47"/>
      <c r="AY386" s="47"/>
      <c r="AZ386" s="47"/>
      <c r="BA386" s="47"/>
      <c r="BB386" s="47"/>
      <c r="BC386" s="47">
        <f t="shared" si="266"/>
        <v>0</v>
      </c>
      <c r="BD386" s="47"/>
      <c r="BE386" s="47">
        <f t="shared" si="268"/>
        <v>0</v>
      </c>
      <c r="BF386" s="47"/>
      <c r="BG386" s="47"/>
      <c r="BH386" s="47"/>
      <c r="BI386" s="47"/>
      <c r="BJ386" s="47"/>
      <c r="BK386" s="47"/>
      <c r="BL386" s="47"/>
      <c r="BM386" s="47">
        <f t="shared" si="274"/>
        <v>0</v>
      </c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6">
        <f t="shared" si="281"/>
        <v>0</v>
      </c>
      <c r="CQ386" s="47"/>
      <c r="CR386" s="47">
        <f t="shared" si="270"/>
        <v>0</v>
      </c>
      <c r="CS386" s="47"/>
      <c r="CT386" s="47"/>
      <c r="CU386" s="47"/>
      <c r="CV386" s="47"/>
      <c r="CW386" s="47">
        <f t="shared" si="250"/>
        <v>0</v>
      </c>
      <c r="CX386" s="46"/>
      <c r="CY386" s="47">
        <f t="shared" si="251"/>
        <v>0</v>
      </c>
      <c r="CZ386" s="47"/>
      <c r="DA386" s="47"/>
      <c r="DB386" s="47"/>
      <c r="DC386" s="47"/>
      <c r="DD386" s="47"/>
      <c r="DE386" s="47"/>
      <c r="DF386" s="46"/>
      <c r="DG386" s="47"/>
      <c r="DH386" s="46"/>
      <c r="DI386" s="47"/>
      <c r="DJ386" s="47"/>
      <c r="DK386" s="47"/>
      <c r="DL386" s="47"/>
      <c r="DM386" s="47"/>
      <c r="DN386" s="46">
        <f t="shared" si="272"/>
        <v>0</v>
      </c>
      <c r="DO386" s="47"/>
      <c r="DP386" s="46"/>
      <c r="DQ386" s="47"/>
      <c r="DR386" s="46"/>
      <c r="DS386" s="47"/>
      <c r="DT386" s="46"/>
      <c r="DU386" s="47"/>
      <c r="DV386" s="46"/>
      <c r="DW386" s="47"/>
      <c r="DX386" s="47"/>
      <c r="DY386" s="47"/>
      <c r="DZ386" s="47"/>
      <c r="EA386" s="47"/>
      <c r="EB386" s="47"/>
      <c r="EC386" s="47"/>
      <c r="ED386" s="47"/>
      <c r="EE386" s="47">
        <f t="shared" si="264"/>
        <v>0</v>
      </c>
      <c r="EF386" s="47"/>
      <c r="EG386" s="47"/>
      <c r="EH386" s="47"/>
      <c r="EI386" s="47"/>
      <c r="EJ386" s="47"/>
      <c r="EK386" s="47">
        <f t="shared" si="242"/>
        <v>0</v>
      </c>
      <c r="EL386" s="46">
        <f t="shared" si="243"/>
        <v>0</v>
      </c>
      <c r="EM386" s="46"/>
      <c r="EN386" s="46">
        <f t="shared" si="244"/>
        <v>0</v>
      </c>
    </row>
    <row r="387" spans="1:145" s="48" customFormat="1" ht="15" customHeight="1" x14ac:dyDescent="0.25">
      <c r="A387" s="58"/>
      <c r="B387" s="41">
        <v>57</v>
      </c>
      <c r="C387" s="49"/>
      <c r="D387" s="53"/>
      <c r="E387" s="52"/>
      <c r="F387" s="52"/>
      <c r="G387" s="52"/>
      <c r="H387" s="52"/>
      <c r="I387" s="52"/>
      <c r="J387" s="52"/>
      <c r="K387" s="52"/>
      <c r="L387" s="49"/>
      <c r="M387" s="42"/>
      <c r="N387" s="41"/>
      <c r="O387" s="41"/>
      <c r="P387" s="42"/>
      <c r="Q387" s="45"/>
      <c r="R387" s="45"/>
      <c r="S387" s="42"/>
      <c r="T387" s="46"/>
      <c r="U387" s="46"/>
      <c r="V387" s="46"/>
      <c r="W387" s="46"/>
      <c r="X387" s="46"/>
      <c r="Y387" s="46"/>
      <c r="Z387" s="42"/>
      <c r="AA387" s="42"/>
      <c r="AB387" s="42"/>
      <c r="AC387" s="42"/>
      <c r="AD387" s="42"/>
      <c r="AE387" s="42"/>
      <c r="AF387" s="42"/>
      <c r="AG387" s="42"/>
      <c r="AH387" s="42"/>
      <c r="AI387" s="46"/>
      <c r="AJ387" s="42"/>
      <c r="AK387" s="42"/>
      <c r="AL387" s="42"/>
      <c r="AM387" s="42"/>
      <c r="AN387" s="47">
        <f t="shared" si="239"/>
        <v>0</v>
      </c>
      <c r="AO387" s="47">
        <f t="shared" si="240"/>
        <v>0</v>
      </c>
      <c r="AP387" s="42" t="s">
        <v>102</v>
      </c>
      <c r="AQ387" s="61"/>
      <c r="AR387" s="42"/>
      <c r="AS387" s="42"/>
      <c r="AT387" s="46"/>
      <c r="AU387" s="47">
        <f t="shared" si="267"/>
        <v>0</v>
      </c>
      <c r="AV387" s="47"/>
      <c r="AW387" s="47">
        <f t="shared" si="271"/>
        <v>0</v>
      </c>
      <c r="AX387" s="47"/>
      <c r="AY387" s="47"/>
      <c r="AZ387" s="47"/>
      <c r="BA387" s="47"/>
      <c r="BB387" s="47"/>
      <c r="BC387" s="47">
        <f t="shared" si="266"/>
        <v>0</v>
      </c>
      <c r="BD387" s="47"/>
      <c r="BE387" s="47">
        <f t="shared" si="268"/>
        <v>0</v>
      </c>
      <c r="BF387" s="47"/>
      <c r="BG387" s="47"/>
      <c r="BH387" s="47"/>
      <c r="BI387" s="47"/>
      <c r="BJ387" s="47"/>
      <c r="BK387" s="47"/>
      <c r="BL387" s="47"/>
      <c r="BM387" s="47">
        <f t="shared" si="274"/>
        <v>0</v>
      </c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6">
        <f t="shared" si="281"/>
        <v>0</v>
      </c>
      <c r="CQ387" s="47"/>
      <c r="CR387" s="47">
        <f t="shared" si="270"/>
        <v>0</v>
      </c>
      <c r="CS387" s="47"/>
      <c r="CT387" s="47"/>
      <c r="CU387" s="47"/>
      <c r="CV387" s="47"/>
      <c r="CW387" s="47">
        <f t="shared" si="250"/>
        <v>0</v>
      </c>
      <c r="CX387" s="46"/>
      <c r="CY387" s="47">
        <f t="shared" si="251"/>
        <v>0</v>
      </c>
      <c r="CZ387" s="47"/>
      <c r="DA387" s="47"/>
      <c r="DB387" s="47"/>
      <c r="DC387" s="47"/>
      <c r="DD387" s="47"/>
      <c r="DE387" s="47"/>
      <c r="DF387" s="46"/>
      <c r="DG387" s="47"/>
      <c r="DH387" s="46"/>
      <c r="DI387" s="47"/>
      <c r="DJ387" s="47"/>
      <c r="DK387" s="47"/>
      <c r="DL387" s="47"/>
      <c r="DM387" s="47"/>
      <c r="DN387" s="46">
        <f t="shared" si="272"/>
        <v>0</v>
      </c>
      <c r="DO387" s="47"/>
      <c r="DP387" s="46"/>
      <c r="DQ387" s="47"/>
      <c r="DR387" s="46"/>
      <c r="DS387" s="47"/>
      <c r="DT387" s="46"/>
      <c r="DU387" s="47"/>
      <c r="DV387" s="46"/>
      <c r="DW387" s="47"/>
      <c r="DX387" s="47"/>
      <c r="DY387" s="47"/>
      <c r="DZ387" s="47"/>
      <c r="EA387" s="47"/>
      <c r="EB387" s="47"/>
      <c r="EC387" s="47"/>
      <c r="ED387" s="47"/>
      <c r="EE387" s="47">
        <f t="shared" si="264"/>
        <v>0</v>
      </c>
      <c r="EF387" s="47"/>
      <c r="EG387" s="47"/>
      <c r="EH387" s="47"/>
      <c r="EI387" s="47"/>
      <c r="EJ387" s="47"/>
      <c r="EK387" s="47">
        <f t="shared" si="242"/>
        <v>0</v>
      </c>
      <c r="EL387" s="46">
        <f t="shared" si="243"/>
        <v>0</v>
      </c>
      <c r="EM387" s="46"/>
      <c r="EN387" s="46">
        <f t="shared" si="244"/>
        <v>0</v>
      </c>
    </row>
    <row r="388" spans="1:145" s="48" customFormat="1" ht="15" customHeight="1" x14ac:dyDescent="0.25">
      <c r="A388" s="58"/>
      <c r="B388" s="41">
        <v>58</v>
      </c>
      <c r="C388" s="49"/>
      <c r="D388" s="53"/>
      <c r="E388" s="52"/>
      <c r="F388" s="52"/>
      <c r="G388" s="52"/>
      <c r="H388" s="52"/>
      <c r="I388" s="52"/>
      <c r="J388" s="52"/>
      <c r="K388" s="52"/>
      <c r="L388" s="49"/>
      <c r="M388" s="42"/>
      <c r="N388" s="41"/>
      <c r="O388" s="41"/>
      <c r="P388" s="42"/>
      <c r="Q388" s="45"/>
      <c r="R388" s="45"/>
      <c r="S388" s="42"/>
      <c r="T388" s="46"/>
      <c r="U388" s="46"/>
      <c r="V388" s="46"/>
      <c r="W388" s="46"/>
      <c r="X388" s="46"/>
      <c r="Y388" s="46"/>
      <c r="Z388" s="42"/>
      <c r="AA388" s="42"/>
      <c r="AB388" s="42"/>
      <c r="AC388" s="42"/>
      <c r="AD388" s="42"/>
      <c r="AE388" s="42"/>
      <c r="AF388" s="42"/>
      <c r="AG388" s="42"/>
      <c r="AH388" s="42"/>
      <c r="AI388" s="46"/>
      <c r="AJ388" s="42"/>
      <c r="AK388" s="42"/>
      <c r="AL388" s="42"/>
      <c r="AM388" s="42"/>
      <c r="AN388" s="47">
        <f t="shared" si="239"/>
        <v>0</v>
      </c>
      <c r="AO388" s="47">
        <f t="shared" si="240"/>
        <v>0</v>
      </c>
      <c r="AP388" s="42" t="s">
        <v>102</v>
      </c>
      <c r="AQ388" s="61"/>
      <c r="AR388" s="42"/>
      <c r="AS388" s="42"/>
      <c r="AT388" s="46"/>
      <c r="AU388" s="47">
        <f t="shared" si="267"/>
        <v>0</v>
      </c>
      <c r="AV388" s="47"/>
      <c r="AW388" s="47">
        <f t="shared" si="271"/>
        <v>0</v>
      </c>
      <c r="AX388" s="47"/>
      <c r="AY388" s="47"/>
      <c r="AZ388" s="47"/>
      <c r="BA388" s="47"/>
      <c r="BB388" s="47"/>
      <c r="BC388" s="47">
        <f t="shared" si="266"/>
        <v>0</v>
      </c>
      <c r="BD388" s="47"/>
      <c r="BE388" s="47">
        <f t="shared" si="268"/>
        <v>0</v>
      </c>
      <c r="BF388" s="47"/>
      <c r="BG388" s="47"/>
      <c r="BH388" s="47"/>
      <c r="BI388" s="47"/>
      <c r="BJ388" s="47"/>
      <c r="BK388" s="47"/>
      <c r="BL388" s="47"/>
      <c r="BM388" s="47">
        <f t="shared" si="274"/>
        <v>0</v>
      </c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6">
        <f t="shared" si="281"/>
        <v>0</v>
      </c>
      <c r="CQ388" s="47"/>
      <c r="CR388" s="47">
        <f t="shared" si="270"/>
        <v>0</v>
      </c>
      <c r="CS388" s="47"/>
      <c r="CT388" s="47"/>
      <c r="CU388" s="47"/>
      <c r="CV388" s="47"/>
      <c r="CW388" s="47">
        <f t="shared" si="250"/>
        <v>0</v>
      </c>
      <c r="CX388" s="46"/>
      <c r="CY388" s="47">
        <f t="shared" si="251"/>
        <v>0</v>
      </c>
      <c r="CZ388" s="47"/>
      <c r="DA388" s="47"/>
      <c r="DB388" s="47"/>
      <c r="DC388" s="47"/>
      <c r="DD388" s="47"/>
      <c r="DE388" s="47"/>
      <c r="DF388" s="46"/>
      <c r="DG388" s="47"/>
      <c r="DH388" s="46"/>
      <c r="DI388" s="47"/>
      <c r="DJ388" s="47"/>
      <c r="DK388" s="47"/>
      <c r="DL388" s="47"/>
      <c r="DM388" s="47"/>
      <c r="DN388" s="46">
        <f t="shared" si="272"/>
        <v>0</v>
      </c>
      <c r="DO388" s="47"/>
      <c r="DP388" s="46"/>
      <c r="DQ388" s="47"/>
      <c r="DR388" s="46"/>
      <c r="DS388" s="47"/>
      <c r="DT388" s="46"/>
      <c r="DU388" s="47"/>
      <c r="DV388" s="46"/>
      <c r="DW388" s="47"/>
      <c r="DX388" s="47"/>
      <c r="DY388" s="47"/>
      <c r="DZ388" s="47"/>
      <c r="EA388" s="47"/>
      <c r="EB388" s="47"/>
      <c r="EC388" s="47"/>
      <c r="ED388" s="47"/>
      <c r="EE388" s="47">
        <f t="shared" si="264"/>
        <v>0</v>
      </c>
      <c r="EF388" s="47"/>
      <c r="EG388" s="47"/>
      <c r="EH388" s="47"/>
      <c r="EI388" s="47"/>
      <c r="EJ388" s="47"/>
      <c r="EK388" s="47">
        <f t="shared" si="242"/>
        <v>0</v>
      </c>
      <c r="EL388" s="46">
        <f t="shared" si="243"/>
        <v>0</v>
      </c>
      <c r="EM388" s="46"/>
      <c r="EN388" s="46">
        <f t="shared" si="244"/>
        <v>0</v>
      </c>
    </row>
    <row r="389" spans="1:145" s="48" customFormat="1" ht="15" customHeight="1" x14ac:dyDescent="0.25">
      <c r="A389" s="58"/>
      <c r="B389" s="41">
        <v>59</v>
      </c>
      <c r="C389" s="49"/>
      <c r="D389" s="53"/>
      <c r="E389" s="52"/>
      <c r="F389" s="52"/>
      <c r="G389" s="52"/>
      <c r="H389" s="52"/>
      <c r="I389" s="52"/>
      <c r="J389" s="52"/>
      <c r="K389" s="52"/>
      <c r="L389" s="49"/>
      <c r="M389" s="42"/>
      <c r="N389" s="41"/>
      <c r="O389" s="41"/>
      <c r="P389" s="42"/>
      <c r="Q389" s="45"/>
      <c r="R389" s="45"/>
      <c r="S389" s="42"/>
      <c r="T389" s="46"/>
      <c r="U389" s="46"/>
      <c r="V389" s="46"/>
      <c r="W389" s="46"/>
      <c r="X389" s="46"/>
      <c r="Y389" s="46"/>
      <c r="Z389" s="42"/>
      <c r="AA389" s="42"/>
      <c r="AB389" s="42"/>
      <c r="AC389" s="42"/>
      <c r="AD389" s="42"/>
      <c r="AE389" s="42"/>
      <c r="AF389" s="42"/>
      <c r="AG389" s="42"/>
      <c r="AH389" s="42"/>
      <c r="AI389" s="46"/>
      <c r="AJ389" s="42"/>
      <c r="AK389" s="42"/>
      <c r="AL389" s="42"/>
      <c r="AM389" s="42"/>
      <c r="AN389" s="47">
        <f t="shared" ref="AN389:AN452" si="283">+X389+Y389+Z389+AA389+AB389+AC389+AD389+AE389+AF389+AG389+AH389+AI389+AJ389+AL389+AM389</f>
        <v>0</v>
      </c>
      <c r="AO389" s="47">
        <f t="shared" ref="AO389:AO452" si="284">+T389-AN389</f>
        <v>0</v>
      </c>
      <c r="AP389" s="42" t="s">
        <v>102</v>
      </c>
      <c r="AQ389" s="61"/>
      <c r="AR389" s="42"/>
      <c r="AS389" s="42"/>
      <c r="AT389" s="46"/>
      <c r="AU389" s="47">
        <f t="shared" si="267"/>
        <v>0</v>
      </c>
      <c r="AV389" s="47"/>
      <c r="AW389" s="47">
        <f t="shared" si="271"/>
        <v>0</v>
      </c>
      <c r="AX389" s="47"/>
      <c r="AY389" s="47"/>
      <c r="AZ389" s="47"/>
      <c r="BA389" s="47"/>
      <c r="BB389" s="47"/>
      <c r="BC389" s="47">
        <f t="shared" si="266"/>
        <v>0</v>
      </c>
      <c r="BD389" s="47"/>
      <c r="BE389" s="47">
        <f t="shared" si="268"/>
        <v>0</v>
      </c>
      <c r="BF389" s="47"/>
      <c r="BG389" s="47"/>
      <c r="BH389" s="47"/>
      <c r="BI389" s="47"/>
      <c r="BJ389" s="47"/>
      <c r="BK389" s="47"/>
      <c r="BL389" s="47"/>
      <c r="BM389" s="47">
        <f t="shared" si="274"/>
        <v>0</v>
      </c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6"/>
      <c r="CQ389" s="47"/>
      <c r="CR389" s="47">
        <f t="shared" si="270"/>
        <v>0</v>
      </c>
      <c r="CS389" s="47"/>
      <c r="CT389" s="47"/>
      <c r="CU389" s="47"/>
      <c r="CV389" s="47"/>
      <c r="CW389" s="47">
        <f t="shared" si="250"/>
        <v>0</v>
      </c>
      <c r="CX389" s="46"/>
      <c r="CY389" s="47">
        <f t="shared" si="251"/>
        <v>0</v>
      </c>
      <c r="CZ389" s="47"/>
      <c r="DA389" s="47"/>
      <c r="DB389" s="47"/>
      <c r="DC389" s="47"/>
      <c r="DD389" s="47"/>
      <c r="DE389" s="47"/>
      <c r="DF389" s="46"/>
      <c r="DG389" s="47"/>
      <c r="DH389" s="46"/>
      <c r="DI389" s="47"/>
      <c r="DJ389" s="47"/>
      <c r="DK389" s="47"/>
      <c r="DL389" s="47"/>
      <c r="DM389" s="47"/>
      <c r="DN389" s="46">
        <f t="shared" si="272"/>
        <v>0</v>
      </c>
      <c r="DO389" s="47"/>
      <c r="DP389" s="46"/>
      <c r="DQ389" s="47"/>
      <c r="DR389" s="46"/>
      <c r="DS389" s="47"/>
      <c r="DT389" s="46"/>
      <c r="DU389" s="47"/>
      <c r="DV389" s="46"/>
      <c r="DW389" s="47"/>
      <c r="DX389" s="47"/>
      <c r="DY389" s="47"/>
      <c r="DZ389" s="47"/>
      <c r="EA389" s="47"/>
      <c r="EB389" s="47"/>
      <c r="EC389" s="47"/>
      <c r="ED389" s="47"/>
      <c r="EE389" s="47">
        <f t="shared" si="264"/>
        <v>0</v>
      </c>
      <c r="EF389" s="47"/>
      <c r="EG389" s="47"/>
      <c r="EH389" s="47"/>
      <c r="EI389" s="47"/>
      <c r="EJ389" s="47"/>
      <c r="EK389" s="47">
        <f t="shared" ref="EK389:EK393" si="285">+EG389+EH389+EI389+EJ389</f>
        <v>0</v>
      </c>
      <c r="EL389" s="46">
        <f t="shared" ref="EL389:EL393" si="286">+AO389-EE389-EK389</f>
        <v>0</v>
      </c>
      <c r="EM389" s="46"/>
      <c r="EN389" s="46">
        <f t="shared" ref="EN389:EN393" si="287">EL389+EM389</f>
        <v>0</v>
      </c>
    </row>
    <row r="390" spans="1:145" s="48" customFormat="1" ht="15" customHeight="1" x14ac:dyDescent="0.25">
      <c r="A390" s="58"/>
      <c r="B390" s="41">
        <v>60</v>
      </c>
      <c r="C390" s="49"/>
      <c r="D390" s="53"/>
      <c r="E390" s="52"/>
      <c r="F390" s="52"/>
      <c r="G390" s="52"/>
      <c r="H390" s="52"/>
      <c r="I390" s="52"/>
      <c r="J390" s="52"/>
      <c r="K390" s="52"/>
      <c r="L390" s="49"/>
      <c r="M390" s="42"/>
      <c r="N390" s="41"/>
      <c r="O390" s="41"/>
      <c r="P390" s="42"/>
      <c r="Q390" s="45"/>
      <c r="R390" s="45"/>
      <c r="S390" s="42"/>
      <c r="T390" s="46"/>
      <c r="U390" s="46"/>
      <c r="V390" s="46"/>
      <c r="W390" s="46"/>
      <c r="X390" s="46"/>
      <c r="Y390" s="46"/>
      <c r="Z390" s="42"/>
      <c r="AA390" s="42"/>
      <c r="AB390" s="42"/>
      <c r="AC390" s="42"/>
      <c r="AD390" s="42"/>
      <c r="AE390" s="42"/>
      <c r="AF390" s="42"/>
      <c r="AG390" s="42"/>
      <c r="AH390" s="42"/>
      <c r="AI390" s="46"/>
      <c r="AJ390" s="42"/>
      <c r="AK390" s="42"/>
      <c r="AL390" s="42"/>
      <c r="AM390" s="42"/>
      <c r="AN390" s="47">
        <f t="shared" si="283"/>
        <v>0</v>
      </c>
      <c r="AO390" s="47">
        <f t="shared" si="284"/>
        <v>0</v>
      </c>
      <c r="AP390" s="42" t="s">
        <v>102</v>
      </c>
      <c r="AQ390" s="61"/>
      <c r="AR390" s="42"/>
      <c r="AS390" s="42"/>
      <c r="AT390" s="46"/>
      <c r="AU390" s="47">
        <f t="shared" si="267"/>
        <v>0</v>
      </c>
      <c r="AV390" s="47"/>
      <c r="AW390" s="47">
        <f t="shared" si="271"/>
        <v>0</v>
      </c>
      <c r="AX390" s="47"/>
      <c r="AY390" s="47"/>
      <c r="AZ390" s="47"/>
      <c r="BA390" s="47"/>
      <c r="BB390" s="47"/>
      <c r="BC390" s="47">
        <f t="shared" si="266"/>
        <v>0</v>
      </c>
      <c r="BD390" s="47"/>
      <c r="BE390" s="47">
        <f t="shared" si="268"/>
        <v>0</v>
      </c>
      <c r="BF390" s="47"/>
      <c r="BG390" s="47"/>
      <c r="BH390" s="47"/>
      <c r="BI390" s="47"/>
      <c r="BJ390" s="47"/>
      <c r="BK390" s="47"/>
      <c r="BL390" s="47"/>
      <c r="BM390" s="47">
        <f t="shared" si="274"/>
        <v>0</v>
      </c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6"/>
      <c r="CQ390" s="47"/>
      <c r="CR390" s="47">
        <f t="shared" si="270"/>
        <v>0</v>
      </c>
      <c r="CS390" s="47"/>
      <c r="CT390" s="47"/>
      <c r="CU390" s="47"/>
      <c r="CV390" s="47"/>
      <c r="CW390" s="47">
        <f t="shared" si="250"/>
        <v>0</v>
      </c>
      <c r="CX390" s="46"/>
      <c r="CY390" s="47">
        <f t="shared" si="251"/>
        <v>0</v>
      </c>
      <c r="CZ390" s="47"/>
      <c r="DA390" s="47"/>
      <c r="DB390" s="47"/>
      <c r="DC390" s="47"/>
      <c r="DD390" s="47"/>
      <c r="DE390" s="47"/>
      <c r="DF390" s="46"/>
      <c r="DG390" s="47"/>
      <c r="DH390" s="46"/>
      <c r="DI390" s="47"/>
      <c r="DJ390" s="47"/>
      <c r="DK390" s="47"/>
      <c r="DL390" s="47"/>
      <c r="DM390" s="47"/>
      <c r="DN390" s="46">
        <f t="shared" si="272"/>
        <v>0</v>
      </c>
      <c r="DO390" s="47"/>
      <c r="DP390" s="46"/>
      <c r="DQ390" s="47"/>
      <c r="DR390" s="46"/>
      <c r="DS390" s="47"/>
      <c r="DT390" s="46"/>
      <c r="DU390" s="47"/>
      <c r="DV390" s="46"/>
      <c r="DW390" s="47"/>
      <c r="DX390" s="47"/>
      <c r="DY390" s="47"/>
      <c r="DZ390" s="47"/>
      <c r="EA390" s="47"/>
      <c r="EB390" s="47"/>
      <c r="EC390" s="47"/>
      <c r="ED390" s="47"/>
      <c r="EE390" s="47">
        <f t="shared" si="264"/>
        <v>0</v>
      </c>
      <c r="EF390" s="47"/>
      <c r="EG390" s="47"/>
      <c r="EH390" s="47"/>
      <c r="EI390" s="47"/>
      <c r="EJ390" s="47"/>
      <c r="EK390" s="47">
        <f t="shared" si="285"/>
        <v>0</v>
      </c>
      <c r="EL390" s="46">
        <f t="shared" si="286"/>
        <v>0</v>
      </c>
      <c r="EM390" s="46"/>
      <c r="EN390" s="46">
        <f t="shared" si="287"/>
        <v>0</v>
      </c>
      <c r="EO390" s="62"/>
    </row>
    <row r="391" spans="1:145" s="48" customFormat="1" ht="15" customHeight="1" x14ac:dyDescent="0.25">
      <c r="A391" s="58"/>
      <c r="B391" s="41">
        <v>61</v>
      </c>
      <c r="C391" s="49"/>
      <c r="D391" s="53"/>
      <c r="E391" s="52"/>
      <c r="F391" s="52"/>
      <c r="G391" s="52"/>
      <c r="H391" s="52"/>
      <c r="I391" s="52"/>
      <c r="J391" s="52"/>
      <c r="K391" s="52"/>
      <c r="L391" s="49"/>
      <c r="M391" s="42"/>
      <c r="N391" s="41"/>
      <c r="O391" s="41"/>
      <c r="P391" s="42"/>
      <c r="Q391" s="45"/>
      <c r="R391" s="45"/>
      <c r="S391" s="42"/>
      <c r="T391" s="46"/>
      <c r="U391" s="46"/>
      <c r="V391" s="46"/>
      <c r="W391" s="46"/>
      <c r="X391" s="46"/>
      <c r="Y391" s="46"/>
      <c r="Z391" s="42"/>
      <c r="AA391" s="42"/>
      <c r="AB391" s="42"/>
      <c r="AC391" s="42"/>
      <c r="AD391" s="42"/>
      <c r="AE391" s="42"/>
      <c r="AF391" s="42"/>
      <c r="AG391" s="42"/>
      <c r="AH391" s="42"/>
      <c r="AI391" s="46"/>
      <c r="AJ391" s="42"/>
      <c r="AK391" s="42"/>
      <c r="AL391" s="42"/>
      <c r="AM391" s="42"/>
      <c r="AN391" s="47">
        <f t="shared" si="283"/>
        <v>0</v>
      </c>
      <c r="AO391" s="47">
        <f t="shared" si="284"/>
        <v>0</v>
      </c>
      <c r="AP391" s="42" t="s">
        <v>102</v>
      </c>
      <c r="AQ391" s="61"/>
      <c r="AR391" s="42"/>
      <c r="AS391" s="42"/>
      <c r="AT391" s="46"/>
      <c r="AU391" s="47">
        <f t="shared" si="267"/>
        <v>0</v>
      </c>
      <c r="AV391" s="47"/>
      <c r="AW391" s="47">
        <f t="shared" si="271"/>
        <v>0</v>
      </c>
      <c r="AX391" s="47"/>
      <c r="AY391" s="47"/>
      <c r="AZ391" s="47"/>
      <c r="BA391" s="47"/>
      <c r="BB391" s="47"/>
      <c r="BC391" s="47">
        <f t="shared" si="266"/>
        <v>0</v>
      </c>
      <c r="BD391" s="47"/>
      <c r="BE391" s="47">
        <f t="shared" si="268"/>
        <v>0</v>
      </c>
      <c r="BF391" s="47"/>
      <c r="BG391" s="47"/>
      <c r="BH391" s="47"/>
      <c r="BI391" s="47"/>
      <c r="BJ391" s="47"/>
      <c r="BK391" s="47"/>
      <c r="BL391" s="47"/>
      <c r="BM391" s="47">
        <f t="shared" si="274"/>
        <v>0</v>
      </c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6"/>
      <c r="CQ391" s="47"/>
      <c r="CR391" s="47">
        <f t="shared" si="270"/>
        <v>0</v>
      </c>
      <c r="CS391" s="47"/>
      <c r="CT391" s="47"/>
      <c r="CU391" s="47"/>
      <c r="CV391" s="47"/>
      <c r="CW391" s="47">
        <f t="shared" si="250"/>
        <v>0</v>
      </c>
      <c r="CX391" s="46"/>
      <c r="CY391" s="47">
        <f t="shared" si="251"/>
        <v>0</v>
      </c>
      <c r="CZ391" s="47"/>
      <c r="DA391" s="47"/>
      <c r="DB391" s="47"/>
      <c r="DC391" s="47"/>
      <c r="DD391" s="47"/>
      <c r="DE391" s="47"/>
      <c r="DF391" s="46"/>
      <c r="DG391" s="47"/>
      <c r="DH391" s="46"/>
      <c r="DI391" s="47"/>
      <c r="DJ391" s="47"/>
      <c r="DK391" s="47"/>
      <c r="DL391" s="47"/>
      <c r="DM391" s="47"/>
      <c r="DN391" s="46">
        <f t="shared" si="272"/>
        <v>0</v>
      </c>
      <c r="DO391" s="47"/>
      <c r="DP391" s="46"/>
      <c r="DQ391" s="47"/>
      <c r="DR391" s="46"/>
      <c r="DS391" s="47"/>
      <c r="DT391" s="46"/>
      <c r="DU391" s="47"/>
      <c r="DV391" s="46"/>
      <c r="DW391" s="47"/>
      <c r="DX391" s="47"/>
      <c r="DY391" s="47"/>
      <c r="DZ391" s="47"/>
      <c r="EA391" s="47"/>
      <c r="EB391" s="47"/>
      <c r="EC391" s="47"/>
      <c r="ED391" s="47"/>
      <c r="EE391" s="47">
        <f t="shared" si="264"/>
        <v>0</v>
      </c>
      <c r="EF391" s="47"/>
      <c r="EG391" s="47"/>
      <c r="EH391" s="47"/>
      <c r="EI391" s="47"/>
      <c r="EJ391" s="47"/>
      <c r="EK391" s="47">
        <f t="shared" si="285"/>
        <v>0</v>
      </c>
      <c r="EL391" s="46">
        <f t="shared" si="286"/>
        <v>0</v>
      </c>
      <c r="EM391" s="46"/>
      <c r="EN391" s="46">
        <f t="shared" si="287"/>
        <v>0</v>
      </c>
    </row>
    <row r="392" spans="1:145" s="48" customFormat="1" ht="15" customHeight="1" x14ac:dyDescent="0.25">
      <c r="A392" s="58"/>
      <c r="B392" s="41">
        <v>62</v>
      </c>
      <c r="C392" s="49"/>
      <c r="D392" s="53"/>
      <c r="E392" s="52"/>
      <c r="F392" s="52"/>
      <c r="G392" s="52"/>
      <c r="H392" s="52"/>
      <c r="I392" s="52"/>
      <c r="J392" s="52"/>
      <c r="K392" s="52"/>
      <c r="L392" s="49"/>
      <c r="M392" s="42"/>
      <c r="N392" s="41"/>
      <c r="O392" s="41"/>
      <c r="P392" s="42"/>
      <c r="Q392" s="45"/>
      <c r="R392" s="45"/>
      <c r="S392" s="42"/>
      <c r="T392" s="46"/>
      <c r="U392" s="46"/>
      <c r="V392" s="46"/>
      <c r="W392" s="46"/>
      <c r="X392" s="46"/>
      <c r="Y392" s="46"/>
      <c r="Z392" s="42"/>
      <c r="AA392" s="42"/>
      <c r="AB392" s="42"/>
      <c r="AC392" s="42"/>
      <c r="AD392" s="42"/>
      <c r="AE392" s="42"/>
      <c r="AF392" s="42"/>
      <c r="AG392" s="42"/>
      <c r="AH392" s="42"/>
      <c r="AI392" s="46"/>
      <c r="AJ392" s="42"/>
      <c r="AK392" s="42"/>
      <c r="AL392" s="42"/>
      <c r="AM392" s="42"/>
      <c r="AN392" s="47">
        <f t="shared" si="283"/>
        <v>0</v>
      </c>
      <c r="AO392" s="47">
        <f t="shared" si="284"/>
        <v>0</v>
      </c>
      <c r="AP392" s="42" t="s">
        <v>102</v>
      </c>
      <c r="AQ392" s="61"/>
      <c r="AR392" s="42"/>
      <c r="AS392" s="42"/>
      <c r="AT392" s="46"/>
      <c r="AU392" s="47">
        <f t="shared" si="267"/>
        <v>0</v>
      </c>
      <c r="AV392" s="47"/>
      <c r="AW392" s="47">
        <f t="shared" si="271"/>
        <v>0</v>
      </c>
      <c r="AX392" s="47"/>
      <c r="AY392" s="47"/>
      <c r="AZ392" s="47"/>
      <c r="BA392" s="47"/>
      <c r="BB392" s="47"/>
      <c r="BC392" s="47">
        <f t="shared" si="266"/>
        <v>0</v>
      </c>
      <c r="BD392" s="47"/>
      <c r="BE392" s="47">
        <f t="shared" si="268"/>
        <v>0</v>
      </c>
      <c r="BF392" s="47"/>
      <c r="BG392" s="47"/>
      <c r="BH392" s="47"/>
      <c r="BI392" s="47"/>
      <c r="BJ392" s="47"/>
      <c r="BK392" s="47"/>
      <c r="BL392" s="47"/>
      <c r="BM392" s="47">
        <f t="shared" si="274"/>
        <v>0</v>
      </c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6">
        <f>CN392*CO392</f>
        <v>0</v>
      </c>
      <c r="CQ392" s="47"/>
      <c r="CR392" s="47">
        <f t="shared" si="270"/>
        <v>0</v>
      </c>
      <c r="CS392" s="47"/>
      <c r="CT392" s="47"/>
      <c r="CU392" s="47"/>
      <c r="CV392" s="47"/>
      <c r="CW392" s="47">
        <f t="shared" ref="CW392:CW394" si="288">CU392*CV392</f>
        <v>0</v>
      </c>
      <c r="CX392" s="46"/>
      <c r="CY392" s="47">
        <f t="shared" ref="CY392:CY412" si="289">+CT392+CW392+CX392</f>
        <v>0</v>
      </c>
      <c r="CZ392" s="47"/>
      <c r="DA392" s="47"/>
      <c r="DB392" s="47"/>
      <c r="DC392" s="47"/>
      <c r="DD392" s="47"/>
      <c r="DE392" s="47"/>
      <c r="DF392" s="46"/>
      <c r="DG392" s="47"/>
      <c r="DH392" s="46"/>
      <c r="DI392" s="47"/>
      <c r="DJ392" s="47"/>
      <c r="DK392" s="47"/>
      <c r="DL392" s="47"/>
      <c r="DM392" s="47"/>
      <c r="DN392" s="46">
        <f t="shared" si="272"/>
        <v>0</v>
      </c>
      <c r="DO392" s="47"/>
      <c r="DP392" s="46"/>
      <c r="DQ392" s="47"/>
      <c r="DR392" s="46"/>
      <c r="DS392" s="47"/>
      <c r="DT392" s="46"/>
      <c r="DU392" s="47"/>
      <c r="DV392" s="46"/>
      <c r="DW392" s="47"/>
      <c r="DX392" s="47"/>
      <c r="DY392" s="47"/>
      <c r="DZ392" s="47"/>
      <c r="EA392" s="47"/>
      <c r="EB392" s="47"/>
      <c r="EC392" s="47"/>
      <c r="ED392" s="47"/>
      <c r="EE392" s="47">
        <f t="shared" si="264"/>
        <v>0</v>
      </c>
      <c r="EF392" s="47"/>
      <c r="EG392" s="47"/>
      <c r="EH392" s="47"/>
      <c r="EI392" s="47"/>
      <c r="EJ392" s="47"/>
      <c r="EK392" s="47">
        <f t="shared" si="285"/>
        <v>0</v>
      </c>
      <c r="EL392" s="46">
        <f t="shared" si="286"/>
        <v>0</v>
      </c>
      <c r="EM392" s="46"/>
      <c r="EN392" s="46">
        <f t="shared" si="287"/>
        <v>0</v>
      </c>
    </row>
    <row r="393" spans="1:145" s="48" customFormat="1" ht="15" customHeight="1" x14ac:dyDescent="0.25">
      <c r="A393" s="58"/>
      <c r="B393" s="41">
        <v>63</v>
      </c>
      <c r="C393" s="49"/>
      <c r="D393" s="53"/>
      <c r="E393" s="52"/>
      <c r="F393" s="52"/>
      <c r="G393" s="52"/>
      <c r="H393" s="52"/>
      <c r="I393" s="52"/>
      <c r="J393" s="52"/>
      <c r="K393" s="52"/>
      <c r="L393" s="49"/>
      <c r="M393" s="42"/>
      <c r="N393" s="41"/>
      <c r="O393" s="41"/>
      <c r="P393" s="42"/>
      <c r="Q393" s="45"/>
      <c r="R393" s="45"/>
      <c r="S393" s="42"/>
      <c r="T393" s="46"/>
      <c r="U393" s="46"/>
      <c r="V393" s="46"/>
      <c r="W393" s="46"/>
      <c r="X393" s="46"/>
      <c r="Y393" s="46"/>
      <c r="Z393" s="42"/>
      <c r="AA393" s="42"/>
      <c r="AB393" s="42"/>
      <c r="AC393" s="42"/>
      <c r="AD393" s="42"/>
      <c r="AE393" s="42"/>
      <c r="AF393" s="42"/>
      <c r="AG393" s="42"/>
      <c r="AH393" s="42"/>
      <c r="AI393" s="46"/>
      <c r="AJ393" s="42"/>
      <c r="AK393" s="42"/>
      <c r="AL393" s="42"/>
      <c r="AM393" s="42"/>
      <c r="AN393" s="47">
        <f t="shared" si="283"/>
        <v>0</v>
      </c>
      <c r="AO393" s="47">
        <f t="shared" si="284"/>
        <v>0</v>
      </c>
      <c r="AP393" s="42" t="s">
        <v>102</v>
      </c>
      <c r="AQ393" s="61"/>
      <c r="AR393" s="42"/>
      <c r="AS393" s="42"/>
      <c r="AT393" s="46"/>
      <c r="AU393" s="47">
        <f t="shared" si="267"/>
        <v>0</v>
      </c>
      <c r="AV393" s="47"/>
      <c r="AW393" s="47">
        <f t="shared" si="271"/>
        <v>0</v>
      </c>
      <c r="AX393" s="47"/>
      <c r="AY393" s="47"/>
      <c r="AZ393" s="47"/>
      <c r="BA393" s="47"/>
      <c r="BB393" s="47"/>
      <c r="BC393" s="47">
        <f t="shared" si="266"/>
        <v>0</v>
      </c>
      <c r="BD393" s="47"/>
      <c r="BE393" s="47">
        <f t="shared" si="268"/>
        <v>0</v>
      </c>
      <c r="BF393" s="47"/>
      <c r="BG393" s="47"/>
      <c r="BH393" s="47"/>
      <c r="BI393" s="47"/>
      <c r="BJ393" s="47"/>
      <c r="BK393" s="47"/>
      <c r="BL393" s="47"/>
      <c r="BM393" s="47">
        <f t="shared" si="274"/>
        <v>0</v>
      </c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6"/>
      <c r="CQ393" s="47"/>
      <c r="CR393" s="47">
        <f t="shared" si="270"/>
        <v>0</v>
      </c>
      <c r="CS393" s="47"/>
      <c r="CT393" s="47"/>
      <c r="CU393" s="47"/>
      <c r="CV393" s="47"/>
      <c r="CW393" s="47">
        <f t="shared" si="288"/>
        <v>0</v>
      </c>
      <c r="CX393" s="46"/>
      <c r="CY393" s="47">
        <f t="shared" si="289"/>
        <v>0</v>
      </c>
      <c r="CZ393" s="47"/>
      <c r="DA393" s="47"/>
      <c r="DB393" s="47"/>
      <c r="DC393" s="47"/>
      <c r="DD393" s="47"/>
      <c r="DE393" s="47"/>
      <c r="DF393" s="46"/>
      <c r="DG393" s="47"/>
      <c r="DH393" s="46"/>
      <c r="DI393" s="47"/>
      <c r="DJ393" s="47"/>
      <c r="DK393" s="47"/>
      <c r="DL393" s="47"/>
      <c r="DM393" s="47"/>
      <c r="DN393" s="46">
        <f t="shared" si="272"/>
        <v>0</v>
      </c>
      <c r="DO393" s="47"/>
      <c r="DP393" s="46"/>
      <c r="DQ393" s="47"/>
      <c r="DR393" s="46"/>
      <c r="DS393" s="47"/>
      <c r="DT393" s="46"/>
      <c r="DU393" s="47"/>
      <c r="DV393" s="46"/>
      <c r="DW393" s="47"/>
      <c r="DX393" s="47"/>
      <c r="DY393" s="47"/>
      <c r="DZ393" s="47"/>
      <c r="EA393" s="47"/>
      <c r="EB393" s="47"/>
      <c r="EC393" s="47"/>
      <c r="ED393" s="47"/>
      <c r="EE393" s="47">
        <f t="shared" si="264"/>
        <v>0</v>
      </c>
      <c r="EF393" s="47"/>
      <c r="EG393" s="47"/>
      <c r="EH393" s="47"/>
      <c r="EI393" s="47"/>
      <c r="EJ393" s="47"/>
      <c r="EK393" s="47">
        <f t="shared" si="285"/>
        <v>0</v>
      </c>
      <c r="EL393" s="46">
        <f t="shared" si="286"/>
        <v>0</v>
      </c>
      <c r="EM393" s="46"/>
      <c r="EN393" s="46">
        <f t="shared" si="287"/>
        <v>0</v>
      </c>
    </row>
    <row r="394" spans="1:145" s="48" customFormat="1" ht="15" customHeight="1" x14ac:dyDescent="0.25">
      <c r="A394" s="58"/>
      <c r="B394" s="41"/>
      <c r="C394" s="49"/>
      <c r="D394" s="53"/>
      <c r="E394" s="52"/>
      <c r="F394" s="52"/>
      <c r="G394" s="52"/>
      <c r="H394" s="52"/>
      <c r="I394" s="52"/>
      <c r="J394" s="52"/>
      <c r="K394" s="52"/>
      <c r="L394" s="49"/>
      <c r="M394" s="42"/>
      <c r="N394" s="41"/>
      <c r="O394" s="41"/>
      <c r="P394" s="42"/>
      <c r="Q394" s="45"/>
      <c r="R394" s="45"/>
      <c r="S394" s="42"/>
      <c r="T394" s="46"/>
      <c r="U394" s="46"/>
      <c r="V394" s="46"/>
      <c r="W394" s="46"/>
      <c r="X394" s="46"/>
      <c r="Y394" s="46"/>
      <c r="Z394" s="42"/>
      <c r="AA394" s="42"/>
      <c r="AB394" s="42"/>
      <c r="AC394" s="42"/>
      <c r="AD394" s="42"/>
      <c r="AE394" s="42"/>
      <c r="AF394" s="42"/>
      <c r="AG394" s="42"/>
      <c r="AH394" s="42"/>
      <c r="AI394" s="46"/>
      <c r="AJ394" s="42"/>
      <c r="AK394" s="42"/>
      <c r="AL394" s="42"/>
      <c r="AM394" s="42"/>
      <c r="AN394" s="47">
        <f t="shared" si="283"/>
        <v>0</v>
      </c>
      <c r="AO394" s="47">
        <f t="shared" si="284"/>
        <v>0</v>
      </c>
      <c r="AP394" s="42"/>
      <c r="AQ394" s="61"/>
      <c r="AR394" s="42"/>
      <c r="AS394" s="42"/>
      <c r="AT394" s="46"/>
      <c r="AU394" s="47"/>
      <c r="AV394" s="47"/>
      <c r="AW394" s="47"/>
      <c r="AX394" s="47"/>
      <c r="AY394" s="47"/>
      <c r="AZ394" s="47"/>
      <c r="BA394" s="47"/>
      <c r="BB394" s="47"/>
      <c r="BC394" s="47">
        <f t="shared" si="266"/>
        <v>0</v>
      </c>
      <c r="BD394" s="47"/>
      <c r="BE394" s="47">
        <f t="shared" si="268"/>
        <v>0</v>
      </c>
      <c r="BF394" s="47"/>
      <c r="BG394" s="47"/>
      <c r="BH394" s="47"/>
      <c r="BI394" s="47"/>
      <c r="BJ394" s="47"/>
      <c r="BK394" s="47"/>
      <c r="BL394" s="47"/>
      <c r="BM394" s="47">
        <f t="shared" si="274"/>
        <v>0</v>
      </c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6"/>
      <c r="CQ394" s="47"/>
      <c r="CR394" s="47">
        <f t="shared" si="270"/>
        <v>0</v>
      </c>
      <c r="CS394" s="47"/>
      <c r="CT394" s="47"/>
      <c r="CU394" s="47"/>
      <c r="CV394" s="47"/>
      <c r="CW394" s="47">
        <f t="shared" si="288"/>
        <v>0</v>
      </c>
      <c r="CX394" s="46"/>
      <c r="CY394" s="47">
        <f t="shared" si="289"/>
        <v>0</v>
      </c>
      <c r="CZ394" s="47"/>
      <c r="DA394" s="47"/>
      <c r="DB394" s="47"/>
      <c r="DC394" s="47"/>
      <c r="DD394" s="47"/>
      <c r="DE394" s="47"/>
      <c r="DF394" s="46"/>
      <c r="DG394" s="47"/>
      <c r="DH394" s="46"/>
      <c r="DI394" s="47"/>
      <c r="DJ394" s="47"/>
      <c r="DK394" s="47"/>
      <c r="DL394" s="47"/>
      <c r="DM394" s="47"/>
      <c r="DN394" s="46">
        <f t="shared" si="272"/>
        <v>0</v>
      </c>
      <c r="DO394" s="47"/>
      <c r="DP394" s="46"/>
      <c r="DQ394" s="47"/>
      <c r="DR394" s="46"/>
      <c r="DS394" s="47"/>
      <c r="DT394" s="46"/>
      <c r="DU394" s="47"/>
      <c r="DV394" s="46"/>
      <c r="DW394" s="47"/>
      <c r="DX394" s="47"/>
      <c r="DY394" s="47"/>
      <c r="DZ394" s="47"/>
      <c r="EA394" s="47"/>
      <c r="EB394" s="47"/>
      <c r="EC394" s="47"/>
      <c r="ED394" s="47"/>
      <c r="EE394" s="47">
        <f t="shared" si="264"/>
        <v>0</v>
      </c>
      <c r="EF394" s="47"/>
      <c r="EG394" s="47"/>
      <c r="EH394" s="47"/>
      <c r="EI394" s="47"/>
      <c r="EJ394" s="47"/>
      <c r="EK394" s="47"/>
      <c r="EL394" s="46"/>
      <c r="EM394" s="46"/>
      <c r="EN394" s="46"/>
    </row>
    <row r="395" spans="1:145" s="48" customFormat="1" ht="15.75" customHeight="1" x14ac:dyDescent="0.25">
      <c r="A395" s="58"/>
      <c r="B395" s="41"/>
      <c r="C395" s="49"/>
      <c r="D395" s="53"/>
      <c r="E395" s="52"/>
      <c r="F395" s="52"/>
      <c r="G395" s="52"/>
      <c r="H395" s="52"/>
      <c r="I395" s="52"/>
      <c r="J395" s="52"/>
      <c r="K395" s="52"/>
      <c r="L395" s="49"/>
      <c r="M395" s="42"/>
      <c r="N395" s="41"/>
      <c r="O395" s="41"/>
      <c r="P395" s="42"/>
      <c r="Q395" s="45"/>
      <c r="R395" s="45"/>
      <c r="S395" s="42"/>
      <c r="T395" s="46"/>
      <c r="U395" s="46"/>
      <c r="V395" s="46"/>
      <c r="W395" s="46"/>
      <c r="X395" s="46"/>
      <c r="Y395" s="46"/>
      <c r="Z395" s="42"/>
      <c r="AA395" s="42"/>
      <c r="AB395" s="42"/>
      <c r="AC395" s="42"/>
      <c r="AD395" s="42"/>
      <c r="AE395" s="42"/>
      <c r="AF395" s="42"/>
      <c r="AG395" s="42"/>
      <c r="AH395" s="42"/>
      <c r="AI395" s="46"/>
      <c r="AJ395" s="42"/>
      <c r="AK395" s="42"/>
      <c r="AL395" s="42"/>
      <c r="AM395" s="42"/>
      <c r="AN395" s="47">
        <f t="shared" si="283"/>
        <v>0</v>
      </c>
      <c r="AO395" s="47">
        <f t="shared" si="284"/>
        <v>0</v>
      </c>
      <c r="AP395" s="42"/>
      <c r="AQ395" s="61"/>
      <c r="AR395" s="42"/>
      <c r="AS395" s="42"/>
      <c r="AT395" s="46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>
        <f t="shared" si="274"/>
        <v>0</v>
      </c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6"/>
      <c r="CQ395" s="47"/>
      <c r="CR395" s="47"/>
      <c r="CS395" s="47"/>
      <c r="CT395" s="47"/>
      <c r="CU395" s="47"/>
      <c r="CV395" s="47"/>
      <c r="CW395" s="47"/>
      <c r="CX395" s="46"/>
      <c r="CY395" s="47">
        <f t="shared" si="289"/>
        <v>0</v>
      </c>
      <c r="CZ395" s="47"/>
      <c r="DA395" s="47"/>
      <c r="DB395" s="47"/>
      <c r="DC395" s="47"/>
      <c r="DD395" s="47"/>
      <c r="DE395" s="47"/>
      <c r="DF395" s="46"/>
      <c r="DG395" s="47"/>
      <c r="DH395" s="46"/>
      <c r="DI395" s="47"/>
      <c r="DJ395" s="47"/>
      <c r="DK395" s="47"/>
      <c r="DL395" s="47"/>
      <c r="DM395" s="47"/>
      <c r="DN395" s="46">
        <f t="shared" si="272"/>
        <v>0</v>
      </c>
      <c r="DO395" s="47"/>
      <c r="DP395" s="46"/>
      <c r="DQ395" s="47"/>
      <c r="DR395" s="46"/>
      <c r="DS395" s="47"/>
      <c r="DT395" s="46"/>
      <c r="DU395" s="47"/>
      <c r="DV395" s="46"/>
      <c r="DW395" s="47"/>
      <c r="DX395" s="47"/>
      <c r="DY395" s="47"/>
      <c r="DZ395" s="47"/>
      <c r="EA395" s="47"/>
      <c r="EB395" s="47"/>
      <c r="EC395" s="47"/>
      <c r="ED395" s="47"/>
      <c r="EE395" s="47">
        <f t="shared" si="264"/>
        <v>0</v>
      </c>
      <c r="EF395" s="47"/>
      <c r="EG395" s="47"/>
      <c r="EH395" s="47"/>
      <c r="EI395" s="47"/>
      <c r="EJ395" s="47"/>
      <c r="EK395" s="47"/>
      <c r="EL395" s="46"/>
      <c r="EM395" s="46"/>
      <c r="EN395" s="46"/>
    </row>
    <row r="396" spans="1:145" s="48" customFormat="1" ht="14.25" customHeight="1" x14ac:dyDescent="0.25">
      <c r="B396" s="128"/>
      <c r="C396" s="81" t="s">
        <v>131</v>
      </c>
      <c r="D396" s="43"/>
      <c r="E396" s="42"/>
      <c r="F396" s="42"/>
      <c r="G396" s="42"/>
      <c r="H396" s="42"/>
      <c r="I396" s="42"/>
      <c r="J396" s="42"/>
      <c r="K396" s="42" t="s">
        <v>132</v>
      </c>
      <c r="L396" s="42"/>
      <c r="M396" s="42"/>
      <c r="N396" s="41"/>
      <c r="O396" s="41"/>
      <c r="P396" s="42"/>
      <c r="Q396" s="45"/>
      <c r="R396" s="45"/>
      <c r="S396" s="42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7">
        <f t="shared" si="283"/>
        <v>0</v>
      </c>
      <c r="AO396" s="46">
        <f t="shared" si="284"/>
        <v>0</v>
      </c>
      <c r="AP396" s="46"/>
      <c r="AQ396" s="90"/>
      <c r="AR396" s="46"/>
      <c r="AS396" s="46"/>
      <c r="AT396" s="46"/>
      <c r="AU396" s="47">
        <f t="shared" ref="AU396:AU459" si="290">AS396*AT396</f>
        <v>0</v>
      </c>
      <c r="AV396" s="46"/>
      <c r="AW396" s="47">
        <f>AQ396+AU396+AV396</f>
        <v>0</v>
      </c>
      <c r="AX396" s="46"/>
      <c r="AY396" s="46"/>
      <c r="AZ396" s="46"/>
      <c r="BA396" s="46"/>
      <c r="BB396" s="46"/>
      <c r="BC396" s="47">
        <f t="shared" ref="BC396:BC459" si="291">BA396*BB396</f>
        <v>0</v>
      </c>
      <c r="BD396" s="46"/>
      <c r="BE396" s="47">
        <f t="shared" ref="BE396:BE459" si="292">+AY396+AZ396+BC396+BD396</f>
        <v>0</v>
      </c>
      <c r="BF396" s="46"/>
      <c r="BG396" s="46"/>
      <c r="BH396" s="46"/>
      <c r="BI396" s="46"/>
      <c r="BJ396" s="46"/>
      <c r="BK396" s="46"/>
      <c r="BL396" s="46"/>
      <c r="BM396" s="47">
        <f t="shared" si="274"/>
        <v>0</v>
      </c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  <c r="CK396" s="46"/>
      <c r="CL396" s="46"/>
      <c r="CM396" s="46"/>
      <c r="CN396" s="46"/>
      <c r="CO396" s="46"/>
      <c r="CP396" s="46">
        <f t="shared" ref="CP396:CP428" si="293">CN396*CO396</f>
        <v>0</v>
      </c>
      <c r="CQ396" s="46"/>
      <c r="CR396" s="47">
        <f t="shared" ref="CR396:CR459" si="294">CM396+CP396+CQ396</f>
        <v>0</v>
      </c>
      <c r="CS396" s="46"/>
      <c r="CT396" s="46"/>
      <c r="CU396" s="46"/>
      <c r="CV396" s="46"/>
      <c r="CW396" s="47">
        <f t="shared" ref="CW396:CW412" si="295">CU396*CV396</f>
        <v>0</v>
      </c>
      <c r="CX396" s="46"/>
      <c r="CY396" s="47">
        <f t="shared" si="289"/>
        <v>0</v>
      </c>
      <c r="CZ396" s="46"/>
      <c r="DA396" s="46"/>
      <c r="DB396" s="46"/>
      <c r="DC396" s="46"/>
      <c r="DD396" s="47">
        <f t="shared" ref="DD396:DD402" si="296">+DB396*DC396</f>
        <v>0</v>
      </c>
      <c r="DE396" s="46"/>
      <c r="DF396" s="46">
        <f t="shared" ref="DF396:DF412" si="297">DC396</f>
        <v>0</v>
      </c>
      <c r="DG396" s="46"/>
      <c r="DH396" s="46">
        <f>AQ396/2</f>
        <v>0</v>
      </c>
      <c r="DI396" s="46"/>
      <c r="DJ396" s="46"/>
      <c r="DK396" s="64"/>
      <c r="DL396" s="47">
        <f t="shared" ref="DL396:DL412" si="298">+DH396+DK396</f>
        <v>0</v>
      </c>
      <c r="DM396" s="46"/>
      <c r="DN396" s="46">
        <f t="shared" si="272"/>
        <v>0</v>
      </c>
      <c r="DO396" s="46"/>
      <c r="DP396" s="90">
        <f t="shared" ref="DP396:DP412" si="299">DN396</f>
        <v>0</v>
      </c>
      <c r="DQ396" s="46"/>
      <c r="DR396" s="46">
        <f t="shared" ref="DR396:DR415" si="300">DP396</f>
        <v>0</v>
      </c>
      <c r="DS396" s="46"/>
      <c r="DT396" s="46">
        <f t="shared" ref="DT396:DT412" si="301">75%*DP396</f>
        <v>0</v>
      </c>
      <c r="DU396" s="46"/>
      <c r="DV396" s="46">
        <f t="shared" ref="DV396:DV410" si="302">DT396/2</f>
        <v>0</v>
      </c>
      <c r="DW396" s="46"/>
      <c r="DX396" s="47">
        <f t="shared" ref="DX396:DX412" si="303">+DN396+DP396+DR396+DT396+DV396</f>
        <v>0</v>
      </c>
      <c r="DY396" s="46"/>
      <c r="DZ396" s="46"/>
      <c r="EA396" s="46"/>
      <c r="EB396" s="46"/>
      <c r="EC396" s="46"/>
      <c r="ED396" s="46"/>
      <c r="EE396" s="47">
        <f t="shared" si="264"/>
        <v>0</v>
      </c>
      <c r="EF396" s="46"/>
      <c r="EG396" s="46"/>
      <c r="EH396" s="46"/>
      <c r="EI396" s="46"/>
      <c r="EJ396" s="46"/>
      <c r="EK396" s="47">
        <f t="shared" ref="EK396:EK459" si="304">+EG396+EH396+EI396+EJ396</f>
        <v>0</v>
      </c>
      <c r="EL396" s="46">
        <f t="shared" ref="EL396:EL459" si="305">+AO396-EE396-EK396</f>
        <v>0</v>
      </c>
      <c r="EM396" s="46"/>
      <c r="EN396" s="46">
        <f t="shared" ref="EN396:EN459" si="306">EL396+EM396</f>
        <v>0</v>
      </c>
    </row>
    <row r="397" spans="1:145" s="48" customFormat="1" ht="15" customHeight="1" x14ac:dyDescent="0.25">
      <c r="B397" s="128">
        <v>1</v>
      </c>
      <c r="C397" s="49"/>
      <c r="D397" s="43"/>
      <c r="E397" s="42"/>
      <c r="F397" s="42"/>
      <c r="G397" s="42"/>
      <c r="H397" s="42"/>
      <c r="I397" s="42"/>
      <c r="J397" s="42"/>
      <c r="K397" s="42"/>
      <c r="L397" s="42"/>
      <c r="M397" s="42"/>
      <c r="N397" s="41"/>
      <c r="O397" s="41"/>
      <c r="P397" s="42"/>
      <c r="Q397" s="45"/>
      <c r="R397" s="45"/>
      <c r="S397" s="42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7">
        <f t="shared" si="283"/>
        <v>0</v>
      </c>
      <c r="AO397" s="46">
        <f t="shared" si="284"/>
        <v>0</v>
      </c>
      <c r="AP397" s="46" t="s">
        <v>102</v>
      </c>
      <c r="AQ397" s="90"/>
      <c r="AR397" s="46"/>
      <c r="AS397" s="46"/>
      <c r="AT397" s="46"/>
      <c r="AU397" s="47">
        <f t="shared" si="290"/>
        <v>0</v>
      </c>
      <c r="AV397" s="46"/>
      <c r="AW397" s="47">
        <f>AQ397+AU397+AV397</f>
        <v>0</v>
      </c>
      <c r="AX397" s="46"/>
      <c r="AY397" s="46"/>
      <c r="AZ397" s="46"/>
      <c r="BA397" s="46"/>
      <c r="BB397" s="46"/>
      <c r="BC397" s="47">
        <f t="shared" si="291"/>
        <v>0</v>
      </c>
      <c r="BD397" s="46"/>
      <c r="BE397" s="47">
        <f t="shared" si="292"/>
        <v>0</v>
      </c>
      <c r="BF397" s="46"/>
      <c r="BG397" s="46"/>
      <c r="BH397" s="46"/>
      <c r="BI397" s="46"/>
      <c r="BJ397" s="46"/>
      <c r="BK397" s="46"/>
      <c r="BL397" s="46"/>
      <c r="BM397" s="47">
        <f t="shared" si="274"/>
        <v>0</v>
      </c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  <c r="CK397" s="46"/>
      <c r="CL397" s="46"/>
      <c r="CM397" s="46"/>
      <c r="CN397" s="46"/>
      <c r="CO397" s="46"/>
      <c r="CP397" s="46">
        <f t="shared" si="293"/>
        <v>0</v>
      </c>
      <c r="CQ397" s="46"/>
      <c r="CR397" s="47">
        <f t="shared" si="294"/>
        <v>0</v>
      </c>
      <c r="CS397" s="46"/>
      <c r="CT397" s="46"/>
      <c r="CU397" s="46"/>
      <c r="CV397" s="46"/>
      <c r="CW397" s="47">
        <f t="shared" si="295"/>
        <v>0</v>
      </c>
      <c r="CX397" s="46"/>
      <c r="CY397" s="47">
        <f t="shared" si="289"/>
        <v>0</v>
      </c>
      <c r="CZ397" s="46"/>
      <c r="DA397" s="46"/>
      <c r="DB397" s="46"/>
      <c r="DC397" s="46"/>
      <c r="DD397" s="47">
        <f t="shared" si="296"/>
        <v>0</v>
      </c>
      <c r="DE397" s="46"/>
      <c r="DF397" s="46">
        <f t="shared" si="297"/>
        <v>0</v>
      </c>
      <c r="DG397" s="46"/>
      <c r="DH397" s="46"/>
      <c r="DI397" s="46"/>
      <c r="DJ397" s="46"/>
      <c r="DK397" s="64"/>
      <c r="DL397" s="47">
        <f t="shared" si="298"/>
        <v>0</v>
      </c>
      <c r="DM397" s="46"/>
      <c r="DN397" s="46"/>
      <c r="DO397" s="46"/>
      <c r="DP397" s="90">
        <f t="shared" si="299"/>
        <v>0</v>
      </c>
      <c r="DQ397" s="46"/>
      <c r="DR397" s="46">
        <f t="shared" si="300"/>
        <v>0</v>
      </c>
      <c r="DS397" s="46"/>
      <c r="DT397" s="46">
        <f t="shared" si="301"/>
        <v>0</v>
      </c>
      <c r="DU397" s="46"/>
      <c r="DV397" s="46">
        <f t="shared" si="302"/>
        <v>0</v>
      </c>
      <c r="DW397" s="46"/>
      <c r="DX397" s="47">
        <f t="shared" si="303"/>
        <v>0</v>
      </c>
      <c r="DY397" s="46"/>
      <c r="DZ397" s="46"/>
      <c r="EA397" s="46"/>
      <c r="EB397" s="46"/>
      <c r="EC397" s="46"/>
      <c r="ED397" s="46"/>
      <c r="EE397" s="47">
        <f t="shared" si="264"/>
        <v>0</v>
      </c>
      <c r="EF397" s="46"/>
      <c r="EG397" s="46"/>
      <c r="EH397" s="46"/>
      <c r="EI397" s="46"/>
      <c r="EJ397" s="46"/>
      <c r="EK397" s="47">
        <f t="shared" si="304"/>
        <v>0</v>
      </c>
      <c r="EL397" s="46">
        <f t="shared" si="305"/>
        <v>0</v>
      </c>
      <c r="EM397" s="46"/>
      <c r="EN397" s="46">
        <f t="shared" si="306"/>
        <v>0</v>
      </c>
    </row>
    <row r="398" spans="1:145" s="48" customFormat="1" ht="15" customHeight="1" x14ac:dyDescent="0.25">
      <c r="B398" s="128">
        <v>2</v>
      </c>
      <c r="C398" s="42"/>
      <c r="D398" s="43"/>
      <c r="E398" s="42"/>
      <c r="F398" s="42"/>
      <c r="G398" s="42"/>
      <c r="H398" s="42"/>
      <c r="I398" s="42"/>
      <c r="J398" s="42"/>
      <c r="K398" s="42"/>
      <c r="L398" s="42"/>
      <c r="M398" s="42"/>
      <c r="N398" s="41"/>
      <c r="O398" s="41"/>
      <c r="P398" s="42"/>
      <c r="Q398" s="45"/>
      <c r="R398" s="45"/>
      <c r="S398" s="42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7">
        <f t="shared" si="283"/>
        <v>0</v>
      </c>
      <c r="AO398" s="46">
        <f t="shared" si="284"/>
        <v>0</v>
      </c>
      <c r="AP398" s="46" t="s">
        <v>102</v>
      </c>
      <c r="AQ398" s="46"/>
      <c r="AR398" s="46"/>
      <c r="AS398" s="46"/>
      <c r="AT398" s="46"/>
      <c r="AU398" s="47">
        <f t="shared" si="290"/>
        <v>0</v>
      </c>
      <c r="AV398" s="46"/>
      <c r="AW398" s="47">
        <f t="shared" ref="AW398:AW410" si="307">AQ398+AR398+AU398+AV398</f>
        <v>0</v>
      </c>
      <c r="AX398" s="46"/>
      <c r="AY398" s="46"/>
      <c r="AZ398" s="46"/>
      <c r="BA398" s="46"/>
      <c r="BB398" s="46"/>
      <c r="BC398" s="47">
        <f t="shared" si="291"/>
        <v>0</v>
      </c>
      <c r="BD398" s="46"/>
      <c r="BE398" s="47">
        <f t="shared" si="292"/>
        <v>0</v>
      </c>
      <c r="BF398" s="46"/>
      <c r="BG398" s="46"/>
      <c r="BH398" s="46"/>
      <c r="BI398" s="46"/>
      <c r="BJ398" s="46"/>
      <c r="BK398" s="46"/>
      <c r="BL398" s="46"/>
      <c r="BM398" s="47">
        <f t="shared" si="274"/>
        <v>0</v>
      </c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  <c r="CK398" s="46"/>
      <c r="CL398" s="46"/>
      <c r="CM398" s="46"/>
      <c r="CN398" s="46"/>
      <c r="CO398" s="46"/>
      <c r="CP398" s="46">
        <f t="shared" si="293"/>
        <v>0</v>
      </c>
      <c r="CQ398" s="46"/>
      <c r="CR398" s="47">
        <f t="shared" si="294"/>
        <v>0</v>
      </c>
      <c r="CS398" s="46"/>
      <c r="CT398" s="46"/>
      <c r="CU398" s="46"/>
      <c r="CV398" s="46"/>
      <c r="CW398" s="47">
        <f t="shared" si="295"/>
        <v>0</v>
      </c>
      <c r="CX398" s="46"/>
      <c r="CY398" s="47">
        <f t="shared" si="289"/>
        <v>0</v>
      </c>
      <c r="CZ398" s="46"/>
      <c r="DA398" s="46"/>
      <c r="DB398" s="46"/>
      <c r="DC398" s="46"/>
      <c r="DD398" s="47">
        <f t="shared" si="296"/>
        <v>0</v>
      </c>
      <c r="DE398" s="46"/>
      <c r="DF398" s="46">
        <f t="shared" si="297"/>
        <v>0</v>
      </c>
      <c r="DG398" s="46"/>
      <c r="DH398" s="46"/>
      <c r="DI398" s="46"/>
      <c r="DJ398" s="46"/>
      <c r="DK398" s="64"/>
      <c r="DL398" s="47">
        <f t="shared" si="298"/>
        <v>0</v>
      </c>
      <c r="DM398" s="46"/>
      <c r="DN398" s="46"/>
      <c r="DO398" s="46"/>
      <c r="DP398" s="90">
        <f t="shared" si="299"/>
        <v>0</v>
      </c>
      <c r="DQ398" s="46"/>
      <c r="DR398" s="46">
        <f t="shared" si="300"/>
        <v>0</v>
      </c>
      <c r="DS398" s="46"/>
      <c r="DT398" s="46">
        <f t="shared" si="301"/>
        <v>0</v>
      </c>
      <c r="DU398" s="46"/>
      <c r="DV398" s="46">
        <f t="shared" si="302"/>
        <v>0</v>
      </c>
      <c r="DW398" s="46"/>
      <c r="DX398" s="47">
        <f t="shared" si="303"/>
        <v>0</v>
      </c>
      <c r="DY398" s="46"/>
      <c r="DZ398" s="46"/>
      <c r="EA398" s="46"/>
      <c r="EB398" s="46"/>
      <c r="EC398" s="46"/>
      <c r="ED398" s="46"/>
      <c r="EE398" s="47">
        <f t="shared" si="264"/>
        <v>0</v>
      </c>
      <c r="EF398" s="46"/>
      <c r="EG398" s="46"/>
      <c r="EH398" s="46"/>
      <c r="EI398" s="46"/>
      <c r="EJ398" s="46"/>
      <c r="EK398" s="47">
        <f t="shared" si="304"/>
        <v>0</v>
      </c>
      <c r="EL398" s="46">
        <f t="shared" si="305"/>
        <v>0</v>
      </c>
      <c r="EM398" s="46"/>
      <c r="EN398" s="46">
        <f t="shared" si="306"/>
        <v>0</v>
      </c>
    </row>
    <row r="399" spans="1:145" s="48" customFormat="1" ht="15" customHeight="1" x14ac:dyDescent="0.25">
      <c r="B399" s="128">
        <v>3</v>
      </c>
      <c r="C399" s="42"/>
      <c r="D399" s="43"/>
      <c r="E399" s="42"/>
      <c r="F399" s="42"/>
      <c r="G399" s="42"/>
      <c r="H399" s="42"/>
      <c r="I399" s="42"/>
      <c r="J399" s="42"/>
      <c r="K399" s="42"/>
      <c r="L399" s="42"/>
      <c r="M399" s="42"/>
      <c r="N399" s="41"/>
      <c r="O399" s="41"/>
      <c r="P399" s="42"/>
      <c r="Q399" s="45"/>
      <c r="R399" s="45"/>
      <c r="S399" s="42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7">
        <f t="shared" si="283"/>
        <v>0</v>
      </c>
      <c r="AO399" s="46">
        <f t="shared" si="284"/>
        <v>0</v>
      </c>
      <c r="AP399" s="46" t="s">
        <v>102</v>
      </c>
      <c r="AQ399" s="46"/>
      <c r="AR399" s="46"/>
      <c r="AS399" s="46"/>
      <c r="AT399" s="46"/>
      <c r="AU399" s="47">
        <f t="shared" si="290"/>
        <v>0</v>
      </c>
      <c r="AV399" s="46"/>
      <c r="AW399" s="47">
        <f t="shared" si="307"/>
        <v>0</v>
      </c>
      <c r="AX399" s="46"/>
      <c r="AY399" s="46"/>
      <c r="AZ399" s="46"/>
      <c r="BA399" s="46"/>
      <c r="BB399" s="46"/>
      <c r="BC399" s="47">
        <f t="shared" si="291"/>
        <v>0</v>
      </c>
      <c r="BD399" s="46"/>
      <c r="BE399" s="47">
        <f t="shared" si="292"/>
        <v>0</v>
      </c>
      <c r="BF399" s="46"/>
      <c r="BG399" s="46"/>
      <c r="BH399" s="46"/>
      <c r="BI399" s="46"/>
      <c r="BJ399" s="46"/>
      <c r="BK399" s="46"/>
      <c r="BL399" s="46"/>
      <c r="BM399" s="47">
        <f t="shared" si="274"/>
        <v>0</v>
      </c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  <c r="CK399" s="46"/>
      <c r="CL399" s="46"/>
      <c r="CM399" s="46"/>
      <c r="CN399" s="46"/>
      <c r="CO399" s="46"/>
      <c r="CP399" s="46">
        <f t="shared" si="293"/>
        <v>0</v>
      </c>
      <c r="CQ399" s="46"/>
      <c r="CR399" s="47">
        <f t="shared" si="294"/>
        <v>0</v>
      </c>
      <c r="CS399" s="46"/>
      <c r="CT399" s="46"/>
      <c r="CU399" s="46"/>
      <c r="CV399" s="46"/>
      <c r="CW399" s="47">
        <f t="shared" si="295"/>
        <v>0</v>
      </c>
      <c r="CX399" s="46"/>
      <c r="CY399" s="47">
        <f t="shared" si="289"/>
        <v>0</v>
      </c>
      <c r="CZ399" s="46"/>
      <c r="DA399" s="46"/>
      <c r="DB399" s="46"/>
      <c r="DC399" s="46"/>
      <c r="DD399" s="47">
        <f t="shared" si="296"/>
        <v>0</v>
      </c>
      <c r="DE399" s="46"/>
      <c r="DF399" s="46">
        <f t="shared" si="297"/>
        <v>0</v>
      </c>
      <c r="DG399" s="46"/>
      <c r="DH399" s="46"/>
      <c r="DI399" s="46"/>
      <c r="DJ399" s="46"/>
      <c r="DK399" s="64"/>
      <c r="DL399" s="47">
        <f t="shared" si="298"/>
        <v>0</v>
      </c>
      <c r="DM399" s="46"/>
      <c r="DN399" s="46"/>
      <c r="DO399" s="46"/>
      <c r="DP399" s="90">
        <f t="shared" si="299"/>
        <v>0</v>
      </c>
      <c r="DQ399" s="46"/>
      <c r="DR399" s="46">
        <f t="shared" si="300"/>
        <v>0</v>
      </c>
      <c r="DS399" s="46"/>
      <c r="DT399" s="46">
        <f t="shared" si="301"/>
        <v>0</v>
      </c>
      <c r="DU399" s="46"/>
      <c r="DV399" s="46">
        <f t="shared" si="302"/>
        <v>0</v>
      </c>
      <c r="DW399" s="46"/>
      <c r="DX399" s="47">
        <f t="shared" si="303"/>
        <v>0</v>
      </c>
      <c r="DY399" s="46"/>
      <c r="DZ399" s="46"/>
      <c r="EA399" s="46"/>
      <c r="EB399" s="46"/>
      <c r="EC399" s="46"/>
      <c r="ED399" s="46"/>
      <c r="EE399" s="47">
        <f t="shared" si="264"/>
        <v>0</v>
      </c>
      <c r="EF399" s="46"/>
      <c r="EG399" s="46"/>
      <c r="EH399" s="46"/>
      <c r="EI399" s="46"/>
      <c r="EJ399" s="46"/>
      <c r="EK399" s="47">
        <f t="shared" si="304"/>
        <v>0</v>
      </c>
      <c r="EL399" s="46">
        <f t="shared" si="305"/>
        <v>0</v>
      </c>
      <c r="EM399" s="46"/>
      <c r="EN399" s="46">
        <f t="shared" si="306"/>
        <v>0</v>
      </c>
    </row>
    <row r="400" spans="1:145" s="48" customFormat="1" ht="15" customHeight="1" x14ac:dyDescent="0.25">
      <c r="B400" s="128">
        <v>4</v>
      </c>
      <c r="C400" s="49"/>
      <c r="D400" s="43"/>
      <c r="E400" s="42"/>
      <c r="F400" s="42"/>
      <c r="G400" s="42"/>
      <c r="H400" s="42"/>
      <c r="I400" s="42"/>
      <c r="J400" s="42"/>
      <c r="K400" s="42"/>
      <c r="L400" s="42"/>
      <c r="M400" s="42"/>
      <c r="N400" s="41"/>
      <c r="O400" s="41"/>
      <c r="P400" s="42"/>
      <c r="Q400" s="45"/>
      <c r="R400" s="45"/>
      <c r="S400" s="42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7">
        <f t="shared" si="283"/>
        <v>0</v>
      </c>
      <c r="AO400" s="46">
        <f t="shared" si="284"/>
        <v>0</v>
      </c>
      <c r="AP400" s="46" t="s">
        <v>102</v>
      </c>
      <c r="AQ400" s="46"/>
      <c r="AR400" s="46"/>
      <c r="AS400" s="46"/>
      <c r="AT400" s="46"/>
      <c r="AU400" s="47">
        <f t="shared" si="290"/>
        <v>0</v>
      </c>
      <c r="AV400" s="46"/>
      <c r="AW400" s="47">
        <f t="shared" si="307"/>
        <v>0</v>
      </c>
      <c r="AX400" s="46"/>
      <c r="AY400" s="46"/>
      <c r="AZ400" s="46"/>
      <c r="BA400" s="46"/>
      <c r="BB400" s="46"/>
      <c r="BC400" s="47">
        <f t="shared" si="291"/>
        <v>0</v>
      </c>
      <c r="BD400" s="46"/>
      <c r="BE400" s="47">
        <f t="shared" si="292"/>
        <v>0</v>
      </c>
      <c r="BF400" s="46"/>
      <c r="BG400" s="46"/>
      <c r="BH400" s="46"/>
      <c r="BI400" s="46"/>
      <c r="BJ400" s="46"/>
      <c r="BK400" s="46"/>
      <c r="BL400" s="46"/>
      <c r="BM400" s="47">
        <f t="shared" si="274"/>
        <v>0</v>
      </c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  <c r="CK400" s="46"/>
      <c r="CL400" s="46"/>
      <c r="CM400" s="46"/>
      <c r="CN400" s="46"/>
      <c r="CO400" s="46"/>
      <c r="CP400" s="46">
        <f t="shared" si="293"/>
        <v>0</v>
      </c>
      <c r="CQ400" s="46"/>
      <c r="CR400" s="47">
        <f t="shared" si="294"/>
        <v>0</v>
      </c>
      <c r="CS400" s="46"/>
      <c r="CT400" s="46"/>
      <c r="CU400" s="46"/>
      <c r="CV400" s="46"/>
      <c r="CW400" s="47">
        <f t="shared" si="295"/>
        <v>0</v>
      </c>
      <c r="CX400" s="46"/>
      <c r="CY400" s="47">
        <f t="shared" si="289"/>
        <v>0</v>
      </c>
      <c r="CZ400" s="46"/>
      <c r="DA400" s="46"/>
      <c r="DB400" s="46"/>
      <c r="DC400" s="46"/>
      <c r="DD400" s="47">
        <f t="shared" si="296"/>
        <v>0</v>
      </c>
      <c r="DE400" s="46"/>
      <c r="DF400" s="46">
        <f t="shared" si="297"/>
        <v>0</v>
      </c>
      <c r="DG400" s="46"/>
      <c r="DH400" s="46"/>
      <c r="DI400" s="46"/>
      <c r="DJ400" s="46"/>
      <c r="DK400" s="64"/>
      <c r="DL400" s="47">
        <f t="shared" si="298"/>
        <v>0</v>
      </c>
      <c r="DM400" s="46"/>
      <c r="DN400" s="46">
        <f>7.5%*AQ400</f>
        <v>0</v>
      </c>
      <c r="DO400" s="46"/>
      <c r="DP400" s="90">
        <f t="shared" si="299"/>
        <v>0</v>
      </c>
      <c r="DQ400" s="46"/>
      <c r="DR400" s="46">
        <f t="shared" si="300"/>
        <v>0</v>
      </c>
      <c r="DS400" s="46"/>
      <c r="DT400" s="46">
        <f t="shared" si="301"/>
        <v>0</v>
      </c>
      <c r="DU400" s="46"/>
      <c r="DV400" s="46">
        <f t="shared" si="302"/>
        <v>0</v>
      </c>
      <c r="DW400" s="46"/>
      <c r="DX400" s="47">
        <f t="shared" si="303"/>
        <v>0</v>
      </c>
      <c r="DY400" s="46"/>
      <c r="DZ400" s="46"/>
      <c r="EA400" s="46"/>
      <c r="EB400" s="46"/>
      <c r="EC400" s="46"/>
      <c r="ED400" s="46"/>
      <c r="EE400" s="47">
        <f t="shared" si="264"/>
        <v>0</v>
      </c>
      <c r="EF400" s="46"/>
      <c r="EG400" s="46"/>
      <c r="EH400" s="46"/>
      <c r="EI400" s="46"/>
      <c r="EJ400" s="46"/>
      <c r="EK400" s="47">
        <f t="shared" si="304"/>
        <v>0</v>
      </c>
      <c r="EL400" s="46">
        <f t="shared" si="305"/>
        <v>0</v>
      </c>
      <c r="EM400" s="46"/>
      <c r="EN400" s="46">
        <f t="shared" si="306"/>
        <v>0</v>
      </c>
    </row>
    <row r="401" spans="2:144" s="48" customFormat="1" ht="15" customHeight="1" x14ac:dyDescent="0.25">
      <c r="B401" s="128">
        <v>5</v>
      </c>
      <c r="C401" s="42"/>
      <c r="D401" s="43"/>
      <c r="E401" s="42"/>
      <c r="F401" s="42"/>
      <c r="G401" s="42"/>
      <c r="H401" s="42"/>
      <c r="I401" s="42"/>
      <c r="J401" s="42"/>
      <c r="K401" s="42"/>
      <c r="L401" s="42"/>
      <c r="M401" s="42"/>
      <c r="N401" s="41"/>
      <c r="O401" s="41"/>
      <c r="P401" s="42"/>
      <c r="Q401" s="45"/>
      <c r="R401" s="45"/>
      <c r="S401" s="42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7">
        <f t="shared" si="283"/>
        <v>0</v>
      </c>
      <c r="AO401" s="46">
        <f t="shared" si="284"/>
        <v>0</v>
      </c>
      <c r="AP401" s="46" t="s">
        <v>102</v>
      </c>
      <c r="AQ401" s="46"/>
      <c r="AR401" s="46"/>
      <c r="AS401" s="46"/>
      <c r="AT401" s="46"/>
      <c r="AU401" s="47">
        <f t="shared" si="290"/>
        <v>0</v>
      </c>
      <c r="AV401" s="46"/>
      <c r="AW401" s="47">
        <f t="shared" si="307"/>
        <v>0</v>
      </c>
      <c r="AX401" s="46"/>
      <c r="AY401" s="46"/>
      <c r="AZ401" s="46"/>
      <c r="BA401" s="46"/>
      <c r="BB401" s="46"/>
      <c r="BC401" s="47">
        <f t="shared" si="291"/>
        <v>0</v>
      </c>
      <c r="BD401" s="46"/>
      <c r="BE401" s="47">
        <f t="shared" si="292"/>
        <v>0</v>
      </c>
      <c r="BF401" s="46"/>
      <c r="BG401" s="46"/>
      <c r="BH401" s="46"/>
      <c r="BI401" s="46"/>
      <c r="BJ401" s="46"/>
      <c r="BK401" s="46"/>
      <c r="BL401" s="46"/>
      <c r="BM401" s="47">
        <f t="shared" si="274"/>
        <v>0</v>
      </c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  <c r="CK401" s="46"/>
      <c r="CL401" s="46"/>
      <c r="CM401" s="46"/>
      <c r="CN401" s="46"/>
      <c r="CO401" s="46"/>
      <c r="CP401" s="46">
        <f t="shared" si="293"/>
        <v>0</v>
      </c>
      <c r="CQ401" s="46"/>
      <c r="CR401" s="47">
        <f t="shared" si="294"/>
        <v>0</v>
      </c>
      <c r="CS401" s="46"/>
      <c r="CT401" s="46"/>
      <c r="CU401" s="46"/>
      <c r="CV401" s="46"/>
      <c r="CW401" s="47">
        <f t="shared" si="295"/>
        <v>0</v>
      </c>
      <c r="CX401" s="46"/>
      <c r="CY401" s="47">
        <f t="shared" si="289"/>
        <v>0</v>
      </c>
      <c r="CZ401" s="46"/>
      <c r="DA401" s="46"/>
      <c r="DB401" s="46"/>
      <c r="DC401" s="46"/>
      <c r="DD401" s="47">
        <f t="shared" si="296"/>
        <v>0</v>
      </c>
      <c r="DE401" s="46"/>
      <c r="DF401" s="46">
        <f t="shared" si="297"/>
        <v>0</v>
      </c>
      <c r="DG401" s="46"/>
      <c r="DH401" s="46"/>
      <c r="DI401" s="46"/>
      <c r="DJ401" s="46"/>
      <c r="DK401" s="64"/>
      <c r="DL401" s="47">
        <f t="shared" si="298"/>
        <v>0</v>
      </c>
      <c r="DM401" s="46"/>
      <c r="DN401" s="46">
        <f>7.5%*AQ401</f>
        <v>0</v>
      </c>
      <c r="DO401" s="46"/>
      <c r="DP401" s="90">
        <f t="shared" si="299"/>
        <v>0</v>
      </c>
      <c r="DQ401" s="46"/>
      <c r="DR401" s="46">
        <f t="shared" si="300"/>
        <v>0</v>
      </c>
      <c r="DS401" s="46"/>
      <c r="DT401" s="46">
        <f t="shared" si="301"/>
        <v>0</v>
      </c>
      <c r="DU401" s="46"/>
      <c r="DV401" s="46">
        <f t="shared" si="302"/>
        <v>0</v>
      </c>
      <c r="DW401" s="46"/>
      <c r="DX401" s="47">
        <f t="shared" si="303"/>
        <v>0</v>
      </c>
      <c r="DY401" s="46"/>
      <c r="DZ401" s="46"/>
      <c r="EA401" s="46"/>
      <c r="EB401" s="46"/>
      <c r="EC401" s="46"/>
      <c r="ED401" s="46"/>
      <c r="EE401" s="47">
        <f t="shared" si="264"/>
        <v>0</v>
      </c>
      <c r="EF401" s="46"/>
      <c r="EG401" s="46"/>
      <c r="EH401" s="46"/>
      <c r="EI401" s="46"/>
      <c r="EJ401" s="46"/>
      <c r="EK401" s="47">
        <f t="shared" si="304"/>
        <v>0</v>
      </c>
      <c r="EL401" s="46">
        <f t="shared" si="305"/>
        <v>0</v>
      </c>
      <c r="EM401" s="46"/>
      <c r="EN401" s="46">
        <f t="shared" si="306"/>
        <v>0</v>
      </c>
    </row>
    <row r="402" spans="2:144" s="48" customFormat="1" ht="15" customHeight="1" x14ac:dyDescent="0.25">
      <c r="B402" s="128">
        <v>6</v>
      </c>
      <c r="C402" s="42"/>
      <c r="D402" s="43"/>
      <c r="E402" s="42"/>
      <c r="F402" s="42"/>
      <c r="G402" s="42"/>
      <c r="H402" s="42"/>
      <c r="I402" s="42"/>
      <c r="J402" s="42"/>
      <c r="K402" s="42"/>
      <c r="L402" s="42"/>
      <c r="M402" s="42"/>
      <c r="N402" s="41"/>
      <c r="O402" s="41"/>
      <c r="P402" s="42"/>
      <c r="Q402" s="45"/>
      <c r="R402" s="45"/>
      <c r="S402" s="42"/>
      <c r="T402" s="46"/>
      <c r="U402" s="46"/>
      <c r="V402" s="42"/>
      <c r="W402" s="42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7">
        <f t="shared" si="283"/>
        <v>0</v>
      </c>
      <c r="AO402" s="46">
        <f t="shared" si="284"/>
        <v>0</v>
      </c>
      <c r="AP402" s="46" t="s">
        <v>102</v>
      </c>
      <c r="AQ402" s="46"/>
      <c r="AR402" s="46"/>
      <c r="AS402" s="46"/>
      <c r="AT402" s="46"/>
      <c r="AU402" s="47">
        <f t="shared" si="290"/>
        <v>0</v>
      </c>
      <c r="AV402" s="46"/>
      <c r="AW402" s="47">
        <f t="shared" si="307"/>
        <v>0</v>
      </c>
      <c r="AX402" s="46"/>
      <c r="AY402" s="46"/>
      <c r="AZ402" s="46"/>
      <c r="BA402" s="46"/>
      <c r="BB402" s="46"/>
      <c r="BC402" s="47">
        <f t="shared" si="291"/>
        <v>0</v>
      </c>
      <c r="BD402" s="46"/>
      <c r="BE402" s="47">
        <f t="shared" si="292"/>
        <v>0</v>
      </c>
      <c r="BF402" s="46"/>
      <c r="BG402" s="46"/>
      <c r="BH402" s="46"/>
      <c r="BI402" s="46"/>
      <c r="BJ402" s="46"/>
      <c r="BK402" s="46"/>
      <c r="BL402" s="46"/>
      <c r="BM402" s="47">
        <f t="shared" si="274"/>
        <v>0</v>
      </c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  <c r="CK402" s="46"/>
      <c r="CL402" s="46"/>
      <c r="CM402" s="46"/>
      <c r="CN402" s="46"/>
      <c r="CO402" s="46"/>
      <c r="CP402" s="46">
        <f t="shared" si="293"/>
        <v>0</v>
      </c>
      <c r="CQ402" s="46"/>
      <c r="CR402" s="47">
        <f t="shared" si="294"/>
        <v>0</v>
      </c>
      <c r="CS402" s="46"/>
      <c r="CT402" s="46"/>
      <c r="CU402" s="46"/>
      <c r="CV402" s="46"/>
      <c r="CW402" s="47">
        <f t="shared" si="295"/>
        <v>0</v>
      </c>
      <c r="CX402" s="46"/>
      <c r="CY402" s="47">
        <f t="shared" si="289"/>
        <v>0</v>
      </c>
      <c r="CZ402" s="46"/>
      <c r="DA402" s="46"/>
      <c r="DB402" s="46"/>
      <c r="DC402" s="46"/>
      <c r="DD402" s="47">
        <f t="shared" si="296"/>
        <v>0</v>
      </c>
      <c r="DE402" s="46"/>
      <c r="DF402" s="46">
        <f t="shared" si="297"/>
        <v>0</v>
      </c>
      <c r="DG402" s="46"/>
      <c r="DH402" s="46"/>
      <c r="DI402" s="46"/>
      <c r="DJ402" s="46"/>
      <c r="DK402" s="64"/>
      <c r="DL402" s="47">
        <f t="shared" si="298"/>
        <v>0</v>
      </c>
      <c r="DM402" s="46"/>
      <c r="DN402" s="46">
        <f>7.5%*AQ402</f>
        <v>0</v>
      </c>
      <c r="DO402" s="46"/>
      <c r="DP402" s="90">
        <f t="shared" si="299"/>
        <v>0</v>
      </c>
      <c r="DQ402" s="46"/>
      <c r="DR402" s="46">
        <f t="shared" si="300"/>
        <v>0</v>
      </c>
      <c r="DS402" s="46"/>
      <c r="DT402" s="46">
        <f t="shared" si="301"/>
        <v>0</v>
      </c>
      <c r="DU402" s="46"/>
      <c r="DV402" s="46">
        <f t="shared" si="302"/>
        <v>0</v>
      </c>
      <c r="DW402" s="46"/>
      <c r="DX402" s="47">
        <f t="shared" si="303"/>
        <v>0</v>
      </c>
      <c r="DY402" s="46"/>
      <c r="DZ402" s="46"/>
      <c r="EA402" s="46"/>
      <c r="EB402" s="46"/>
      <c r="EC402" s="46"/>
      <c r="ED402" s="46"/>
      <c r="EE402" s="47">
        <f t="shared" si="264"/>
        <v>0</v>
      </c>
      <c r="EF402" s="46"/>
      <c r="EG402" s="46"/>
      <c r="EH402" s="46"/>
      <c r="EI402" s="46"/>
      <c r="EJ402" s="46"/>
      <c r="EK402" s="47">
        <f t="shared" si="304"/>
        <v>0</v>
      </c>
      <c r="EL402" s="46">
        <f t="shared" si="305"/>
        <v>0</v>
      </c>
      <c r="EM402" s="46"/>
      <c r="EN402" s="46">
        <f t="shared" si="306"/>
        <v>0</v>
      </c>
    </row>
    <row r="403" spans="2:144" s="48" customFormat="1" ht="15" customHeight="1" x14ac:dyDescent="0.25">
      <c r="B403" s="128">
        <v>7</v>
      </c>
      <c r="C403" s="49"/>
      <c r="D403" s="43"/>
      <c r="E403" s="42"/>
      <c r="F403" s="42"/>
      <c r="G403" s="42"/>
      <c r="H403" s="42"/>
      <c r="I403" s="42"/>
      <c r="J403" s="42"/>
      <c r="K403" s="42"/>
      <c r="L403" s="42"/>
      <c r="M403" s="42"/>
      <c r="N403" s="41"/>
      <c r="O403" s="41"/>
      <c r="P403" s="42"/>
      <c r="Q403" s="45"/>
      <c r="R403" s="45"/>
      <c r="S403" s="42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7">
        <f t="shared" si="283"/>
        <v>0</v>
      </c>
      <c r="AO403" s="46">
        <f t="shared" si="284"/>
        <v>0</v>
      </c>
      <c r="AP403" s="46" t="s">
        <v>113</v>
      </c>
      <c r="AQ403" s="46"/>
      <c r="AR403" s="46"/>
      <c r="AS403" s="46"/>
      <c r="AT403" s="46"/>
      <c r="AU403" s="47">
        <f t="shared" si="290"/>
        <v>0</v>
      </c>
      <c r="AV403" s="46"/>
      <c r="AW403" s="47">
        <f t="shared" si="307"/>
        <v>0</v>
      </c>
      <c r="AX403" s="46"/>
      <c r="AY403" s="46"/>
      <c r="AZ403" s="46"/>
      <c r="BA403" s="46"/>
      <c r="BB403" s="46"/>
      <c r="BC403" s="47">
        <f t="shared" si="291"/>
        <v>0</v>
      </c>
      <c r="BD403" s="46"/>
      <c r="BE403" s="47">
        <f t="shared" si="292"/>
        <v>0</v>
      </c>
      <c r="BF403" s="46"/>
      <c r="BG403" s="46"/>
      <c r="BH403" s="46"/>
      <c r="BI403" s="46"/>
      <c r="BJ403" s="46"/>
      <c r="BK403" s="46"/>
      <c r="BL403" s="46"/>
      <c r="BM403" s="47">
        <f t="shared" si="274"/>
        <v>0</v>
      </c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  <c r="CK403" s="46"/>
      <c r="CL403" s="46"/>
      <c r="CM403" s="46"/>
      <c r="CN403" s="46"/>
      <c r="CO403" s="46"/>
      <c r="CP403" s="46">
        <f t="shared" si="293"/>
        <v>0</v>
      </c>
      <c r="CQ403" s="46"/>
      <c r="CR403" s="47">
        <f t="shared" si="294"/>
        <v>0</v>
      </c>
      <c r="CS403" s="46"/>
      <c r="CT403" s="46"/>
      <c r="CU403" s="46"/>
      <c r="CV403" s="46"/>
      <c r="CW403" s="47">
        <f t="shared" si="295"/>
        <v>0</v>
      </c>
      <c r="CX403" s="46"/>
      <c r="CY403" s="47">
        <f t="shared" si="289"/>
        <v>0</v>
      </c>
      <c r="CZ403" s="46"/>
      <c r="DA403" s="46"/>
      <c r="DB403" s="46"/>
      <c r="DC403" s="46"/>
      <c r="DD403" s="47"/>
      <c r="DE403" s="46"/>
      <c r="DF403" s="46">
        <f t="shared" si="297"/>
        <v>0</v>
      </c>
      <c r="DG403" s="46"/>
      <c r="DH403" s="46"/>
      <c r="DI403" s="46"/>
      <c r="DJ403" s="46"/>
      <c r="DK403" s="64"/>
      <c r="DL403" s="47">
        <f t="shared" si="298"/>
        <v>0</v>
      </c>
      <c r="DM403" s="46"/>
      <c r="DN403" s="46"/>
      <c r="DO403" s="46"/>
      <c r="DP403" s="90">
        <f t="shared" si="299"/>
        <v>0</v>
      </c>
      <c r="DQ403" s="46"/>
      <c r="DR403" s="46">
        <f t="shared" si="300"/>
        <v>0</v>
      </c>
      <c r="DS403" s="46"/>
      <c r="DT403" s="46">
        <f t="shared" si="301"/>
        <v>0</v>
      </c>
      <c r="DU403" s="46"/>
      <c r="DV403" s="46">
        <f t="shared" si="302"/>
        <v>0</v>
      </c>
      <c r="DW403" s="46"/>
      <c r="DX403" s="47">
        <f t="shared" si="303"/>
        <v>0</v>
      </c>
      <c r="DY403" s="46"/>
      <c r="DZ403" s="46"/>
      <c r="EA403" s="46"/>
      <c r="EB403" s="46"/>
      <c r="EC403" s="46"/>
      <c r="ED403" s="46"/>
      <c r="EE403" s="47">
        <f t="shared" si="264"/>
        <v>0</v>
      </c>
      <c r="EF403" s="46"/>
      <c r="EG403" s="46"/>
      <c r="EH403" s="46"/>
      <c r="EI403" s="46"/>
      <c r="EJ403" s="46"/>
      <c r="EK403" s="47">
        <f t="shared" si="304"/>
        <v>0</v>
      </c>
      <c r="EL403" s="46">
        <f t="shared" si="305"/>
        <v>0</v>
      </c>
      <c r="EM403" s="46"/>
      <c r="EN403" s="46">
        <f t="shared" si="306"/>
        <v>0</v>
      </c>
    </row>
    <row r="404" spans="2:144" s="48" customFormat="1" ht="15" customHeight="1" x14ac:dyDescent="0.25">
      <c r="B404" s="128">
        <v>8</v>
      </c>
      <c r="C404" s="49"/>
      <c r="D404" s="43"/>
      <c r="E404" s="42"/>
      <c r="F404" s="42"/>
      <c r="G404" s="42"/>
      <c r="H404" s="42"/>
      <c r="I404" s="42"/>
      <c r="J404" s="42"/>
      <c r="K404" s="42"/>
      <c r="L404" s="42"/>
      <c r="M404" s="42"/>
      <c r="N404" s="41"/>
      <c r="O404" s="41"/>
      <c r="P404" s="42"/>
      <c r="Q404" s="45"/>
      <c r="R404" s="45"/>
      <c r="S404" s="42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7">
        <f t="shared" si="283"/>
        <v>0</v>
      </c>
      <c r="AO404" s="46">
        <f t="shared" si="284"/>
        <v>0</v>
      </c>
      <c r="AP404" s="46" t="s">
        <v>102</v>
      </c>
      <c r="AQ404" s="46"/>
      <c r="AR404" s="46"/>
      <c r="AS404" s="46"/>
      <c r="AT404" s="46"/>
      <c r="AU404" s="47">
        <f t="shared" si="290"/>
        <v>0</v>
      </c>
      <c r="AV404" s="46"/>
      <c r="AW404" s="47">
        <f t="shared" si="307"/>
        <v>0</v>
      </c>
      <c r="AX404" s="46"/>
      <c r="AY404" s="46"/>
      <c r="AZ404" s="46"/>
      <c r="BA404" s="46"/>
      <c r="BB404" s="46"/>
      <c r="BC404" s="47">
        <f t="shared" si="291"/>
        <v>0</v>
      </c>
      <c r="BD404" s="46"/>
      <c r="BE404" s="47">
        <f t="shared" si="292"/>
        <v>0</v>
      </c>
      <c r="BF404" s="46"/>
      <c r="BG404" s="46"/>
      <c r="BH404" s="46"/>
      <c r="BI404" s="46"/>
      <c r="BJ404" s="46"/>
      <c r="BK404" s="46"/>
      <c r="BL404" s="46"/>
      <c r="BM404" s="47">
        <f t="shared" si="274"/>
        <v>0</v>
      </c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  <c r="CK404" s="46"/>
      <c r="CL404" s="46"/>
      <c r="CM404" s="46"/>
      <c r="CN404" s="46"/>
      <c r="CO404" s="46"/>
      <c r="CP404" s="46">
        <f t="shared" si="293"/>
        <v>0</v>
      </c>
      <c r="CQ404" s="46"/>
      <c r="CR404" s="47">
        <f t="shared" si="294"/>
        <v>0</v>
      </c>
      <c r="CS404" s="46"/>
      <c r="CT404" s="46"/>
      <c r="CU404" s="46"/>
      <c r="CV404" s="46"/>
      <c r="CW404" s="47">
        <f t="shared" si="295"/>
        <v>0</v>
      </c>
      <c r="CX404" s="46"/>
      <c r="CY404" s="47">
        <f t="shared" si="289"/>
        <v>0</v>
      </c>
      <c r="CZ404" s="46"/>
      <c r="DA404" s="46"/>
      <c r="DB404" s="46"/>
      <c r="DC404" s="46"/>
      <c r="DD404" s="47">
        <f t="shared" ref="DD404:DD410" si="308">+DB404*DC404</f>
        <v>0</v>
      </c>
      <c r="DE404" s="46"/>
      <c r="DF404" s="46">
        <f t="shared" si="297"/>
        <v>0</v>
      </c>
      <c r="DG404" s="46"/>
      <c r="DH404" s="46"/>
      <c r="DI404" s="46"/>
      <c r="DJ404" s="46"/>
      <c r="DK404" s="64"/>
      <c r="DL404" s="47">
        <f t="shared" si="298"/>
        <v>0</v>
      </c>
      <c r="DM404" s="46"/>
      <c r="DN404" s="46">
        <f>7.5%*AQ404</f>
        <v>0</v>
      </c>
      <c r="DO404" s="46"/>
      <c r="DP404" s="90">
        <f t="shared" si="299"/>
        <v>0</v>
      </c>
      <c r="DQ404" s="46"/>
      <c r="DR404" s="46">
        <f t="shared" si="300"/>
        <v>0</v>
      </c>
      <c r="DS404" s="46"/>
      <c r="DT404" s="46">
        <f t="shared" si="301"/>
        <v>0</v>
      </c>
      <c r="DU404" s="46"/>
      <c r="DV404" s="46">
        <f t="shared" si="302"/>
        <v>0</v>
      </c>
      <c r="DW404" s="46"/>
      <c r="DX404" s="47">
        <f t="shared" si="303"/>
        <v>0</v>
      </c>
      <c r="DY404" s="46"/>
      <c r="DZ404" s="46"/>
      <c r="EA404" s="46"/>
      <c r="EB404" s="46"/>
      <c r="EC404" s="46"/>
      <c r="ED404" s="46"/>
      <c r="EE404" s="47">
        <f t="shared" si="264"/>
        <v>0</v>
      </c>
      <c r="EF404" s="46"/>
      <c r="EG404" s="46"/>
      <c r="EH404" s="46"/>
      <c r="EI404" s="46"/>
      <c r="EJ404" s="46"/>
      <c r="EK404" s="47">
        <f t="shared" si="304"/>
        <v>0</v>
      </c>
      <c r="EL404" s="46">
        <f t="shared" si="305"/>
        <v>0</v>
      </c>
      <c r="EM404" s="46"/>
      <c r="EN404" s="46">
        <f t="shared" si="306"/>
        <v>0</v>
      </c>
    </row>
    <row r="405" spans="2:144" s="48" customFormat="1" ht="15" customHeight="1" x14ac:dyDescent="0.25">
      <c r="B405" s="128">
        <v>9</v>
      </c>
      <c r="C405" s="49"/>
      <c r="D405" s="43"/>
      <c r="E405" s="42"/>
      <c r="F405" s="42"/>
      <c r="G405" s="42"/>
      <c r="H405" s="42"/>
      <c r="I405" s="42"/>
      <c r="J405" s="42"/>
      <c r="K405" s="42"/>
      <c r="L405" s="42"/>
      <c r="M405" s="42"/>
      <c r="N405" s="41"/>
      <c r="O405" s="41"/>
      <c r="P405" s="42"/>
      <c r="Q405" s="45"/>
      <c r="R405" s="45"/>
      <c r="S405" s="42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7">
        <f t="shared" si="283"/>
        <v>0</v>
      </c>
      <c r="AO405" s="46">
        <f t="shared" si="284"/>
        <v>0</v>
      </c>
      <c r="AP405" s="46" t="s">
        <v>102</v>
      </c>
      <c r="AQ405" s="46"/>
      <c r="AR405" s="46"/>
      <c r="AS405" s="46"/>
      <c r="AT405" s="46"/>
      <c r="AU405" s="47">
        <f t="shared" si="290"/>
        <v>0</v>
      </c>
      <c r="AV405" s="46"/>
      <c r="AW405" s="47">
        <f t="shared" si="307"/>
        <v>0</v>
      </c>
      <c r="AX405" s="46"/>
      <c r="AY405" s="46"/>
      <c r="AZ405" s="46"/>
      <c r="BA405" s="46"/>
      <c r="BB405" s="46"/>
      <c r="BC405" s="47">
        <f t="shared" si="291"/>
        <v>0</v>
      </c>
      <c r="BD405" s="46"/>
      <c r="BE405" s="47">
        <f t="shared" si="292"/>
        <v>0</v>
      </c>
      <c r="BF405" s="46"/>
      <c r="BG405" s="46"/>
      <c r="BH405" s="46"/>
      <c r="BI405" s="46"/>
      <c r="BJ405" s="46"/>
      <c r="BK405" s="46"/>
      <c r="BL405" s="46"/>
      <c r="BM405" s="46">
        <f t="shared" ref="BM405:BM422" si="309">BK405</f>
        <v>0</v>
      </c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  <c r="CK405" s="46"/>
      <c r="CL405" s="46"/>
      <c r="CM405" s="46"/>
      <c r="CN405" s="46"/>
      <c r="CO405" s="46"/>
      <c r="CP405" s="46">
        <f t="shared" si="293"/>
        <v>0</v>
      </c>
      <c r="CQ405" s="46"/>
      <c r="CR405" s="47">
        <f t="shared" si="294"/>
        <v>0</v>
      </c>
      <c r="CS405" s="46"/>
      <c r="CT405" s="46"/>
      <c r="CU405" s="46"/>
      <c r="CV405" s="46"/>
      <c r="CW405" s="47">
        <f t="shared" si="295"/>
        <v>0</v>
      </c>
      <c r="CX405" s="46"/>
      <c r="CY405" s="47">
        <f t="shared" si="289"/>
        <v>0</v>
      </c>
      <c r="CZ405" s="46"/>
      <c r="DA405" s="46"/>
      <c r="DB405" s="46"/>
      <c r="DC405" s="46"/>
      <c r="DD405" s="47">
        <f t="shared" si="308"/>
        <v>0</v>
      </c>
      <c r="DE405" s="46"/>
      <c r="DF405" s="46">
        <f t="shared" si="297"/>
        <v>0</v>
      </c>
      <c r="DG405" s="46"/>
      <c r="DH405" s="46"/>
      <c r="DI405" s="46"/>
      <c r="DJ405" s="46"/>
      <c r="DK405" s="47"/>
      <c r="DL405" s="47">
        <f t="shared" si="298"/>
        <v>0</v>
      </c>
      <c r="DM405" s="46"/>
      <c r="DN405" s="46">
        <f>7.5%*AQ405</f>
        <v>0</v>
      </c>
      <c r="DO405" s="46"/>
      <c r="DP405" s="46">
        <f t="shared" si="299"/>
        <v>0</v>
      </c>
      <c r="DQ405" s="46"/>
      <c r="DR405" s="46">
        <f t="shared" si="300"/>
        <v>0</v>
      </c>
      <c r="DS405" s="46"/>
      <c r="DT405" s="46">
        <f t="shared" si="301"/>
        <v>0</v>
      </c>
      <c r="DU405" s="46"/>
      <c r="DV405" s="46">
        <f t="shared" si="302"/>
        <v>0</v>
      </c>
      <c r="DW405" s="46"/>
      <c r="DX405" s="47">
        <f t="shared" si="303"/>
        <v>0</v>
      </c>
      <c r="DY405" s="46"/>
      <c r="DZ405" s="46"/>
      <c r="EA405" s="46"/>
      <c r="EB405" s="46"/>
      <c r="EC405" s="46"/>
      <c r="ED405" s="46"/>
      <c r="EE405" s="47">
        <f t="shared" ref="EE405:EE468" si="310">+AW405+BE405+BM405+CR405+CY405+DF405+DL405+DX405+DY405+DZ405+EB405+EC405</f>
        <v>0</v>
      </c>
      <c r="EF405" s="46"/>
      <c r="EG405" s="46"/>
      <c r="EH405" s="46"/>
      <c r="EI405" s="46"/>
      <c r="EJ405" s="46"/>
      <c r="EK405" s="47">
        <f t="shared" si="304"/>
        <v>0</v>
      </c>
      <c r="EL405" s="46">
        <f t="shared" si="305"/>
        <v>0</v>
      </c>
      <c r="EM405" s="46"/>
      <c r="EN405" s="46">
        <f t="shared" si="306"/>
        <v>0</v>
      </c>
    </row>
    <row r="406" spans="2:144" s="48" customFormat="1" ht="15" customHeight="1" x14ac:dyDescent="0.25">
      <c r="B406" s="128">
        <v>10</v>
      </c>
      <c r="C406" s="49"/>
      <c r="D406" s="43"/>
      <c r="E406" s="42"/>
      <c r="F406" s="42"/>
      <c r="G406" s="42"/>
      <c r="H406" s="42"/>
      <c r="I406" s="42"/>
      <c r="J406" s="42"/>
      <c r="K406" s="42"/>
      <c r="L406" s="42"/>
      <c r="M406" s="42"/>
      <c r="N406" s="41"/>
      <c r="O406" s="41"/>
      <c r="P406" s="42"/>
      <c r="Q406" s="45"/>
      <c r="R406" s="45"/>
      <c r="S406" s="42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7">
        <f t="shared" si="283"/>
        <v>0</v>
      </c>
      <c r="AO406" s="46">
        <f t="shared" si="284"/>
        <v>0</v>
      </c>
      <c r="AP406" s="46" t="s">
        <v>102</v>
      </c>
      <c r="AQ406" s="46"/>
      <c r="AR406" s="46"/>
      <c r="AS406" s="46"/>
      <c r="AT406" s="46"/>
      <c r="AU406" s="47">
        <f t="shared" si="290"/>
        <v>0</v>
      </c>
      <c r="AV406" s="46"/>
      <c r="AW406" s="47">
        <f t="shared" si="307"/>
        <v>0</v>
      </c>
      <c r="AX406" s="46"/>
      <c r="AY406" s="46"/>
      <c r="AZ406" s="46"/>
      <c r="BA406" s="46"/>
      <c r="BB406" s="46"/>
      <c r="BC406" s="47">
        <f t="shared" si="291"/>
        <v>0</v>
      </c>
      <c r="BD406" s="46"/>
      <c r="BE406" s="47">
        <f t="shared" si="292"/>
        <v>0</v>
      </c>
      <c r="BF406" s="46"/>
      <c r="BG406" s="46"/>
      <c r="BH406" s="46"/>
      <c r="BI406" s="46"/>
      <c r="BJ406" s="46"/>
      <c r="BK406" s="46"/>
      <c r="BL406" s="46"/>
      <c r="BM406" s="46">
        <f t="shared" si="309"/>
        <v>0</v>
      </c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/>
      <c r="CP406" s="46">
        <f t="shared" si="293"/>
        <v>0</v>
      </c>
      <c r="CQ406" s="46"/>
      <c r="CR406" s="47">
        <f t="shared" si="294"/>
        <v>0</v>
      </c>
      <c r="CS406" s="46"/>
      <c r="CT406" s="46"/>
      <c r="CU406" s="46"/>
      <c r="CV406" s="46"/>
      <c r="CW406" s="47">
        <f t="shared" si="295"/>
        <v>0</v>
      </c>
      <c r="CX406" s="46"/>
      <c r="CY406" s="47">
        <f t="shared" si="289"/>
        <v>0</v>
      </c>
      <c r="CZ406" s="46"/>
      <c r="DA406" s="46"/>
      <c r="DB406" s="46"/>
      <c r="DC406" s="46"/>
      <c r="DD406" s="47">
        <f t="shared" si="308"/>
        <v>0</v>
      </c>
      <c r="DE406" s="46"/>
      <c r="DF406" s="46">
        <f t="shared" si="297"/>
        <v>0</v>
      </c>
      <c r="DG406" s="46"/>
      <c r="DH406" s="46"/>
      <c r="DI406" s="46"/>
      <c r="DJ406" s="46"/>
      <c r="DK406" s="47"/>
      <c r="DL406" s="47">
        <f t="shared" si="298"/>
        <v>0</v>
      </c>
      <c r="DM406" s="46"/>
      <c r="DN406" s="46">
        <f>7.5%*AQ406</f>
        <v>0</v>
      </c>
      <c r="DO406" s="46"/>
      <c r="DP406" s="46">
        <f t="shared" si="299"/>
        <v>0</v>
      </c>
      <c r="DQ406" s="46"/>
      <c r="DR406" s="46">
        <f t="shared" si="300"/>
        <v>0</v>
      </c>
      <c r="DS406" s="46"/>
      <c r="DT406" s="46">
        <f t="shared" si="301"/>
        <v>0</v>
      </c>
      <c r="DU406" s="46"/>
      <c r="DV406" s="46">
        <f t="shared" si="302"/>
        <v>0</v>
      </c>
      <c r="DW406" s="46"/>
      <c r="DX406" s="47">
        <f t="shared" si="303"/>
        <v>0</v>
      </c>
      <c r="DY406" s="46"/>
      <c r="DZ406" s="46"/>
      <c r="EA406" s="46"/>
      <c r="EB406" s="46"/>
      <c r="EC406" s="46"/>
      <c r="ED406" s="46"/>
      <c r="EE406" s="47">
        <f t="shared" si="310"/>
        <v>0</v>
      </c>
      <c r="EF406" s="46"/>
      <c r="EG406" s="46"/>
      <c r="EH406" s="46"/>
      <c r="EI406" s="46"/>
      <c r="EJ406" s="46"/>
      <c r="EK406" s="47">
        <f t="shared" si="304"/>
        <v>0</v>
      </c>
      <c r="EL406" s="46">
        <f t="shared" si="305"/>
        <v>0</v>
      </c>
      <c r="EM406" s="46"/>
      <c r="EN406" s="46">
        <f t="shared" si="306"/>
        <v>0</v>
      </c>
    </row>
    <row r="407" spans="2:144" s="48" customFormat="1" ht="15" customHeight="1" x14ac:dyDescent="0.25">
      <c r="B407" s="128">
        <v>12</v>
      </c>
      <c r="C407" s="49"/>
      <c r="D407" s="43"/>
      <c r="E407" s="42"/>
      <c r="F407" s="42"/>
      <c r="G407" s="42"/>
      <c r="H407" s="42"/>
      <c r="I407" s="42"/>
      <c r="J407" s="42"/>
      <c r="K407" s="42"/>
      <c r="L407" s="42"/>
      <c r="M407" s="42"/>
      <c r="N407" s="41"/>
      <c r="O407" s="41"/>
      <c r="P407" s="42"/>
      <c r="Q407" s="45"/>
      <c r="R407" s="45"/>
      <c r="S407" s="42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7">
        <f t="shared" si="283"/>
        <v>0</v>
      </c>
      <c r="AO407" s="46">
        <f t="shared" si="284"/>
        <v>0</v>
      </c>
      <c r="AP407" s="46" t="s">
        <v>102</v>
      </c>
      <c r="AQ407" s="46"/>
      <c r="AR407" s="46"/>
      <c r="AS407" s="46"/>
      <c r="AT407" s="46"/>
      <c r="AU407" s="47">
        <f t="shared" si="290"/>
        <v>0</v>
      </c>
      <c r="AV407" s="46"/>
      <c r="AW407" s="47">
        <f t="shared" si="307"/>
        <v>0</v>
      </c>
      <c r="AX407" s="46"/>
      <c r="AY407" s="46"/>
      <c r="AZ407" s="46"/>
      <c r="BA407" s="46"/>
      <c r="BB407" s="46"/>
      <c r="BC407" s="47">
        <f t="shared" si="291"/>
        <v>0</v>
      </c>
      <c r="BD407" s="46"/>
      <c r="BE407" s="47">
        <f t="shared" si="292"/>
        <v>0</v>
      </c>
      <c r="BF407" s="46"/>
      <c r="BG407" s="46"/>
      <c r="BH407" s="46"/>
      <c r="BI407" s="46"/>
      <c r="BJ407" s="46"/>
      <c r="BK407" s="46"/>
      <c r="BL407" s="46"/>
      <c r="BM407" s="46">
        <f t="shared" si="309"/>
        <v>0</v>
      </c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7">
        <f t="shared" si="293"/>
        <v>0</v>
      </c>
      <c r="CQ407" s="46"/>
      <c r="CR407" s="47">
        <f t="shared" si="294"/>
        <v>0</v>
      </c>
      <c r="CS407" s="46"/>
      <c r="CT407" s="46"/>
      <c r="CU407" s="46"/>
      <c r="CV407" s="46"/>
      <c r="CW407" s="47">
        <f t="shared" si="295"/>
        <v>0</v>
      </c>
      <c r="CX407" s="46"/>
      <c r="CY407" s="47">
        <f t="shared" si="289"/>
        <v>0</v>
      </c>
      <c r="CZ407" s="46"/>
      <c r="DA407" s="46"/>
      <c r="DB407" s="46"/>
      <c r="DC407" s="46"/>
      <c r="DD407" s="47">
        <f t="shared" si="308"/>
        <v>0</v>
      </c>
      <c r="DE407" s="46"/>
      <c r="DF407" s="46">
        <f t="shared" si="297"/>
        <v>0</v>
      </c>
      <c r="DG407" s="46"/>
      <c r="DH407" s="46"/>
      <c r="DI407" s="46"/>
      <c r="DJ407" s="46"/>
      <c r="DK407" s="47"/>
      <c r="DL407" s="47">
        <f t="shared" si="298"/>
        <v>0</v>
      </c>
      <c r="DM407" s="46"/>
      <c r="DN407" s="46"/>
      <c r="DO407" s="46"/>
      <c r="DP407" s="46">
        <f t="shared" si="299"/>
        <v>0</v>
      </c>
      <c r="DQ407" s="46"/>
      <c r="DR407" s="46">
        <f t="shared" si="300"/>
        <v>0</v>
      </c>
      <c r="DS407" s="46"/>
      <c r="DT407" s="46">
        <f t="shared" si="301"/>
        <v>0</v>
      </c>
      <c r="DU407" s="46"/>
      <c r="DV407" s="46">
        <f t="shared" si="302"/>
        <v>0</v>
      </c>
      <c r="DW407" s="46"/>
      <c r="DX407" s="47">
        <f t="shared" si="303"/>
        <v>0</v>
      </c>
      <c r="DY407" s="46"/>
      <c r="DZ407" s="46"/>
      <c r="EA407" s="46"/>
      <c r="EB407" s="46"/>
      <c r="EC407" s="46"/>
      <c r="ED407" s="46"/>
      <c r="EE407" s="47">
        <f t="shared" si="310"/>
        <v>0</v>
      </c>
      <c r="EF407" s="46"/>
      <c r="EG407" s="46"/>
      <c r="EH407" s="46"/>
      <c r="EI407" s="46"/>
      <c r="EJ407" s="46"/>
      <c r="EK407" s="47">
        <f t="shared" si="304"/>
        <v>0</v>
      </c>
      <c r="EL407" s="46">
        <f t="shared" si="305"/>
        <v>0</v>
      </c>
      <c r="EM407" s="46"/>
      <c r="EN407" s="46">
        <f t="shared" si="306"/>
        <v>0</v>
      </c>
    </row>
    <row r="408" spans="2:144" s="48" customFormat="1" ht="15" customHeight="1" x14ac:dyDescent="0.25">
      <c r="B408" s="128">
        <v>13</v>
      </c>
      <c r="C408" s="49"/>
      <c r="D408" s="43"/>
      <c r="E408" s="42"/>
      <c r="F408" s="42"/>
      <c r="G408" s="42"/>
      <c r="H408" s="42"/>
      <c r="I408" s="42"/>
      <c r="J408" s="42"/>
      <c r="K408" s="42"/>
      <c r="L408" s="42"/>
      <c r="M408" s="42"/>
      <c r="N408" s="41"/>
      <c r="O408" s="41"/>
      <c r="P408" s="42"/>
      <c r="Q408" s="45"/>
      <c r="R408" s="45"/>
      <c r="S408" s="42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7">
        <f t="shared" si="283"/>
        <v>0</v>
      </c>
      <c r="AO408" s="46">
        <f t="shared" si="284"/>
        <v>0</v>
      </c>
      <c r="AP408" s="46" t="s">
        <v>102</v>
      </c>
      <c r="AQ408" s="46"/>
      <c r="AR408" s="46"/>
      <c r="AS408" s="46"/>
      <c r="AT408" s="46"/>
      <c r="AU408" s="47">
        <f t="shared" si="290"/>
        <v>0</v>
      </c>
      <c r="AV408" s="46"/>
      <c r="AW408" s="47">
        <f t="shared" si="307"/>
        <v>0</v>
      </c>
      <c r="AX408" s="46"/>
      <c r="AY408" s="46"/>
      <c r="AZ408" s="46"/>
      <c r="BA408" s="46"/>
      <c r="BB408" s="46"/>
      <c r="BC408" s="47">
        <f t="shared" si="291"/>
        <v>0</v>
      </c>
      <c r="BD408" s="46"/>
      <c r="BE408" s="47">
        <f t="shared" si="292"/>
        <v>0</v>
      </c>
      <c r="BF408" s="46"/>
      <c r="BG408" s="46"/>
      <c r="BH408" s="46"/>
      <c r="BI408" s="46"/>
      <c r="BJ408" s="46"/>
      <c r="BK408" s="46"/>
      <c r="BL408" s="46"/>
      <c r="BM408" s="46">
        <f t="shared" si="309"/>
        <v>0</v>
      </c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  <c r="CK408" s="46"/>
      <c r="CL408" s="46"/>
      <c r="CM408" s="46"/>
      <c r="CN408" s="46"/>
      <c r="CO408" s="46"/>
      <c r="CP408" s="47">
        <f t="shared" si="293"/>
        <v>0</v>
      </c>
      <c r="CQ408" s="46"/>
      <c r="CR408" s="47">
        <f t="shared" si="294"/>
        <v>0</v>
      </c>
      <c r="CS408" s="46"/>
      <c r="CT408" s="46"/>
      <c r="CU408" s="46"/>
      <c r="CV408" s="46"/>
      <c r="CW408" s="47">
        <f t="shared" si="295"/>
        <v>0</v>
      </c>
      <c r="CX408" s="46"/>
      <c r="CY408" s="47">
        <f t="shared" si="289"/>
        <v>0</v>
      </c>
      <c r="CZ408" s="46"/>
      <c r="DA408" s="46"/>
      <c r="DB408" s="46"/>
      <c r="DC408" s="46"/>
      <c r="DD408" s="47">
        <f t="shared" si="308"/>
        <v>0</v>
      </c>
      <c r="DE408" s="46"/>
      <c r="DF408" s="46">
        <f t="shared" si="297"/>
        <v>0</v>
      </c>
      <c r="DG408" s="46"/>
      <c r="DH408" s="46"/>
      <c r="DI408" s="46"/>
      <c r="DJ408" s="46"/>
      <c r="DK408" s="47"/>
      <c r="DL408" s="47">
        <f t="shared" si="298"/>
        <v>0</v>
      </c>
      <c r="DM408" s="46"/>
      <c r="DN408" s="46"/>
      <c r="DO408" s="46"/>
      <c r="DP408" s="46">
        <f t="shared" si="299"/>
        <v>0</v>
      </c>
      <c r="DQ408" s="46"/>
      <c r="DR408" s="46">
        <f t="shared" si="300"/>
        <v>0</v>
      </c>
      <c r="DS408" s="46"/>
      <c r="DT408" s="46">
        <f t="shared" si="301"/>
        <v>0</v>
      </c>
      <c r="DU408" s="46"/>
      <c r="DV408" s="46">
        <f t="shared" si="302"/>
        <v>0</v>
      </c>
      <c r="DW408" s="46"/>
      <c r="DX408" s="47">
        <f t="shared" si="303"/>
        <v>0</v>
      </c>
      <c r="DY408" s="46"/>
      <c r="DZ408" s="46"/>
      <c r="EA408" s="46"/>
      <c r="EB408" s="46"/>
      <c r="EC408" s="46"/>
      <c r="ED408" s="46"/>
      <c r="EE408" s="47">
        <f t="shared" si="310"/>
        <v>0</v>
      </c>
      <c r="EF408" s="46"/>
      <c r="EG408" s="46"/>
      <c r="EH408" s="46"/>
      <c r="EI408" s="46"/>
      <c r="EJ408" s="46"/>
      <c r="EK408" s="47">
        <f t="shared" si="304"/>
        <v>0</v>
      </c>
      <c r="EL408" s="46">
        <f t="shared" si="305"/>
        <v>0</v>
      </c>
      <c r="EM408" s="46"/>
      <c r="EN408" s="46">
        <f t="shared" si="306"/>
        <v>0</v>
      </c>
    </row>
    <row r="409" spans="2:144" s="48" customFormat="1" ht="15" customHeight="1" x14ac:dyDescent="0.25">
      <c r="B409" s="128">
        <v>14</v>
      </c>
      <c r="C409" s="49"/>
      <c r="D409" s="43"/>
      <c r="E409" s="42"/>
      <c r="F409" s="42"/>
      <c r="G409" s="42"/>
      <c r="H409" s="42"/>
      <c r="I409" s="42"/>
      <c r="J409" s="42"/>
      <c r="K409" s="42"/>
      <c r="L409" s="42"/>
      <c r="M409" s="42"/>
      <c r="N409" s="41"/>
      <c r="O409" s="41"/>
      <c r="P409" s="42"/>
      <c r="Q409" s="45"/>
      <c r="R409" s="45"/>
      <c r="S409" s="42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7">
        <f t="shared" si="283"/>
        <v>0</v>
      </c>
      <c r="AO409" s="46">
        <f t="shared" si="284"/>
        <v>0</v>
      </c>
      <c r="AP409" s="46" t="s">
        <v>102</v>
      </c>
      <c r="AQ409" s="46"/>
      <c r="AR409" s="46"/>
      <c r="AS409" s="46"/>
      <c r="AT409" s="46"/>
      <c r="AU409" s="47">
        <f t="shared" si="290"/>
        <v>0</v>
      </c>
      <c r="AV409" s="46"/>
      <c r="AW409" s="47">
        <f t="shared" si="307"/>
        <v>0</v>
      </c>
      <c r="AX409" s="46"/>
      <c r="AY409" s="46"/>
      <c r="AZ409" s="46"/>
      <c r="BA409" s="46"/>
      <c r="BB409" s="46"/>
      <c r="BC409" s="47">
        <f t="shared" si="291"/>
        <v>0</v>
      </c>
      <c r="BD409" s="46"/>
      <c r="BE409" s="47">
        <f t="shared" si="292"/>
        <v>0</v>
      </c>
      <c r="BF409" s="46"/>
      <c r="BG409" s="46"/>
      <c r="BH409" s="46"/>
      <c r="BI409" s="46"/>
      <c r="BJ409" s="46"/>
      <c r="BK409" s="46">
        <f>BI409*BJ409</f>
        <v>0</v>
      </c>
      <c r="BL409" s="46"/>
      <c r="BM409" s="46">
        <f t="shared" si="309"/>
        <v>0</v>
      </c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7">
        <f t="shared" si="293"/>
        <v>0</v>
      </c>
      <c r="CQ409" s="46"/>
      <c r="CR409" s="47">
        <f t="shared" si="294"/>
        <v>0</v>
      </c>
      <c r="CS409" s="46"/>
      <c r="CT409" s="46"/>
      <c r="CU409" s="46"/>
      <c r="CV409" s="46"/>
      <c r="CW409" s="47">
        <f t="shared" si="295"/>
        <v>0</v>
      </c>
      <c r="CX409" s="46"/>
      <c r="CY409" s="47">
        <f t="shared" si="289"/>
        <v>0</v>
      </c>
      <c r="CZ409" s="46"/>
      <c r="DA409" s="46"/>
      <c r="DB409" s="46"/>
      <c r="DC409" s="46"/>
      <c r="DD409" s="47">
        <f t="shared" si="308"/>
        <v>0</v>
      </c>
      <c r="DE409" s="46"/>
      <c r="DF409" s="46">
        <f t="shared" si="297"/>
        <v>0</v>
      </c>
      <c r="DG409" s="46"/>
      <c r="DH409" s="46">
        <f>50%*AY409</f>
        <v>0</v>
      </c>
      <c r="DI409" s="46"/>
      <c r="DJ409" s="46"/>
      <c r="DK409" s="47"/>
      <c r="DL409" s="47">
        <f t="shared" si="298"/>
        <v>0</v>
      </c>
      <c r="DM409" s="46"/>
      <c r="DN409" s="46">
        <f>7.5%*AY409</f>
        <v>0</v>
      </c>
      <c r="DO409" s="46"/>
      <c r="DP409" s="46">
        <f t="shared" si="299"/>
        <v>0</v>
      </c>
      <c r="DQ409" s="46"/>
      <c r="DR409" s="46">
        <f t="shared" si="300"/>
        <v>0</v>
      </c>
      <c r="DS409" s="46"/>
      <c r="DT409" s="46">
        <f t="shared" si="301"/>
        <v>0</v>
      </c>
      <c r="DU409" s="46" t="s">
        <v>117</v>
      </c>
      <c r="DV409" s="46">
        <f t="shared" si="302"/>
        <v>0</v>
      </c>
      <c r="DW409" s="46"/>
      <c r="DX409" s="47">
        <f t="shared" si="303"/>
        <v>0</v>
      </c>
      <c r="DY409" s="46"/>
      <c r="DZ409" s="46"/>
      <c r="EA409" s="46"/>
      <c r="EB409" s="46"/>
      <c r="EC409" s="46"/>
      <c r="ED409" s="46"/>
      <c r="EE409" s="47">
        <f t="shared" si="310"/>
        <v>0</v>
      </c>
      <c r="EF409" s="46"/>
      <c r="EG409" s="46"/>
      <c r="EH409" s="46"/>
      <c r="EI409" s="46"/>
      <c r="EJ409" s="46"/>
      <c r="EK409" s="47">
        <f t="shared" si="304"/>
        <v>0</v>
      </c>
      <c r="EL409" s="46">
        <f t="shared" si="305"/>
        <v>0</v>
      </c>
      <c r="EM409" s="46"/>
      <c r="EN409" s="46">
        <f t="shared" si="306"/>
        <v>0</v>
      </c>
    </row>
    <row r="410" spans="2:144" s="48" customFormat="1" ht="15" customHeight="1" x14ac:dyDescent="0.25">
      <c r="B410" s="128">
        <v>15</v>
      </c>
      <c r="C410" s="49"/>
      <c r="D410" s="43"/>
      <c r="E410" s="42"/>
      <c r="F410" s="42"/>
      <c r="G410" s="42"/>
      <c r="H410" s="42"/>
      <c r="I410" s="42"/>
      <c r="J410" s="42"/>
      <c r="K410" s="42"/>
      <c r="L410" s="42"/>
      <c r="M410" s="42"/>
      <c r="N410" s="41"/>
      <c r="O410" s="41"/>
      <c r="P410" s="42"/>
      <c r="Q410" s="45"/>
      <c r="R410" s="45"/>
      <c r="S410" s="44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7">
        <f t="shared" si="283"/>
        <v>0</v>
      </c>
      <c r="AO410" s="46">
        <f t="shared" si="284"/>
        <v>0</v>
      </c>
      <c r="AP410" s="46" t="s">
        <v>102</v>
      </c>
      <c r="AQ410" s="46"/>
      <c r="AR410" s="46"/>
      <c r="AS410" s="46"/>
      <c r="AT410" s="46"/>
      <c r="AU410" s="47">
        <f t="shared" si="290"/>
        <v>0</v>
      </c>
      <c r="AV410" s="46"/>
      <c r="AW410" s="47">
        <f t="shared" si="307"/>
        <v>0</v>
      </c>
      <c r="AX410" s="46"/>
      <c r="AY410" s="46"/>
      <c r="AZ410" s="46"/>
      <c r="BA410" s="46"/>
      <c r="BB410" s="46"/>
      <c r="BC410" s="47">
        <f t="shared" si="291"/>
        <v>0</v>
      </c>
      <c r="BD410" s="46"/>
      <c r="BE410" s="47">
        <f t="shared" si="292"/>
        <v>0</v>
      </c>
      <c r="BF410" s="46"/>
      <c r="BG410" s="46"/>
      <c r="BH410" s="46"/>
      <c r="BI410" s="46"/>
      <c r="BJ410" s="46"/>
      <c r="BK410" s="46"/>
      <c r="BL410" s="46"/>
      <c r="BM410" s="46">
        <f t="shared" si="309"/>
        <v>0</v>
      </c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7">
        <f t="shared" si="293"/>
        <v>0</v>
      </c>
      <c r="CQ410" s="46"/>
      <c r="CR410" s="47">
        <f t="shared" si="294"/>
        <v>0</v>
      </c>
      <c r="CS410" s="46"/>
      <c r="CT410" s="46"/>
      <c r="CU410" s="46"/>
      <c r="CV410" s="46"/>
      <c r="CW410" s="47">
        <f t="shared" si="295"/>
        <v>0</v>
      </c>
      <c r="CX410" s="46"/>
      <c r="CY410" s="47">
        <f t="shared" si="289"/>
        <v>0</v>
      </c>
      <c r="CZ410" s="46"/>
      <c r="DA410" s="46"/>
      <c r="DB410" s="46"/>
      <c r="DC410" s="46"/>
      <c r="DD410" s="47">
        <f t="shared" si="308"/>
        <v>0</v>
      </c>
      <c r="DE410" s="46"/>
      <c r="DF410" s="46">
        <f t="shared" si="297"/>
        <v>0</v>
      </c>
      <c r="DG410" s="46"/>
      <c r="DH410" s="46"/>
      <c r="DI410" s="46"/>
      <c r="DJ410" s="46"/>
      <c r="DK410" s="47"/>
      <c r="DL410" s="47">
        <f t="shared" si="298"/>
        <v>0</v>
      </c>
      <c r="DM410" s="46"/>
      <c r="DN410" s="46"/>
      <c r="DO410" s="46"/>
      <c r="DP410" s="46">
        <f t="shared" si="299"/>
        <v>0</v>
      </c>
      <c r="DQ410" s="46"/>
      <c r="DR410" s="46">
        <f t="shared" si="300"/>
        <v>0</v>
      </c>
      <c r="DS410" s="46"/>
      <c r="DT410" s="46">
        <f t="shared" si="301"/>
        <v>0</v>
      </c>
      <c r="DU410" s="46"/>
      <c r="DV410" s="46">
        <f t="shared" si="302"/>
        <v>0</v>
      </c>
      <c r="DW410" s="46"/>
      <c r="DX410" s="47">
        <f t="shared" si="303"/>
        <v>0</v>
      </c>
      <c r="DY410" s="46"/>
      <c r="DZ410" s="46"/>
      <c r="EA410" s="46"/>
      <c r="EB410" s="46"/>
      <c r="EC410" s="46"/>
      <c r="ED410" s="46"/>
      <c r="EE410" s="47">
        <f t="shared" si="310"/>
        <v>0</v>
      </c>
      <c r="EF410" s="46"/>
      <c r="EG410" s="46"/>
      <c r="EH410" s="46"/>
      <c r="EI410" s="46"/>
      <c r="EJ410" s="46"/>
      <c r="EK410" s="47">
        <f t="shared" si="304"/>
        <v>0</v>
      </c>
      <c r="EL410" s="46">
        <f t="shared" si="305"/>
        <v>0</v>
      </c>
      <c r="EM410" s="46"/>
      <c r="EN410" s="46">
        <f t="shared" si="306"/>
        <v>0</v>
      </c>
    </row>
    <row r="411" spans="2:144" s="48" customFormat="1" ht="15" customHeight="1" x14ac:dyDescent="0.25">
      <c r="B411" s="128">
        <v>16</v>
      </c>
      <c r="C411" s="42"/>
      <c r="D411" s="43"/>
      <c r="E411" s="42"/>
      <c r="F411" s="42"/>
      <c r="G411" s="42"/>
      <c r="H411" s="42"/>
      <c r="I411" s="42"/>
      <c r="J411" s="42"/>
      <c r="K411" s="42"/>
      <c r="L411" s="42"/>
      <c r="M411" s="42"/>
      <c r="N411" s="41"/>
      <c r="O411" s="41"/>
      <c r="P411" s="42"/>
      <c r="Q411" s="45"/>
      <c r="R411" s="45"/>
      <c r="S411" s="42"/>
      <c r="T411" s="46"/>
      <c r="U411" s="46"/>
      <c r="V411" s="42"/>
      <c r="W411" s="42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7">
        <f t="shared" si="283"/>
        <v>0</v>
      </c>
      <c r="AO411" s="47">
        <f t="shared" si="284"/>
        <v>0</v>
      </c>
      <c r="AP411" s="46" t="s">
        <v>102</v>
      </c>
      <c r="AQ411" s="46"/>
      <c r="AR411" s="46"/>
      <c r="AS411" s="46"/>
      <c r="AT411" s="46"/>
      <c r="AU411" s="47">
        <f t="shared" si="290"/>
        <v>0</v>
      </c>
      <c r="AV411" s="46"/>
      <c r="AW411" s="47">
        <f>AQ411+AU411+AV411+AR411</f>
        <v>0</v>
      </c>
      <c r="AX411" s="46"/>
      <c r="AY411" s="46"/>
      <c r="AZ411" s="46"/>
      <c r="BA411" s="46"/>
      <c r="BB411" s="46"/>
      <c r="BC411" s="47">
        <f t="shared" si="291"/>
        <v>0</v>
      </c>
      <c r="BD411" s="46"/>
      <c r="BE411" s="47">
        <f t="shared" si="292"/>
        <v>0</v>
      </c>
      <c r="BF411" s="46"/>
      <c r="BG411" s="46"/>
      <c r="BH411" s="46"/>
      <c r="BI411" s="46"/>
      <c r="BJ411" s="46"/>
      <c r="BK411" s="46">
        <f t="shared" ref="BK411:BK429" si="311">BI411*BJ411</f>
        <v>0</v>
      </c>
      <c r="BL411" s="46"/>
      <c r="BM411" s="46">
        <f t="shared" si="309"/>
        <v>0</v>
      </c>
      <c r="BN411" s="46"/>
      <c r="BO411" s="46"/>
      <c r="BP411" s="46"/>
      <c r="BQ411" s="46"/>
      <c r="BR411" s="46"/>
      <c r="BS411" s="46">
        <f>BQ411*BR411</f>
        <v>0</v>
      </c>
      <c r="BT411" s="46"/>
      <c r="BU411" s="46">
        <f>BS411</f>
        <v>0</v>
      </c>
      <c r="BV411" s="46"/>
      <c r="BW411" s="46"/>
      <c r="BX411" s="46"/>
      <c r="BY411" s="46"/>
      <c r="BZ411" s="46"/>
      <c r="CA411" s="46">
        <f>BY411*BZ411</f>
        <v>0</v>
      </c>
      <c r="CB411" s="46"/>
      <c r="CC411" s="46">
        <f>CA411</f>
        <v>0</v>
      </c>
      <c r="CD411" s="46"/>
      <c r="CE411" s="46"/>
      <c r="CF411" s="46"/>
      <c r="CG411" s="46"/>
      <c r="CH411" s="46"/>
      <c r="CI411" s="46">
        <f>CG411*CH411</f>
        <v>0</v>
      </c>
      <c r="CJ411" s="46"/>
      <c r="CK411" s="46">
        <f>CI411</f>
        <v>0</v>
      </c>
      <c r="CL411" s="46"/>
      <c r="CM411" s="46"/>
      <c r="CN411" s="46"/>
      <c r="CO411" s="46"/>
      <c r="CP411" s="46">
        <f t="shared" si="293"/>
        <v>0</v>
      </c>
      <c r="CQ411" s="46"/>
      <c r="CR411" s="47">
        <f t="shared" si="294"/>
        <v>0</v>
      </c>
      <c r="CS411" s="46"/>
      <c r="CT411" s="46"/>
      <c r="CU411" s="46"/>
      <c r="CV411" s="46"/>
      <c r="CW411" s="47">
        <f t="shared" si="295"/>
        <v>0</v>
      </c>
      <c r="CX411" s="46"/>
      <c r="CY411" s="47">
        <f t="shared" si="289"/>
        <v>0</v>
      </c>
      <c r="CZ411" s="46"/>
      <c r="DA411" s="46"/>
      <c r="DB411" s="46"/>
      <c r="DC411" s="46"/>
      <c r="DD411" s="47"/>
      <c r="DE411" s="46"/>
      <c r="DF411" s="46">
        <f t="shared" si="297"/>
        <v>0</v>
      </c>
      <c r="DG411" s="46"/>
      <c r="DH411" s="46"/>
      <c r="DI411" s="46"/>
      <c r="DJ411" s="46"/>
      <c r="DK411" s="47">
        <f>DI411*DJ411</f>
        <v>0</v>
      </c>
      <c r="DL411" s="47">
        <f t="shared" si="298"/>
        <v>0</v>
      </c>
      <c r="DM411" s="46"/>
      <c r="DN411" s="46">
        <f>7.5%*AQ411</f>
        <v>0</v>
      </c>
      <c r="DO411" s="46"/>
      <c r="DP411" s="46">
        <f t="shared" si="299"/>
        <v>0</v>
      </c>
      <c r="DQ411" s="46"/>
      <c r="DR411" s="46">
        <f t="shared" si="300"/>
        <v>0</v>
      </c>
      <c r="DS411" s="46"/>
      <c r="DT411" s="46">
        <f t="shared" si="301"/>
        <v>0</v>
      </c>
      <c r="DU411" s="46"/>
      <c r="DV411" s="46"/>
      <c r="DW411" s="46"/>
      <c r="DX411" s="47">
        <f t="shared" si="303"/>
        <v>0</v>
      </c>
      <c r="DY411" s="46"/>
      <c r="DZ411" s="46"/>
      <c r="EA411" s="46"/>
      <c r="EB411" s="46"/>
      <c r="EC411" s="46"/>
      <c r="ED411" s="46"/>
      <c r="EE411" s="47">
        <f t="shared" si="310"/>
        <v>0</v>
      </c>
      <c r="EF411" s="46"/>
      <c r="EG411" s="46"/>
      <c r="EH411" s="46"/>
      <c r="EI411" s="46"/>
      <c r="EJ411" s="46"/>
      <c r="EK411" s="47">
        <f t="shared" si="304"/>
        <v>0</v>
      </c>
      <c r="EL411" s="46">
        <f t="shared" si="305"/>
        <v>0</v>
      </c>
      <c r="EM411" s="46"/>
      <c r="EN411" s="46">
        <f t="shared" si="306"/>
        <v>0</v>
      </c>
    </row>
    <row r="412" spans="2:144" s="48" customFormat="1" ht="15" customHeight="1" x14ac:dyDescent="0.25">
      <c r="B412" s="128">
        <v>17</v>
      </c>
      <c r="C412" s="42"/>
      <c r="D412" s="43"/>
      <c r="E412" s="42"/>
      <c r="F412" s="42"/>
      <c r="G412" s="42"/>
      <c r="H412" s="42"/>
      <c r="I412" s="42"/>
      <c r="J412" s="42"/>
      <c r="K412" s="42"/>
      <c r="L412" s="42"/>
      <c r="M412" s="42"/>
      <c r="N412" s="41"/>
      <c r="O412" s="41"/>
      <c r="P412" s="42"/>
      <c r="Q412" s="45"/>
      <c r="R412" s="45"/>
      <c r="S412" s="42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7">
        <f t="shared" si="283"/>
        <v>0</v>
      </c>
      <c r="AO412" s="46">
        <f t="shared" si="284"/>
        <v>0</v>
      </c>
      <c r="AP412" s="46" t="s">
        <v>102</v>
      </c>
      <c r="AQ412" s="46"/>
      <c r="AR412" s="46"/>
      <c r="AS412" s="46"/>
      <c r="AT412" s="46"/>
      <c r="AU412" s="47">
        <f t="shared" si="290"/>
        <v>0</v>
      </c>
      <c r="AV412" s="46"/>
      <c r="AW412" s="47">
        <f t="shared" ref="AW412:AW428" si="312">AQ412+AR412+AU412+AV412</f>
        <v>0</v>
      </c>
      <c r="AX412" s="46"/>
      <c r="AY412" s="46"/>
      <c r="AZ412" s="46"/>
      <c r="BA412" s="46"/>
      <c r="BB412" s="46"/>
      <c r="BC412" s="47">
        <f t="shared" si="291"/>
        <v>0</v>
      </c>
      <c r="BD412" s="46"/>
      <c r="BE412" s="47">
        <f t="shared" si="292"/>
        <v>0</v>
      </c>
      <c r="BF412" s="46"/>
      <c r="BG412" s="46"/>
      <c r="BH412" s="46"/>
      <c r="BI412" s="46"/>
      <c r="BJ412" s="46"/>
      <c r="BK412" s="46">
        <f t="shared" si="311"/>
        <v>0</v>
      </c>
      <c r="BL412" s="46"/>
      <c r="BM412" s="46">
        <f t="shared" si="309"/>
        <v>0</v>
      </c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7">
        <f t="shared" si="293"/>
        <v>0</v>
      </c>
      <c r="CQ412" s="46"/>
      <c r="CR412" s="47">
        <f t="shared" si="294"/>
        <v>0</v>
      </c>
      <c r="CS412" s="46"/>
      <c r="CT412" s="46"/>
      <c r="CU412" s="46"/>
      <c r="CV412" s="46"/>
      <c r="CW412" s="47">
        <f t="shared" si="295"/>
        <v>0</v>
      </c>
      <c r="CX412" s="46"/>
      <c r="CY412" s="47">
        <f t="shared" si="289"/>
        <v>0</v>
      </c>
      <c r="CZ412" s="46"/>
      <c r="DA412" s="46"/>
      <c r="DB412" s="46"/>
      <c r="DC412" s="46"/>
      <c r="DD412" s="47">
        <f>+DB412*DC412</f>
        <v>0</v>
      </c>
      <c r="DE412" s="46"/>
      <c r="DF412" s="46">
        <f t="shared" si="297"/>
        <v>0</v>
      </c>
      <c r="DG412" s="46"/>
      <c r="DH412" s="46"/>
      <c r="DI412" s="46"/>
      <c r="DJ412" s="46"/>
      <c r="DK412" s="47"/>
      <c r="DL412" s="47">
        <f t="shared" si="298"/>
        <v>0</v>
      </c>
      <c r="DM412" s="46"/>
      <c r="DN412" s="46">
        <f>7.5%*AQ412</f>
        <v>0</v>
      </c>
      <c r="DO412" s="46"/>
      <c r="DP412" s="46">
        <f t="shared" si="299"/>
        <v>0</v>
      </c>
      <c r="DQ412" s="46"/>
      <c r="DR412" s="46">
        <f t="shared" si="300"/>
        <v>0</v>
      </c>
      <c r="DS412" s="46"/>
      <c r="DT412" s="46">
        <f t="shared" si="301"/>
        <v>0</v>
      </c>
      <c r="DU412" s="46"/>
      <c r="DV412" s="46">
        <f>DT412/2</f>
        <v>0</v>
      </c>
      <c r="DW412" s="46"/>
      <c r="DX412" s="47">
        <f t="shared" si="303"/>
        <v>0</v>
      </c>
      <c r="DY412" s="46"/>
      <c r="DZ412" s="46"/>
      <c r="EA412" s="46"/>
      <c r="EB412" s="46"/>
      <c r="EC412" s="46"/>
      <c r="ED412" s="46"/>
      <c r="EE412" s="47">
        <f t="shared" si="310"/>
        <v>0</v>
      </c>
      <c r="EF412" s="46"/>
      <c r="EG412" s="46"/>
      <c r="EH412" s="46"/>
      <c r="EI412" s="46"/>
      <c r="EJ412" s="46"/>
      <c r="EK412" s="47">
        <f t="shared" si="304"/>
        <v>0</v>
      </c>
      <c r="EL412" s="46">
        <f t="shared" si="305"/>
        <v>0</v>
      </c>
      <c r="EM412" s="46"/>
      <c r="EN412" s="46">
        <f t="shared" si="306"/>
        <v>0</v>
      </c>
    </row>
    <row r="413" spans="2:144" s="48" customFormat="1" ht="15" customHeight="1" x14ac:dyDescent="0.25">
      <c r="B413" s="128">
        <v>18</v>
      </c>
      <c r="C413" s="42"/>
      <c r="D413" s="43"/>
      <c r="E413" s="42"/>
      <c r="F413" s="42"/>
      <c r="G413" s="42"/>
      <c r="H413" s="42"/>
      <c r="I413" s="42"/>
      <c r="J413" s="42"/>
      <c r="K413" s="42"/>
      <c r="L413" s="42"/>
      <c r="M413" s="42"/>
      <c r="N413" s="41"/>
      <c r="O413" s="41"/>
      <c r="P413" s="42"/>
      <c r="Q413" s="45"/>
      <c r="R413" s="45"/>
      <c r="S413" s="42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7">
        <f t="shared" si="283"/>
        <v>0</v>
      </c>
      <c r="AO413" s="46">
        <f t="shared" si="284"/>
        <v>0</v>
      </c>
      <c r="AP413" s="46" t="s">
        <v>102</v>
      </c>
      <c r="AQ413" s="46"/>
      <c r="AR413" s="46"/>
      <c r="AS413" s="46"/>
      <c r="AT413" s="46"/>
      <c r="AU413" s="47">
        <f t="shared" si="290"/>
        <v>0</v>
      </c>
      <c r="AV413" s="46"/>
      <c r="AW413" s="47">
        <f t="shared" si="312"/>
        <v>0</v>
      </c>
      <c r="AX413" s="46"/>
      <c r="AY413" s="46"/>
      <c r="AZ413" s="46"/>
      <c r="BA413" s="46"/>
      <c r="BB413" s="46"/>
      <c r="BC413" s="47">
        <f t="shared" si="291"/>
        <v>0</v>
      </c>
      <c r="BD413" s="46"/>
      <c r="BE413" s="47">
        <f t="shared" si="292"/>
        <v>0</v>
      </c>
      <c r="BF413" s="46"/>
      <c r="BG413" s="46"/>
      <c r="BH413" s="46"/>
      <c r="BI413" s="46"/>
      <c r="BJ413" s="46"/>
      <c r="BK413" s="46">
        <f t="shared" si="311"/>
        <v>0</v>
      </c>
      <c r="BL413" s="46"/>
      <c r="BM413" s="46">
        <f t="shared" si="309"/>
        <v>0</v>
      </c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7">
        <f t="shared" si="293"/>
        <v>0</v>
      </c>
      <c r="CQ413" s="46"/>
      <c r="CR413" s="47">
        <f t="shared" si="294"/>
        <v>0</v>
      </c>
      <c r="CS413" s="46"/>
      <c r="CT413" s="46"/>
      <c r="CU413" s="46"/>
      <c r="CV413" s="46"/>
      <c r="CW413" s="47"/>
      <c r="CX413" s="46"/>
      <c r="CY413" s="47"/>
      <c r="CZ413" s="46"/>
      <c r="DA413" s="46"/>
      <c r="DB413" s="46"/>
      <c r="DC413" s="46"/>
      <c r="DD413" s="47"/>
      <c r="DE413" s="46"/>
      <c r="DF413" s="46"/>
      <c r="DG413" s="46"/>
      <c r="DH413" s="46"/>
      <c r="DI413" s="46"/>
      <c r="DJ413" s="46"/>
      <c r="DK413" s="47"/>
      <c r="DL413" s="47"/>
      <c r="DM413" s="46"/>
      <c r="DN413" s="46"/>
      <c r="DO413" s="46"/>
      <c r="DP413" s="46"/>
      <c r="DQ413" s="46"/>
      <c r="DR413" s="46">
        <f t="shared" si="300"/>
        <v>0</v>
      </c>
      <c r="DS413" s="46"/>
      <c r="DT413" s="46"/>
      <c r="DU413" s="46"/>
      <c r="DV413" s="46"/>
      <c r="DW413" s="46"/>
      <c r="DX413" s="47"/>
      <c r="DY413" s="46"/>
      <c r="DZ413" s="46"/>
      <c r="EA413" s="46"/>
      <c r="EB413" s="46"/>
      <c r="EC413" s="46"/>
      <c r="ED413" s="46"/>
      <c r="EE413" s="47">
        <f t="shared" si="310"/>
        <v>0</v>
      </c>
      <c r="EF413" s="46"/>
      <c r="EG413" s="46"/>
      <c r="EH413" s="46"/>
      <c r="EI413" s="46"/>
      <c r="EJ413" s="46"/>
      <c r="EK413" s="47">
        <f t="shared" si="304"/>
        <v>0</v>
      </c>
      <c r="EL413" s="46">
        <f t="shared" si="305"/>
        <v>0</v>
      </c>
      <c r="EM413" s="46"/>
      <c r="EN413" s="46">
        <f t="shared" si="306"/>
        <v>0</v>
      </c>
    </row>
    <row r="414" spans="2:144" s="48" customFormat="1" ht="15" customHeight="1" x14ac:dyDescent="0.25">
      <c r="B414" s="128">
        <v>19</v>
      </c>
      <c r="C414" s="42"/>
      <c r="D414" s="43"/>
      <c r="E414" s="42"/>
      <c r="F414" s="42"/>
      <c r="G414" s="42"/>
      <c r="H414" s="42"/>
      <c r="I414" s="42"/>
      <c r="J414" s="42"/>
      <c r="K414" s="42"/>
      <c r="L414" s="42"/>
      <c r="M414" s="42"/>
      <c r="N414" s="41"/>
      <c r="O414" s="41"/>
      <c r="P414" s="42"/>
      <c r="Q414" s="45"/>
      <c r="R414" s="45"/>
      <c r="S414" s="42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7">
        <f t="shared" si="283"/>
        <v>0</v>
      </c>
      <c r="AO414" s="46">
        <f t="shared" si="284"/>
        <v>0</v>
      </c>
      <c r="AP414" s="46" t="s">
        <v>102</v>
      </c>
      <c r="AQ414" s="46"/>
      <c r="AR414" s="46"/>
      <c r="AS414" s="46"/>
      <c r="AT414" s="46"/>
      <c r="AU414" s="47">
        <f t="shared" si="290"/>
        <v>0</v>
      </c>
      <c r="AV414" s="46"/>
      <c r="AW414" s="47">
        <f t="shared" si="312"/>
        <v>0</v>
      </c>
      <c r="AX414" s="46"/>
      <c r="AY414" s="46"/>
      <c r="AZ414" s="46"/>
      <c r="BA414" s="46"/>
      <c r="BB414" s="46"/>
      <c r="BC414" s="47">
        <f t="shared" si="291"/>
        <v>0</v>
      </c>
      <c r="BD414" s="46"/>
      <c r="BE414" s="47">
        <f t="shared" si="292"/>
        <v>0</v>
      </c>
      <c r="BF414" s="46"/>
      <c r="BG414" s="46"/>
      <c r="BH414" s="46"/>
      <c r="BI414" s="46"/>
      <c r="BJ414" s="46"/>
      <c r="BK414" s="46">
        <f t="shared" si="311"/>
        <v>0</v>
      </c>
      <c r="BL414" s="46"/>
      <c r="BM414" s="46">
        <f t="shared" si="309"/>
        <v>0</v>
      </c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7">
        <f t="shared" si="293"/>
        <v>0</v>
      </c>
      <c r="CQ414" s="46"/>
      <c r="CR414" s="47">
        <f t="shared" si="294"/>
        <v>0</v>
      </c>
      <c r="CS414" s="46"/>
      <c r="CT414" s="46"/>
      <c r="CU414" s="46"/>
      <c r="CV414" s="46"/>
      <c r="CW414" s="47">
        <f t="shared" ref="CW414:CW436" si="313">CU414*CV414</f>
        <v>0</v>
      </c>
      <c r="CX414" s="46"/>
      <c r="CY414" s="47">
        <f t="shared" ref="CY414:CY476" si="314">+CT414+CW414+CX414</f>
        <v>0</v>
      </c>
      <c r="CZ414" s="46"/>
      <c r="DA414" s="46"/>
      <c r="DB414" s="46"/>
      <c r="DC414" s="46"/>
      <c r="DD414" s="47">
        <f t="shared" ref="DD414:DD464" si="315">+DB414*DC414</f>
        <v>0</v>
      </c>
      <c r="DE414" s="46"/>
      <c r="DF414" s="46">
        <f t="shared" ref="DF414:DF464" si="316">DC414</f>
        <v>0</v>
      </c>
      <c r="DG414" s="46"/>
      <c r="DH414" s="46"/>
      <c r="DI414" s="46"/>
      <c r="DJ414" s="46"/>
      <c r="DK414" s="47"/>
      <c r="DL414" s="47">
        <f t="shared" ref="DL414:DL432" si="317">+DH414+DK414</f>
        <v>0</v>
      </c>
      <c r="DM414" s="46"/>
      <c r="DN414" s="46">
        <f>7.5%*AQ414</f>
        <v>0</v>
      </c>
      <c r="DO414" s="46"/>
      <c r="DP414" s="46">
        <f t="shared" ref="DP414:DP420" si="318">DN414</f>
        <v>0</v>
      </c>
      <c r="DQ414" s="46"/>
      <c r="DR414" s="46">
        <f t="shared" si="300"/>
        <v>0</v>
      </c>
      <c r="DS414" s="46"/>
      <c r="DT414" s="46">
        <f>75%*DP414</f>
        <v>0</v>
      </c>
      <c r="DU414" s="46"/>
      <c r="DV414" s="46">
        <f t="shared" ref="DV414:DV428" si="319">DT414/2</f>
        <v>0</v>
      </c>
      <c r="DW414" s="46"/>
      <c r="DX414" s="47">
        <f t="shared" ref="DX414:DX432" si="320">+DN414+DP414+DR414+DT414+DV414</f>
        <v>0</v>
      </c>
      <c r="DY414" s="46"/>
      <c r="DZ414" s="46"/>
      <c r="EA414" s="46"/>
      <c r="EB414" s="46"/>
      <c r="EC414" s="46"/>
      <c r="ED414" s="46"/>
      <c r="EE414" s="47">
        <f t="shared" si="310"/>
        <v>0</v>
      </c>
      <c r="EF414" s="46"/>
      <c r="EG414" s="46"/>
      <c r="EH414" s="46"/>
      <c r="EI414" s="46"/>
      <c r="EJ414" s="46"/>
      <c r="EK414" s="47">
        <f t="shared" si="304"/>
        <v>0</v>
      </c>
      <c r="EL414" s="46">
        <f t="shared" si="305"/>
        <v>0</v>
      </c>
      <c r="EM414" s="46"/>
      <c r="EN414" s="46">
        <f t="shared" si="306"/>
        <v>0</v>
      </c>
    </row>
    <row r="415" spans="2:144" s="48" customFormat="1" ht="15" customHeight="1" x14ac:dyDescent="0.25">
      <c r="B415" s="128">
        <v>21</v>
      </c>
      <c r="C415" s="129"/>
      <c r="D415" s="43"/>
      <c r="E415" s="42"/>
      <c r="F415" s="42"/>
      <c r="G415" s="42"/>
      <c r="H415" s="42"/>
      <c r="I415" s="42"/>
      <c r="J415" s="42"/>
      <c r="K415" s="42"/>
      <c r="L415" s="42"/>
      <c r="M415" s="42"/>
      <c r="N415" s="41"/>
      <c r="O415" s="41"/>
      <c r="P415" s="42"/>
      <c r="Q415" s="45"/>
      <c r="R415" s="45"/>
      <c r="S415" s="42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7">
        <f t="shared" si="283"/>
        <v>0</v>
      </c>
      <c r="AO415" s="46">
        <f t="shared" si="284"/>
        <v>0</v>
      </c>
      <c r="AP415" s="46" t="s">
        <v>102</v>
      </c>
      <c r="AQ415" s="46"/>
      <c r="AR415" s="46"/>
      <c r="AS415" s="46"/>
      <c r="AT415" s="46"/>
      <c r="AU415" s="47">
        <f t="shared" si="290"/>
        <v>0</v>
      </c>
      <c r="AV415" s="46"/>
      <c r="AW415" s="47">
        <f t="shared" si="312"/>
        <v>0</v>
      </c>
      <c r="AX415" s="46"/>
      <c r="AY415" s="46"/>
      <c r="AZ415" s="46"/>
      <c r="BA415" s="46"/>
      <c r="BB415" s="46"/>
      <c r="BC415" s="47">
        <f t="shared" si="291"/>
        <v>0</v>
      </c>
      <c r="BD415" s="46"/>
      <c r="BE415" s="47">
        <f t="shared" si="292"/>
        <v>0</v>
      </c>
      <c r="BF415" s="46"/>
      <c r="BG415" s="46"/>
      <c r="BH415" s="46"/>
      <c r="BI415" s="46"/>
      <c r="BJ415" s="46"/>
      <c r="BK415" s="46">
        <f t="shared" si="311"/>
        <v>0</v>
      </c>
      <c r="BL415" s="46"/>
      <c r="BM415" s="46">
        <f t="shared" si="309"/>
        <v>0</v>
      </c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7">
        <f t="shared" si="293"/>
        <v>0</v>
      </c>
      <c r="CQ415" s="46"/>
      <c r="CR415" s="47">
        <f t="shared" si="294"/>
        <v>0</v>
      </c>
      <c r="CS415" s="46"/>
      <c r="CT415" s="46"/>
      <c r="CU415" s="46"/>
      <c r="CV415" s="46"/>
      <c r="CW415" s="47">
        <f t="shared" si="313"/>
        <v>0</v>
      </c>
      <c r="CX415" s="46"/>
      <c r="CY415" s="47">
        <f t="shared" si="314"/>
        <v>0</v>
      </c>
      <c r="CZ415" s="46"/>
      <c r="DA415" s="46"/>
      <c r="DB415" s="46"/>
      <c r="DC415" s="46"/>
      <c r="DD415" s="47">
        <f t="shared" si="315"/>
        <v>0</v>
      </c>
      <c r="DE415" s="46"/>
      <c r="DF415" s="46">
        <f t="shared" si="316"/>
        <v>0</v>
      </c>
      <c r="DG415" s="46"/>
      <c r="DH415" s="46"/>
      <c r="DI415" s="46"/>
      <c r="DJ415" s="46"/>
      <c r="DK415" s="47"/>
      <c r="DL415" s="47">
        <f t="shared" si="317"/>
        <v>0</v>
      </c>
      <c r="DM415" s="46"/>
      <c r="DN415" s="46"/>
      <c r="DO415" s="46"/>
      <c r="DP415" s="46">
        <f t="shared" si="318"/>
        <v>0</v>
      </c>
      <c r="DQ415" s="46"/>
      <c r="DR415" s="46">
        <f t="shared" si="300"/>
        <v>0</v>
      </c>
      <c r="DS415" s="46"/>
      <c r="DT415" s="46">
        <f>75%*DP415</f>
        <v>0</v>
      </c>
      <c r="DU415" s="46"/>
      <c r="DV415" s="46">
        <f t="shared" si="319"/>
        <v>0</v>
      </c>
      <c r="DW415" s="46"/>
      <c r="DX415" s="47">
        <f t="shared" si="320"/>
        <v>0</v>
      </c>
      <c r="DY415" s="46"/>
      <c r="DZ415" s="46"/>
      <c r="EA415" s="46"/>
      <c r="EB415" s="46"/>
      <c r="EC415" s="46"/>
      <c r="ED415" s="46"/>
      <c r="EE415" s="47">
        <f t="shared" si="310"/>
        <v>0</v>
      </c>
      <c r="EF415" s="46"/>
      <c r="EG415" s="46"/>
      <c r="EH415" s="46"/>
      <c r="EI415" s="46"/>
      <c r="EJ415" s="46"/>
      <c r="EK415" s="47">
        <f t="shared" si="304"/>
        <v>0</v>
      </c>
      <c r="EL415" s="46">
        <f t="shared" si="305"/>
        <v>0</v>
      </c>
      <c r="EM415" s="46"/>
      <c r="EN415" s="46">
        <f t="shared" si="306"/>
        <v>0</v>
      </c>
    </row>
    <row r="416" spans="2:144" s="48" customFormat="1" ht="15" customHeight="1" x14ac:dyDescent="0.25">
      <c r="B416" s="128">
        <v>31</v>
      </c>
      <c r="C416" s="42"/>
      <c r="D416" s="43"/>
      <c r="E416" s="42"/>
      <c r="F416" s="42"/>
      <c r="G416" s="42"/>
      <c r="H416" s="42"/>
      <c r="I416" s="42"/>
      <c r="J416" s="42"/>
      <c r="K416" s="42"/>
      <c r="L416" s="42"/>
      <c r="M416" s="42"/>
      <c r="N416" s="41"/>
      <c r="O416" s="41"/>
      <c r="P416" s="42"/>
      <c r="Q416" s="45"/>
      <c r="R416" s="45"/>
      <c r="S416" s="42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7">
        <f t="shared" si="283"/>
        <v>0</v>
      </c>
      <c r="AO416" s="46">
        <f t="shared" si="284"/>
        <v>0</v>
      </c>
      <c r="AP416" s="46" t="s">
        <v>102</v>
      </c>
      <c r="AQ416" s="46"/>
      <c r="AR416" s="46"/>
      <c r="AS416" s="46"/>
      <c r="AT416" s="46"/>
      <c r="AU416" s="47">
        <f t="shared" si="290"/>
        <v>0</v>
      </c>
      <c r="AV416" s="46"/>
      <c r="AW416" s="47">
        <f t="shared" si="312"/>
        <v>0</v>
      </c>
      <c r="AX416" s="46"/>
      <c r="AY416" s="46"/>
      <c r="AZ416" s="46"/>
      <c r="BA416" s="46"/>
      <c r="BB416" s="46"/>
      <c r="BC416" s="47">
        <f t="shared" si="291"/>
        <v>0</v>
      </c>
      <c r="BD416" s="46"/>
      <c r="BE416" s="47">
        <f t="shared" si="292"/>
        <v>0</v>
      </c>
      <c r="BF416" s="46"/>
      <c r="BG416" s="46"/>
      <c r="BH416" s="46"/>
      <c r="BI416" s="46"/>
      <c r="BJ416" s="46"/>
      <c r="BK416" s="46">
        <f t="shared" si="311"/>
        <v>0</v>
      </c>
      <c r="BL416" s="46"/>
      <c r="BM416" s="46">
        <f t="shared" si="309"/>
        <v>0</v>
      </c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7">
        <f t="shared" si="293"/>
        <v>0</v>
      </c>
      <c r="CQ416" s="46"/>
      <c r="CR416" s="47">
        <f t="shared" si="294"/>
        <v>0</v>
      </c>
      <c r="CS416" s="46"/>
      <c r="CT416" s="46"/>
      <c r="CU416" s="46"/>
      <c r="CV416" s="46"/>
      <c r="CW416" s="47">
        <f t="shared" si="313"/>
        <v>0</v>
      </c>
      <c r="CX416" s="46"/>
      <c r="CY416" s="47">
        <f t="shared" si="314"/>
        <v>0</v>
      </c>
      <c r="CZ416" s="46"/>
      <c r="DA416" s="46"/>
      <c r="DB416" s="46"/>
      <c r="DC416" s="46"/>
      <c r="DD416" s="47">
        <f t="shared" si="315"/>
        <v>0</v>
      </c>
      <c r="DE416" s="46"/>
      <c r="DF416" s="46">
        <f t="shared" si="316"/>
        <v>0</v>
      </c>
      <c r="DG416" s="46"/>
      <c r="DH416" s="46"/>
      <c r="DI416" s="46"/>
      <c r="DJ416" s="46"/>
      <c r="DK416" s="47"/>
      <c r="DL416" s="47">
        <f t="shared" si="317"/>
        <v>0</v>
      </c>
      <c r="DM416" s="46"/>
      <c r="DN416" s="46"/>
      <c r="DO416" s="46"/>
      <c r="DP416" s="46">
        <f t="shared" si="318"/>
        <v>0</v>
      </c>
      <c r="DQ416" s="46"/>
      <c r="DR416" s="46"/>
      <c r="DS416" s="46"/>
      <c r="DT416" s="46"/>
      <c r="DU416" s="46"/>
      <c r="DV416" s="46">
        <f t="shared" si="319"/>
        <v>0</v>
      </c>
      <c r="DW416" s="46"/>
      <c r="DX416" s="47">
        <f t="shared" si="320"/>
        <v>0</v>
      </c>
      <c r="DY416" s="46"/>
      <c r="DZ416" s="46"/>
      <c r="EA416" s="46"/>
      <c r="EB416" s="46"/>
      <c r="EC416" s="46"/>
      <c r="ED416" s="46"/>
      <c r="EE416" s="47">
        <f t="shared" si="310"/>
        <v>0</v>
      </c>
      <c r="EF416" s="46"/>
      <c r="EG416" s="46"/>
      <c r="EH416" s="46"/>
      <c r="EI416" s="46"/>
      <c r="EJ416" s="46"/>
      <c r="EK416" s="47">
        <f t="shared" si="304"/>
        <v>0</v>
      </c>
      <c r="EL416" s="46">
        <f t="shared" si="305"/>
        <v>0</v>
      </c>
      <c r="EM416" s="46"/>
      <c r="EN416" s="46">
        <f t="shared" si="306"/>
        <v>0</v>
      </c>
    </row>
    <row r="417" spans="2:144" s="48" customFormat="1" ht="15.75" customHeight="1" x14ac:dyDescent="0.25">
      <c r="B417" s="128">
        <v>22</v>
      </c>
      <c r="C417" s="42"/>
      <c r="D417" s="43"/>
      <c r="E417" s="42"/>
      <c r="F417" s="42"/>
      <c r="G417" s="42"/>
      <c r="H417" s="42"/>
      <c r="I417" s="42"/>
      <c r="J417" s="42"/>
      <c r="K417" s="42"/>
      <c r="L417" s="42"/>
      <c r="M417" s="42"/>
      <c r="N417" s="41"/>
      <c r="O417" s="41"/>
      <c r="P417" s="42"/>
      <c r="Q417" s="45"/>
      <c r="R417" s="45"/>
      <c r="S417" s="42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7">
        <f t="shared" si="283"/>
        <v>0</v>
      </c>
      <c r="AO417" s="46">
        <f t="shared" si="284"/>
        <v>0</v>
      </c>
      <c r="AP417" s="46" t="s">
        <v>102</v>
      </c>
      <c r="AQ417" s="46"/>
      <c r="AR417" s="46"/>
      <c r="AS417" s="46"/>
      <c r="AT417" s="46"/>
      <c r="AU417" s="47">
        <f t="shared" si="290"/>
        <v>0</v>
      </c>
      <c r="AV417" s="46"/>
      <c r="AW417" s="47">
        <f t="shared" si="312"/>
        <v>0</v>
      </c>
      <c r="AX417" s="46"/>
      <c r="AY417" s="46"/>
      <c r="AZ417" s="46"/>
      <c r="BA417" s="46"/>
      <c r="BB417" s="46"/>
      <c r="BC417" s="47">
        <f t="shared" si="291"/>
        <v>0</v>
      </c>
      <c r="BD417" s="46"/>
      <c r="BE417" s="47">
        <f t="shared" si="292"/>
        <v>0</v>
      </c>
      <c r="BF417" s="46"/>
      <c r="BG417" s="46"/>
      <c r="BH417" s="46"/>
      <c r="BI417" s="46"/>
      <c r="BJ417" s="46"/>
      <c r="BK417" s="46">
        <f t="shared" si="311"/>
        <v>0</v>
      </c>
      <c r="BL417" s="46"/>
      <c r="BM417" s="46">
        <f t="shared" si="309"/>
        <v>0</v>
      </c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7">
        <f t="shared" si="293"/>
        <v>0</v>
      </c>
      <c r="CQ417" s="46"/>
      <c r="CR417" s="47">
        <f t="shared" si="294"/>
        <v>0</v>
      </c>
      <c r="CS417" s="46"/>
      <c r="CT417" s="46"/>
      <c r="CU417" s="46"/>
      <c r="CV417" s="46"/>
      <c r="CW417" s="47">
        <f t="shared" si="313"/>
        <v>0</v>
      </c>
      <c r="CX417" s="46"/>
      <c r="CY417" s="47">
        <f t="shared" si="314"/>
        <v>0</v>
      </c>
      <c r="CZ417" s="46"/>
      <c r="DA417" s="46"/>
      <c r="DB417" s="46"/>
      <c r="DC417" s="46"/>
      <c r="DD417" s="47">
        <f t="shared" si="315"/>
        <v>0</v>
      </c>
      <c r="DE417" s="46"/>
      <c r="DF417" s="46">
        <f t="shared" si="316"/>
        <v>0</v>
      </c>
      <c r="DG417" s="46"/>
      <c r="DH417" s="46"/>
      <c r="DI417" s="46"/>
      <c r="DJ417" s="46"/>
      <c r="DK417" s="47"/>
      <c r="DL417" s="47">
        <f t="shared" si="317"/>
        <v>0</v>
      </c>
      <c r="DM417" s="46"/>
      <c r="DN417" s="46"/>
      <c r="DO417" s="46"/>
      <c r="DP417" s="46">
        <f t="shared" si="318"/>
        <v>0</v>
      </c>
      <c r="DQ417" s="46"/>
      <c r="DR417" s="46">
        <f t="shared" ref="DR417:DR427" si="321">DP417</f>
        <v>0</v>
      </c>
      <c r="DS417" s="46"/>
      <c r="DT417" s="46">
        <f t="shared" ref="DT417:DT425" si="322">75%*DP417</f>
        <v>0</v>
      </c>
      <c r="DU417" s="46"/>
      <c r="DV417" s="46">
        <f t="shared" si="319"/>
        <v>0</v>
      </c>
      <c r="DW417" s="46"/>
      <c r="DX417" s="47">
        <f t="shared" si="320"/>
        <v>0</v>
      </c>
      <c r="DY417" s="46"/>
      <c r="DZ417" s="46"/>
      <c r="EA417" s="46"/>
      <c r="EB417" s="46"/>
      <c r="EC417" s="46"/>
      <c r="ED417" s="46"/>
      <c r="EE417" s="47">
        <f t="shared" si="310"/>
        <v>0</v>
      </c>
      <c r="EF417" s="46"/>
      <c r="EG417" s="46"/>
      <c r="EH417" s="46"/>
      <c r="EI417" s="46"/>
      <c r="EJ417" s="46"/>
      <c r="EK417" s="47">
        <f t="shared" si="304"/>
        <v>0</v>
      </c>
      <c r="EL417" s="46">
        <f t="shared" si="305"/>
        <v>0</v>
      </c>
      <c r="EM417" s="46"/>
      <c r="EN417" s="46">
        <f t="shared" si="306"/>
        <v>0</v>
      </c>
    </row>
    <row r="418" spans="2:144" s="80" customFormat="1" ht="15" customHeight="1" x14ac:dyDescent="0.25">
      <c r="B418" s="130">
        <v>23</v>
      </c>
      <c r="C418" s="74"/>
      <c r="D418" s="75"/>
      <c r="E418" s="74"/>
      <c r="F418" s="74"/>
      <c r="G418" s="74"/>
      <c r="H418" s="74"/>
      <c r="I418" s="74"/>
      <c r="J418" s="74"/>
      <c r="K418" s="74"/>
      <c r="L418" s="74"/>
      <c r="M418" s="74"/>
      <c r="N418" s="76"/>
      <c r="O418" s="76"/>
      <c r="P418" s="74"/>
      <c r="Q418" s="77"/>
      <c r="R418" s="77"/>
      <c r="S418" s="74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9">
        <f t="shared" si="283"/>
        <v>0</v>
      </c>
      <c r="AO418" s="78">
        <f t="shared" si="284"/>
        <v>0</v>
      </c>
      <c r="AP418" s="78" t="s">
        <v>113</v>
      </c>
      <c r="AQ418" s="78"/>
      <c r="AR418" s="78"/>
      <c r="AS418" s="78"/>
      <c r="AT418" s="78"/>
      <c r="AU418" s="79">
        <f t="shared" si="290"/>
        <v>0</v>
      </c>
      <c r="AV418" s="78"/>
      <c r="AW418" s="79">
        <f t="shared" si="312"/>
        <v>0</v>
      </c>
      <c r="AX418" s="78"/>
      <c r="AY418" s="78"/>
      <c r="AZ418" s="78"/>
      <c r="BA418" s="78"/>
      <c r="BB418" s="78"/>
      <c r="BC418" s="79">
        <f t="shared" si="291"/>
        <v>0</v>
      </c>
      <c r="BD418" s="78"/>
      <c r="BE418" s="79">
        <f t="shared" si="292"/>
        <v>0</v>
      </c>
      <c r="BF418" s="78"/>
      <c r="BG418" s="78"/>
      <c r="BH418" s="78"/>
      <c r="BI418" s="78"/>
      <c r="BJ418" s="78"/>
      <c r="BK418" s="78">
        <f t="shared" si="311"/>
        <v>0</v>
      </c>
      <c r="BL418" s="78"/>
      <c r="BM418" s="78">
        <f t="shared" si="309"/>
        <v>0</v>
      </c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9">
        <f t="shared" si="293"/>
        <v>0</v>
      </c>
      <c r="CQ418" s="78"/>
      <c r="CR418" s="79">
        <f t="shared" si="294"/>
        <v>0</v>
      </c>
      <c r="CS418" s="78"/>
      <c r="CT418" s="78"/>
      <c r="CU418" s="78"/>
      <c r="CV418" s="78"/>
      <c r="CW418" s="79">
        <f t="shared" si="313"/>
        <v>0</v>
      </c>
      <c r="CX418" s="78"/>
      <c r="CY418" s="79">
        <f t="shared" si="314"/>
        <v>0</v>
      </c>
      <c r="CZ418" s="78"/>
      <c r="DA418" s="78"/>
      <c r="DB418" s="78"/>
      <c r="DC418" s="78"/>
      <c r="DD418" s="79">
        <f t="shared" si="315"/>
        <v>0</v>
      </c>
      <c r="DE418" s="78"/>
      <c r="DF418" s="78">
        <f t="shared" si="316"/>
        <v>0</v>
      </c>
      <c r="DG418" s="78"/>
      <c r="DH418" s="78"/>
      <c r="DI418" s="78"/>
      <c r="DJ418" s="78"/>
      <c r="DK418" s="79"/>
      <c r="DL418" s="79">
        <f t="shared" si="317"/>
        <v>0</v>
      </c>
      <c r="DM418" s="78"/>
      <c r="DN418" s="78">
        <f>7.5%*AQ418</f>
        <v>0</v>
      </c>
      <c r="DO418" s="78"/>
      <c r="DP418" s="78">
        <f t="shared" si="318"/>
        <v>0</v>
      </c>
      <c r="DQ418" s="78"/>
      <c r="DR418" s="78">
        <f t="shared" si="321"/>
        <v>0</v>
      </c>
      <c r="DS418" s="78"/>
      <c r="DT418" s="78">
        <f t="shared" si="322"/>
        <v>0</v>
      </c>
      <c r="DU418" s="78"/>
      <c r="DV418" s="78">
        <f t="shared" si="319"/>
        <v>0</v>
      </c>
      <c r="DW418" s="78"/>
      <c r="DX418" s="79">
        <f t="shared" si="320"/>
        <v>0</v>
      </c>
      <c r="DY418" s="78"/>
      <c r="DZ418" s="78"/>
      <c r="EA418" s="78"/>
      <c r="EB418" s="78"/>
      <c r="EC418" s="78"/>
      <c r="ED418" s="78"/>
      <c r="EE418" s="79">
        <f t="shared" si="310"/>
        <v>0</v>
      </c>
      <c r="EF418" s="78"/>
      <c r="EG418" s="78"/>
      <c r="EH418" s="78"/>
      <c r="EI418" s="78"/>
      <c r="EJ418" s="78"/>
      <c r="EK418" s="79">
        <f t="shared" si="304"/>
        <v>0</v>
      </c>
      <c r="EL418" s="78">
        <f t="shared" si="305"/>
        <v>0</v>
      </c>
      <c r="EM418" s="78"/>
      <c r="EN418" s="78">
        <f t="shared" si="306"/>
        <v>0</v>
      </c>
    </row>
    <row r="419" spans="2:144" s="48" customFormat="1" ht="15" customHeight="1" x14ac:dyDescent="0.25">
      <c r="B419" s="128">
        <v>11</v>
      </c>
      <c r="C419" s="49"/>
      <c r="D419" s="43"/>
      <c r="E419" s="42"/>
      <c r="F419" s="42"/>
      <c r="G419" s="42"/>
      <c r="H419" s="42"/>
      <c r="I419" s="42"/>
      <c r="J419" s="42"/>
      <c r="K419" s="42"/>
      <c r="L419" s="42"/>
      <c r="M419" s="42"/>
      <c r="N419" s="41"/>
      <c r="O419" s="41"/>
      <c r="P419" s="42"/>
      <c r="Q419" s="45"/>
      <c r="R419" s="45"/>
      <c r="S419" s="42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7">
        <f t="shared" si="283"/>
        <v>0</v>
      </c>
      <c r="AO419" s="46">
        <f t="shared" si="284"/>
        <v>0</v>
      </c>
      <c r="AP419" s="46" t="s">
        <v>102</v>
      </c>
      <c r="AQ419" s="46"/>
      <c r="AR419" s="46"/>
      <c r="AS419" s="46"/>
      <c r="AT419" s="46"/>
      <c r="AU419" s="47">
        <f t="shared" si="290"/>
        <v>0</v>
      </c>
      <c r="AV419" s="46"/>
      <c r="AW419" s="47">
        <f t="shared" si="312"/>
        <v>0</v>
      </c>
      <c r="AX419" s="46"/>
      <c r="AY419" s="46"/>
      <c r="AZ419" s="46"/>
      <c r="BA419" s="46"/>
      <c r="BB419" s="46"/>
      <c r="BC419" s="47">
        <f t="shared" si="291"/>
        <v>0</v>
      </c>
      <c r="BD419" s="46"/>
      <c r="BE419" s="47">
        <f t="shared" si="292"/>
        <v>0</v>
      </c>
      <c r="BF419" s="46"/>
      <c r="BG419" s="46"/>
      <c r="BH419" s="46"/>
      <c r="BI419" s="46"/>
      <c r="BJ419" s="46"/>
      <c r="BK419" s="46">
        <f t="shared" si="311"/>
        <v>0</v>
      </c>
      <c r="BL419" s="46"/>
      <c r="BM419" s="46">
        <f t="shared" si="309"/>
        <v>0</v>
      </c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>
        <f t="shared" si="293"/>
        <v>0</v>
      </c>
      <c r="CQ419" s="46"/>
      <c r="CR419" s="47">
        <f t="shared" si="294"/>
        <v>0</v>
      </c>
      <c r="CS419" s="46"/>
      <c r="CT419" s="46"/>
      <c r="CU419" s="46"/>
      <c r="CV419" s="46"/>
      <c r="CW419" s="47">
        <f t="shared" si="313"/>
        <v>0</v>
      </c>
      <c r="CX419" s="46"/>
      <c r="CY419" s="47">
        <f t="shared" si="314"/>
        <v>0</v>
      </c>
      <c r="CZ419" s="46"/>
      <c r="DA419" s="46"/>
      <c r="DB419" s="46"/>
      <c r="DC419" s="46"/>
      <c r="DD419" s="47">
        <f t="shared" si="315"/>
        <v>0</v>
      </c>
      <c r="DE419" s="46"/>
      <c r="DF419" s="46">
        <f t="shared" si="316"/>
        <v>0</v>
      </c>
      <c r="DG419" s="46"/>
      <c r="DH419" s="46"/>
      <c r="DI419" s="46"/>
      <c r="DJ419" s="46"/>
      <c r="DK419" s="47"/>
      <c r="DL419" s="47">
        <f t="shared" si="317"/>
        <v>0</v>
      </c>
      <c r="DM419" s="46"/>
      <c r="DN419" s="46"/>
      <c r="DO419" s="46"/>
      <c r="DP419" s="46">
        <f t="shared" si="318"/>
        <v>0</v>
      </c>
      <c r="DQ419" s="46"/>
      <c r="DR419" s="46">
        <f t="shared" si="321"/>
        <v>0</v>
      </c>
      <c r="DS419" s="46"/>
      <c r="DT419" s="46">
        <f t="shared" si="322"/>
        <v>0</v>
      </c>
      <c r="DU419" s="46"/>
      <c r="DV419" s="46">
        <f t="shared" si="319"/>
        <v>0</v>
      </c>
      <c r="DW419" s="46"/>
      <c r="DX419" s="47">
        <f t="shared" si="320"/>
        <v>0</v>
      </c>
      <c r="DY419" s="46"/>
      <c r="DZ419" s="46"/>
      <c r="EA419" s="46"/>
      <c r="EB419" s="46"/>
      <c r="EC419" s="46"/>
      <c r="ED419" s="46"/>
      <c r="EE419" s="47">
        <f t="shared" si="310"/>
        <v>0</v>
      </c>
      <c r="EF419" s="46"/>
      <c r="EG419" s="46"/>
      <c r="EH419" s="46"/>
      <c r="EI419" s="46"/>
      <c r="EJ419" s="46"/>
      <c r="EK419" s="47">
        <f t="shared" si="304"/>
        <v>0</v>
      </c>
      <c r="EL419" s="46">
        <f t="shared" si="305"/>
        <v>0</v>
      </c>
      <c r="EM419" s="46"/>
      <c r="EN419" s="46">
        <f t="shared" si="306"/>
        <v>0</v>
      </c>
    </row>
    <row r="420" spans="2:144" s="48" customFormat="1" ht="15" customHeight="1" x14ac:dyDescent="0.25">
      <c r="B420" s="128">
        <v>24</v>
      </c>
      <c r="C420" s="42"/>
      <c r="D420" s="43"/>
      <c r="E420" s="42"/>
      <c r="F420" s="42"/>
      <c r="G420" s="42"/>
      <c r="H420" s="42"/>
      <c r="I420" s="42"/>
      <c r="J420" s="42"/>
      <c r="K420" s="42"/>
      <c r="L420" s="42"/>
      <c r="M420" s="42"/>
      <c r="N420" s="41"/>
      <c r="O420" s="41"/>
      <c r="P420" s="42"/>
      <c r="Q420" s="45"/>
      <c r="R420" s="45"/>
      <c r="S420" s="42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7">
        <f t="shared" si="283"/>
        <v>0</v>
      </c>
      <c r="AO420" s="46">
        <f t="shared" si="284"/>
        <v>0</v>
      </c>
      <c r="AP420" s="46" t="s">
        <v>102</v>
      </c>
      <c r="AQ420" s="46"/>
      <c r="AR420" s="46"/>
      <c r="AS420" s="46"/>
      <c r="AT420" s="46"/>
      <c r="AU420" s="47">
        <f t="shared" si="290"/>
        <v>0</v>
      </c>
      <c r="AV420" s="46"/>
      <c r="AW420" s="47">
        <f t="shared" si="312"/>
        <v>0</v>
      </c>
      <c r="AX420" s="46"/>
      <c r="AY420" s="46"/>
      <c r="AZ420" s="46"/>
      <c r="BA420" s="46"/>
      <c r="BB420" s="46"/>
      <c r="BC420" s="47">
        <f t="shared" si="291"/>
        <v>0</v>
      </c>
      <c r="BD420" s="46"/>
      <c r="BE420" s="47">
        <f t="shared" si="292"/>
        <v>0</v>
      </c>
      <c r="BF420" s="46"/>
      <c r="BG420" s="46"/>
      <c r="BH420" s="46"/>
      <c r="BI420" s="46"/>
      <c r="BJ420" s="46"/>
      <c r="BK420" s="46">
        <f t="shared" si="311"/>
        <v>0</v>
      </c>
      <c r="BL420" s="46"/>
      <c r="BM420" s="46">
        <f t="shared" si="309"/>
        <v>0</v>
      </c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  <c r="CK420" s="46"/>
      <c r="CL420" s="46"/>
      <c r="CM420" s="46"/>
      <c r="CN420" s="46"/>
      <c r="CO420" s="46"/>
      <c r="CP420" s="47">
        <f t="shared" si="293"/>
        <v>0</v>
      </c>
      <c r="CQ420" s="46"/>
      <c r="CR420" s="47">
        <f t="shared" si="294"/>
        <v>0</v>
      </c>
      <c r="CS420" s="46"/>
      <c r="CT420" s="46"/>
      <c r="CU420" s="46"/>
      <c r="CV420" s="46"/>
      <c r="CW420" s="47">
        <f t="shared" si="313"/>
        <v>0</v>
      </c>
      <c r="CX420" s="46"/>
      <c r="CY420" s="47">
        <f t="shared" si="314"/>
        <v>0</v>
      </c>
      <c r="CZ420" s="46"/>
      <c r="DA420" s="46"/>
      <c r="DB420" s="46"/>
      <c r="DC420" s="46"/>
      <c r="DD420" s="47">
        <f t="shared" si="315"/>
        <v>0</v>
      </c>
      <c r="DE420" s="46"/>
      <c r="DF420" s="46">
        <f t="shared" si="316"/>
        <v>0</v>
      </c>
      <c r="DG420" s="46"/>
      <c r="DH420" s="46"/>
      <c r="DI420" s="46"/>
      <c r="DJ420" s="46"/>
      <c r="DK420" s="47"/>
      <c r="DL420" s="47">
        <f t="shared" si="317"/>
        <v>0</v>
      </c>
      <c r="DM420" s="46"/>
      <c r="DN420" s="46">
        <f>7.5%*AQ420</f>
        <v>0</v>
      </c>
      <c r="DO420" s="46"/>
      <c r="DP420" s="46">
        <f t="shared" si="318"/>
        <v>0</v>
      </c>
      <c r="DQ420" s="46"/>
      <c r="DR420" s="46">
        <f t="shared" si="321"/>
        <v>0</v>
      </c>
      <c r="DS420" s="46"/>
      <c r="DT420" s="46">
        <f t="shared" si="322"/>
        <v>0</v>
      </c>
      <c r="DU420" s="46"/>
      <c r="DV420" s="46">
        <f t="shared" si="319"/>
        <v>0</v>
      </c>
      <c r="DW420" s="46"/>
      <c r="DX420" s="47">
        <f t="shared" si="320"/>
        <v>0</v>
      </c>
      <c r="DY420" s="46"/>
      <c r="DZ420" s="46"/>
      <c r="EA420" s="46"/>
      <c r="EB420" s="46"/>
      <c r="EC420" s="46"/>
      <c r="ED420" s="46"/>
      <c r="EE420" s="47">
        <f t="shared" si="310"/>
        <v>0</v>
      </c>
      <c r="EF420" s="46"/>
      <c r="EG420" s="46"/>
      <c r="EH420" s="46"/>
      <c r="EI420" s="46"/>
      <c r="EJ420" s="46"/>
      <c r="EK420" s="47">
        <f t="shared" si="304"/>
        <v>0</v>
      </c>
      <c r="EL420" s="46">
        <f t="shared" si="305"/>
        <v>0</v>
      </c>
      <c r="EM420" s="46"/>
      <c r="EN420" s="46">
        <f t="shared" si="306"/>
        <v>0</v>
      </c>
    </row>
    <row r="421" spans="2:144" s="48" customFormat="1" ht="15" customHeight="1" x14ac:dyDescent="0.25">
      <c r="B421" s="128">
        <v>25</v>
      </c>
      <c r="C421" s="42"/>
      <c r="D421" s="43"/>
      <c r="E421" s="42"/>
      <c r="F421" s="42"/>
      <c r="G421" s="42"/>
      <c r="H421" s="42"/>
      <c r="I421" s="42"/>
      <c r="J421" s="42"/>
      <c r="K421" s="42"/>
      <c r="L421" s="42"/>
      <c r="M421" s="42"/>
      <c r="N421" s="41"/>
      <c r="O421" s="41"/>
      <c r="P421" s="42"/>
      <c r="Q421" s="45"/>
      <c r="R421" s="45"/>
      <c r="S421" s="42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7">
        <f t="shared" si="283"/>
        <v>0</v>
      </c>
      <c r="AO421" s="46">
        <f t="shared" si="284"/>
        <v>0</v>
      </c>
      <c r="AP421" s="46" t="s">
        <v>102</v>
      </c>
      <c r="AQ421" s="46"/>
      <c r="AR421" s="46"/>
      <c r="AS421" s="46"/>
      <c r="AT421" s="46"/>
      <c r="AU421" s="47">
        <f t="shared" si="290"/>
        <v>0</v>
      </c>
      <c r="AV421" s="46"/>
      <c r="AW421" s="47">
        <f t="shared" si="312"/>
        <v>0</v>
      </c>
      <c r="AX421" s="46"/>
      <c r="AY421" s="46"/>
      <c r="AZ421" s="46"/>
      <c r="BA421" s="46"/>
      <c r="BB421" s="46"/>
      <c r="BC421" s="47">
        <f t="shared" si="291"/>
        <v>0</v>
      </c>
      <c r="BD421" s="46"/>
      <c r="BE421" s="47">
        <f t="shared" si="292"/>
        <v>0</v>
      </c>
      <c r="BF421" s="46"/>
      <c r="BG421" s="46"/>
      <c r="BH421" s="46"/>
      <c r="BI421" s="46"/>
      <c r="BJ421" s="46"/>
      <c r="BK421" s="46">
        <f t="shared" si="311"/>
        <v>0</v>
      </c>
      <c r="BL421" s="46"/>
      <c r="BM421" s="46">
        <f t="shared" si="309"/>
        <v>0</v>
      </c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  <c r="CK421" s="46"/>
      <c r="CL421" s="46"/>
      <c r="CM421" s="46"/>
      <c r="CN421" s="46"/>
      <c r="CO421" s="46"/>
      <c r="CP421" s="47">
        <f t="shared" si="293"/>
        <v>0</v>
      </c>
      <c r="CQ421" s="46"/>
      <c r="CR421" s="47">
        <f t="shared" si="294"/>
        <v>0</v>
      </c>
      <c r="CS421" s="46"/>
      <c r="CT421" s="46"/>
      <c r="CU421" s="46"/>
      <c r="CV421" s="46"/>
      <c r="CW421" s="47">
        <f t="shared" si="313"/>
        <v>0</v>
      </c>
      <c r="CX421" s="46"/>
      <c r="CY421" s="47">
        <f t="shared" si="314"/>
        <v>0</v>
      </c>
      <c r="CZ421" s="46"/>
      <c r="DA421" s="46"/>
      <c r="DB421" s="46"/>
      <c r="DC421" s="46"/>
      <c r="DD421" s="47">
        <f t="shared" si="315"/>
        <v>0</v>
      </c>
      <c r="DE421" s="46"/>
      <c r="DF421" s="46">
        <f t="shared" si="316"/>
        <v>0</v>
      </c>
      <c r="DG421" s="46"/>
      <c r="DH421" s="46"/>
      <c r="DI421" s="46"/>
      <c r="DJ421" s="46"/>
      <c r="DK421" s="47"/>
      <c r="DL421" s="47">
        <f t="shared" si="317"/>
        <v>0</v>
      </c>
      <c r="DM421" s="46"/>
      <c r="DN421" s="46"/>
      <c r="DO421" s="46"/>
      <c r="DP421" s="46">
        <f>7%*AY421</f>
        <v>0</v>
      </c>
      <c r="DQ421" s="46"/>
      <c r="DR421" s="46">
        <f t="shared" si="321"/>
        <v>0</v>
      </c>
      <c r="DS421" s="46"/>
      <c r="DT421" s="46">
        <f t="shared" si="322"/>
        <v>0</v>
      </c>
      <c r="DU421" s="46"/>
      <c r="DV421" s="46">
        <f t="shared" si="319"/>
        <v>0</v>
      </c>
      <c r="DW421" s="46"/>
      <c r="DX421" s="47">
        <f t="shared" si="320"/>
        <v>0</v>
      </c>
      <c r="DY421" s="46"/>
      <c r="DZ421" s="46"/>
      <c r="EA421" s="46"/>
      <c r="EB421" s="46"/>
      <c r="EC421" s="46"/>
      <c r="ED421" s="46"/>
      <c r="EE421" s="47">
        <f t="shared" si="310"/>
        <v>0</v>
      </c>
      <c r="EF421" s="46"/>
      <c r="EG421" s="46"/>
      <c r="EH421" s="46"/>
      <c r="EI421" s="46"/>
      <c r="EJ421" s="46"/>
      <c r="EK421" s="47">
        <f t="shared" si="304"/>
        <v>0</v>
      </c>
      <c r="EL421" s="46">
        <f t="shared" si="305"/>
        <v>0</v>
      </c>
      <c r="EM421" s="46"/>
      <c r="EN421" s="46">
        <f t="shared" si="306"/>
        <v>0</v>
      </c>
    </row>
    <row r="422" spans="2:144" s="48" customFormat="1" ht="16.5" customHeight="1" x14ac:dyDescent="0.25">
      <c r="B422" s="128">
        <v>26</v>
      </c>
      <c r="C422" s="42"/>
      <c r="D422" s="43"/>
      <c r="E422" s="42"/>
      <c r="F422" s="42"/>
      <c r="G422" s="42"/>
      <c r="H422" s="42"/>
      <c r="I422" s="42"/>
      <c r="J422" s="42"/>
      <c r="K422" s="42"/>
      <c r="L422" s="42"/>
      <c r="M422" s="42"/>
      <c r="N422" s="41"/>
      <c r="O422" s="41"/>
      <c r="P422" s="42"/>
      <c r="Q422" s="45"/>
      <c r="R422" s="45"/>
      <c r="S422" s="42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7">
        <f t="shared" si="283"/>
        <v>0</v>
      </c>
      <c r="AO422" s="46">
        <f t="shared" si="284"/>
        <v>0</v>
      </c>
      <c r="AP422" s="46" t="s">
        <v>102</v>
      </c>
      <c r="AQ422" s="46"/>
      <c r="AR422" s="46"/>
      <c r="AS422" s="46"/>
      <c r="AT422" s="46"/>
      <c r="AU422" s="47">
        <f t="shared" si="290"/>
        <v>0</v>
      </c>
      <c r="AV422" s="46"/>
      <c r="AW422" s="47">
        <f t="shared" si="312"/>
        <v>0</v>
      </c>
      <c r="AX422" s="46"/>
      <c r="AY422" s="46"/>
      <c r="AZ422" s="46"/>
      <c r="BA422" s="46"/>
      <c r="BB422" s="46"/>
      <c r="BC422" s="47">
        <f t="shared" si="291"/>
        <v>0</v>
      </c>
      <c r="BD422" s="46"/>
      <c r="BE422" s="47">
        <f t="shared" si="292"/>
        <v>0</v>
      </c>
      <c r="BF422" s="46"/>
      <c r="BG422" s="46"/>
      <c r="BH422" s="46"/>
      <c r="BI422" s="46"/>
      <c r="BJ422" s="46"/>
      <c r="BK422" s="46">
        <f t="shared" si="311"/>
        <v>0</v>
      </c>
      <c r="BL422" s="46"/>
      <c r="BM422" s="46">
        <f t="shared" si="309"/>
        <v>0</v>
      </c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  <c r="CK422" s="46"/>
      <c r="CL422" s="46"/>
      <c r="CM422" s="46"/>
      <c r="CN422" s="46"/>
      <c r="CO422" s="46"/>
      <c r="CP422" s="47">
        <f t="shared" si="293"/>
        <v>0</v>
      </c>
      <c r="CQ422" s="46"/>
      <c r="CR422" s="47">
        <f t="shared" si="294"/>
        <v>0</v>
      </c>
      <c r="CS422" s="46"/>
      <c r="CT422" s="46"/>
      <c r="CU422" s="46"/>
      <c r="CV422" s="46"/>
      <c r="CW422" s="47">
        <f t="shared" si="313"/>
        <v>0</v>
      </c>
      <c r="CX422" s="46"/>
      <c r="CY422" s="47">
        <f t="shared" si="314"/>
        <v>0</v>
      </c>
      <c r="CZ422" s="46"/>
      <c r="DA422" s="46"/>
      <c r="DB422" s="46"/>
      <c r="DC422" s="46"/>
      <c r="DD422" s="47">
        <f t="shared" si="315"/>
        <v>0</v>
      </c>
      <c r="DE422" s="46"/>
      <c r="DF422" s="46">
        <f t="shared" si="316"/>
        <v>0</v>
      </c>
      <c r="DG422" s="46"/>
      <c r="DH422" s="46"/>
      <c r="DI422" s="46"/>
      <c r="DJ422" s="46"/>
      <c r="DK422" s="47"/>
      <c r="DL422" s="47">
        <f t="shared" si="317"/>
        <v>0</v>
      </c>
      <c r="DM422" s="46"/>
      <c r="DN422" s="46"/>
      <c r="DO422" s="46"/>
      <c r="DP422" s="46">
        <f t="shared" ref="DP422:DP428" si="323">DN422</f>
        <v>0</v>
      </c>
      <c r="DQ422" s="46"/>
      <c r="DR422" s="46">
        <f t="shared" si="321"/>
        <v>0</v>
      </c>
      <c r="DS422" s="46"/>
      <c r="DT422" s="46">
        <f t="shared" si="322"/>
        <v>0</v>
      </c>
      <c r="DU422" s="46"/>
      <c r="DV422" s="46">
        <f t="shared" si="319"/>
        <v>0</v>
      </c>
      <c r="DW422" s="46"/>
      <c r="DX422" s="47">
        <f t="shared" si="320"/>
        <v>0</v>
      </c>
      <c r="DY422" s="46"/>
      <c r="DZ422" s="46"/>
      <c r="EA422" s="46"/>
      <c r="EB422" s="46"/>
      <c r="EC422" s="46"/>
      <c r="ED422" s="46"/>
      <c r="EE422" s="47">
        <f t="shared" si="310"/>
        <v>0</v>
      </c>
      <c r="EF422" s="46"/>
      <c r="EG422" s="46"/>
      <c r="EH422" s="46"/>
      <c r="EI422" s="46"/>
      <c r="EJ422" s="46"/>
      <c r="EK422" s="47">
        <f t="shared" si="304"/>
        <v>0</v>
      </c>
      <c r="EL422" s="46">
        <f t="shared" si="305"/>
        <v>0</v>
      </c>
      <c r="EM422" s="46"/>
      <c r="EN422" s="46">
        <f t="shared" si="306"/>
        <v>0</v>
      </c>
    </row>
    <row r="423" spans="2:144" s="48" customFormat="1" ht="15" customHeight="1" x14ac:dyDescent="0.25">
      <c r="B423" s="128">
        <v>27</v>
      </c>
      <c r="C423" s="42"/>
      <c r="D423" s="43"/>
      <c r="E423" s="42"/>
      <c r="F423" s="42"/>
      <c r="G423" s="42"/>
      <c r="H423" s="42"/>
      <c r="I423" s="42"/>
      <c r="J423" s="42"/>
      <c r="K423" s="42"/>
      <c r="L423" s="42"/>
      <c r="M423" s="42"/>
      <c r="N423" s="41"/>
      <c r="O423" s="41"/>
      <c r="P423" s="42"/>
      <c r="Q423" s="45"/>
      <c r="R423" s="45"/>
      <c r="S423" s="42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7">
        <f t="shared" si="283"/>
        <v>0</v>
      </c>
      <c r="AO423" s="46">
        <f t="shared" si="284"/>
        <v>0</v>
      </c>
      <c r="AP423" s="46" t="s">
        <v>102</v>
      </c>
      <c r="AQ423" s="46"/>
      <c r="AR423" s="46"/>
      <c r="AS423" s="46"/>
      <c r="AT423" s="46"/>
      <c r="AU423" s="47">
        <f t="shared" si="290"/>
        <v>0</v>
      </c>
      <c r="AV423" s="46"/>
      <c r="AW423" s="47">
        <f t="shared" si="312"/>
        <v>0</v>
      </c>
      <c r="AX423" s="46"/>
      <c r="AY423" s="46"/>
      <c r="AZ423" s="46"/>
      <c r="BA423" s="46"/>
      <c r="BB423" s="46"/>
      <c r="BC423" s="47">
        <f t="shared" si="291"/>
        <v>0</v>
      </c>
      <c r="BD423" s="46"/>
      <c r="BE423" s="47">
        <f t="shared" si="292"/>
        <v>0</v>
      </c>
      <c r="BF423" s="46"/>
      <c r="BG423" s="46"/>
      <c r="BH423" s="46"/>
      <c r="BI423" s="46"/>
      <c r="BJ423" s="46"/>
      <c r="BK423" s="46">
        <f t="shared" si="311"/>
        <v>0</v>
      </c>
      <c r="BL423" s="46"/>
      <c r="BM423" s="46">
        <f>BK423+BG423+BL423</f>
        <v>0</v>
      </c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  <c r="CK423" s="46"/>
      <c r="CL423" s="46"/>
      <c r="CM423" s="46"/>
      <c r="CN423" s="46"/>
      <c r="CO423" s="46"/>
      <c r="CP423" s="47">
        <f t="shared" si="293"/>
        <v>0</v>
      </c>
      <c r="CQ423" s="46"/>
      <c r="CR423" s="47">
        <f t="shared" si="294"/>
        <v>0</v>
      </c>
      <c r="CS423" s="46"/>
      <c r="CT423" s="46"/>
      <c r="CU423" s="46"/>
      <c r="CV423" s="46"/>
      <c r="CW423" s="47">
        <f t="shared" si="313"/>
        <v>0</v>
      </c>
      <c r="CX423" s="46"/>
      <c r="CY423" s="47">
        <f t="shared" si="314"/>
        <v>0</v>
      </c>
      <c r="CZ423" s="46"/>
      <c r="DA423" s="46"/>
      <c r="DB423" s="46"/>
      <c r="DC423" s="46"/>
      <c r="DD423" s="47">
        <f t="shared" si="315"/>
        <v>0</v>
      </c>
      <c r="DE423" s="46"/>
      <c r="DF423" s="46">
        <f t="shared" si="316"/>
        <v>0</v>
      </c>
      <c r="DG423" s="46"/>
      <c r="DH423" s="46"/>
      <c r="DI423" s="46"/>
      <c r="DJ423" s="46"/>
      <c r="DK423" s="47"/>
      <c r="DL423" s="47">
        <f t="shared" si="317"/>
        <v>0</v>
      </c>
      <c r="DM423" s="46"/>
      <c r="DN423" s="46"/>
      <c r="DO423" s="46"/>
      <c r="DP423" s="46">
        <f t="shared" si="323"/>
        <v>0</v>
      </c>
      <c r="DQ423" s="46"/>
      <c r="DR423" s="46">
        <f t="shared" si="321"/>
        <v>0</v>
      </c>
      <c r="DS423" s="46"/>
      <c r="DT423" s="46">
        <f t="shared" si="322"/>
        <v>0</v>
      </c>
      <c r="DU423" s="46"/>
      <c r="DV423" s="46">
        <f t="shared" si="319"/>
        <v>0</v>
      </c>
      <c r="DW423" s="46"/>
      <c r="DX423" s="47">
        <f t="shared" si="320"/>
        <v>0</v>
      </c>
      <c r="DY423" s="46"/>
      <c r="DZ423" s="46"/>
      <c r="EA423" s="46"/>
      <c r="EB423" s="46"/>
      <c r="EC423" s="46"/>
      <c r="ED423" s="46"/>
      <c r="EE423" s="47">
        <f t="shared" si="310"/>
        <v>0</v>
      </c>
      <c r="EF423" s="46"/>
      <c r="EG423" s="46"/>
      <c r="EH423" s="46"/>
      <c r="EI423" s="46"/>
      <c r="EJ423" s="46"/>
      <c r="EK423" s="47">
        <f t="shared" si="304"/>
        <v>0</v>
      </c>
      <c r="EL423" s="46">
        <f t="shared" si="305"/>
        <v>0</v>
      </c>
      <c r="EM423" s="46"/>
      <c r="EN423" s="46">
        <f t="shared" si="306"/>
        <v>0</v>
      </c>
    </row>
    <row r="424" spans="2:144" s="48" customFormat="1" ht="15" customHeight="1" x14ac:dyDescent="0.25">
      <c r="B424" s="128">
        <v>28</v>
      </c>
      <c r="C424" s="42"/>
      <c r="D424" s="43"/>
      <c r="E424" s="42"/>
      <c r="F424" s="42"/>
      <c r="G424" s="42"/>
      <c r="H424" s="42"/>
      <c r="I424" s="42"/>
      <c r="J424" s="42"/>
      <c r="K424" s="42"/>
      <c r="L424" s="42"/>
      <c r="M424" s="42"/>
      <c r="N424" s="41"/>
      <c r="O424" s="41"/>
      <c r="P424" s="42"/>
      <c r="Q424" s="45"/>
      <c r="R424" s="45"/>
      <c r="S424" s="42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7">
        <f t="shared" si="283"/>
        <v>0</v>
      </c>
      <c r="AO424" s="46">
        <f t="shared" si="284"/>
        <v>0</v>
      </c>
      <c r="AP424" s="46" t="s">
        <v>102</v>
      </c>
      <c r="AQ424" s="46"/>
      <c r="AR424" s="46"/>
      <c r="AS424" s="46"/>
      <c r="AT424" s="46"/>
      <c r="AU424" s="47">
        <f t="shared" si="290"/>
        <v>0</v>
      </c>
      <c r="AV424" s="46"/>
      <c r="AW424" s="47">
        <f t="shared" si="312"/>
        <v>0</v>
      </c>
      <c r="AX424" s="46"/>
      <c r="AY424" s="46"/>
      <c r="AZ424" s="46"/>
      <c r="BA424" s="46"/>
      <c r="BB424" s="46"/>
      <c r="BC424" s="47">
        <f t="shared" si="291"/>
        <v>0</v>
      </c>
      <c r="BD424" s="46"/>
      <c r="BE424" s="47">
        <f t="shared" si="292"/>
        <v>0</v>
      </c>
      <c r="BF424" s="46"/>
      <c r="BG424" s="46"/>
      <c r="BH424" s="46"/>
      <c r="BI424" s="46"/>
      <c r="BJ424" s="46"/>
      <c r="BK424" s="46">
        <f t="shared" si="311"/>
        <v>0</v>
      </c>
      <c r="BL424" s="46"/>
      <c r="BM424" s="46">
        <f t="shared" ref="BM424:BM429" si="324">BK424</f>
        <v>0</v>
      </c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  <c r="CK424" s="46"/>
      <c r="CL424" s="46"/>
      <c r="CM424" s="46"/>
      <c r="CN424" s="46"/>
      <c r="CO424" s="46"/>
      <c r="CP424" s="47">
        <f t="shared" si="293"/>
        <v>0</v>
      </c>
      <c r="CQ424" s="46"/>
      <c r="CR424" s="47">
        <f t="shared" si="294"/>
        <v>0</v>
      </c>
      <c r="CS424" s="46"/>
      <c r="CT424" s="46"/>
      <c r="CU424" s="46"/>
      <c r="CV424" s="46"/>
      <c r="CW424" s="47">
        <f t="shared" si="313"/>
        <v>0</v>
      </c>
      <c r="CX424" s="46"/>
      <c r="CY424" s="47">
        <f t="shared" si="314"/>
        <v>0</v>
      </c>
      <c r="CZ424" s="46"/>
      <c r="DA424" s="46"/>
      <c r="DB424" s="46"/>
      <c r="DC424" s="46"/>
      <c r="DD424" s="47">
        <f t="shared" si="315"/>
        <v>0</v>
      </c>
      <c r="DE424" s="46"/>
      <c r="DF424" s="46">
        <f t="shared" si="316"/>
        <v>0</v>
      </c>
      <c r="DG424" s="46"/>
      <c r="DH424" s="46"/>
      <c r="DI424" s="46"/>
      <c r="DJ424" s="46"/>
      <c r="DK424" s="47"/>
      <c r="DL424" s="47">
        <f t="shared" si="317"/>
        <v>0</v>
      </c>
      <c r="DM424" s="46"/>
      <c r="DN424" s="46">
        <f>7.5%*AQ424</f>
        <v>0</v>
      </c>
      <c r="DO424" s="46"/>
      <c r="DP424" s="46">
        <f t="shared" si="323"/>
        <v>0</v>
      </c>
      <c r="DQ424" s="46"/>
      <c r="DR424" s="46">
        <f t="shared" si="321"/>
        <v>0</v>
      </c>
      <c r="DS424" s="46"/>
      <c r="DT424" s="46">
        <f t="shared" si="322"/>
        <v>0</v>
      </c>
      <c r="DU424" s="46"/>
      <c r="DV424" s="46">
        <f t="shared" si="319"/>
        <v>0</v>
      </c>
      <c r="DW424" s="46"/>
      <c r="DX424" s="47">
        <f t="shared" si="320"/>
        <v>0</v>
      </c>
      <c r="DY424" s="46"/>
      <c r="DZ424" s="46"/>
      <c r="EA424" s="46"/>
      <c r="EB424" s="46"/>
      <c r="EC424" s="46"/>
      <c r="ED424" s="46"/>
      <c r="EE424" s="47">
        <f t="shared" si="310"/>
        <v>0</v>
      </c>
      <c r="EF424" s="46"/>
      <c r="EG424" s="46"/>
      <c r="EH424" s="46"/>
      <c r="EI424" s="46"/>
      <c r="EJ424" s="46"/>
      <c r="EK424" s="47">
        <f t="shared" si="304"/>
        <v>0</v>
      </c>
      <c r="EL424" s="46">
        <f t="shared" si="305"/>
        <v>0</v>
      </c>
      <c r="EM424" s="46"/>
      <c r="EN424" s="46">
        <f t="shared" si="306"/>
        <v>0</v>
      </c>
    </row>
    <row r="425" spans="2:144" s="48" customFormat="1" ht="15" customHeight="1" x14ac:dyDescent="0.25">
      <c r="B425" s="128">
        <v>29</v>
      </c>
      <c r="C425" s="42"/>
      <c r="D425" s="43"/>
      <c r="E425" s="42"/>
      <c r="F425" s="42"/>
      <c r="G425" s="42"/>
      <c r="H425" s="42"/>
      <c r="I425" s="42"/>
      <c r="J425" s="42"/>
      <c r="K425" s="42"/>
      <c r="L425" s="42"/>
      <c r="M425" s="42"/>
      <c r="N425" s="41"/>
      <c r="O425" s="41"/>
      <c r="P425" s="42"/>
      <c r="Q425" s="45"/>
      <c r="R425" s="45"/>
      <c r="S425" s="42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7">
        <f t="shared" si="283"/>
        <v>0</v>
      </c>
      <c r="AO425" s="46">
        <f t="shared" si="284"/>
        <v>0</v>
      </c>
      <c r="AP425" s="46" t="s">
        <v>102</v>
      </c>
      <c r="AQ425" s="46"/>
      <c r="AR425" s="46"/>
      <c r="AS425" s="46"/>
      <c r="AT425" s="46"/>
      <c r="AU425" s="47">
        <f t="shared" si="290"/>
        <v>0</v>
      </c>
      <c r="AV425" s="46"/>
      <c r="AW425" s="47">
        <f t="shared" si="312"/>
        <v>0</v>
      </c>
      <c r="AX425" s="46"/>
      <c r="AY425" s="46"/>
      <c r="AZ425" s="46"/>
      <c r="BA425" s="46"/>
      <c r="BB425" s="46"/>
      <c r="BC425" s="47">
        <f t="shared" si="291"/>
        <v>0</v>
      </c>
      <c r="BD425" s="46"/>
      <c r="BE425" s="47">
        <f t="shared" si="292"/>
        <v>0</v>
      </c>
      <c r="BF425" s="46"/>
      <c r="BG425" s="46"/>
      <c r="BH425" s="46"/>
      <c r="BI425" s="46"/>
      <c r="BJ425" s="46"/>
      <c r="BK425" s="46">
        <f t="shared" si="311"/>
        <v>0</v>
      </c>
      <c r="BL425" s="46"/>
      <c r="BM425" s="46">
        <f t="shared" si="324"/>
        <v>0</v>
      </c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  <c r="CK425" s="46"/>
      <c r="CL425" s="46"/>
      <c r="CM425" s="46"/>
      <c r="CN425" s="46"/>
      <c r="CO425" s="46"/>
      <c r="CP425" s="47">
        <f t="shared" si="293"/>
        <v>0</v>
      </c>
      <c r="CQ425" s="46"/>
      <c r="CR425" s="47">
        <f t="shared" si="294"/>
        <v>0</v>
      </c>
      <c r="CS425" s="46"/>
      <c r="CT425" s="46"/>
      <c r="CU425" s="46"/>
      <c r="CV425" s="46"/>
      <c r="CW425" s="47">
        <f t="shared" si="313"/>
        <v>0</v>
      </c>
      <c r="CX425" s="46"/>
      <c r="CY425" s="47">
        <f t="shared" si="314"/>
        <v>0</v>
      </c>
      <c r="CZ425" s="46"/>
      <c r="DA425" s="46"/>
      <c r="DB425" s="46"/>
      <c r="DC425" s="46"/>
      <c r="DD425" s="47">
        <f t="shared" si="315"/>
        <v>0</v>
      </c>
      <c r="DE425" s="46"/>
      <c r="DF425" s="46">
        <f t="shared" si="316"/>
        <v>0</v>
      </c>
      <c r="DG425" s="46"/>
      <c r="DH425" s="46"/>
      <c r="DI425" s="46"/>
      <c r="DJ425" s="46"/>
      <c r="DK425" s="64"/>
      <c r="DL425" s="47">
        <f t="shared" si="317"/>
        <v>0</v>
      </c>
      <c r="DM425" s="46"/>
      <c r="DN425" s="46">
        <f>7.5%*AQ425</f>
        <v>0</v>
      </c>
      <c r="DO425" s="46"/>
      <c r="DP425" s="90">
        <f t="shared" si="323"/>
        <v>0</v>
      </c>
      <c r="DQ425" s="46"/>
      <c r="DR425" s="46">
        <f t="shared" si="321"/>
        <v>0</v>
      </c>
      <c r="DS425" s="46"/>
      <c r="DT425" s="46">
        <f t="shared" si="322"/>
        <v>0</v>
      </c>
      <c r="DU425" s="46"/>
      <c r="DV425" s="46">
        <f t="shared" si="319"/>
        <v>0</v>
      </c>
      <c r="DW425" s="46"/>
      <c r="DX425" s="47">
        <f t="shared" si="320"/>
        <v>0</v>
      </c>
      <c r="DY425" s="46"/>
      <c r="DZ425" s="46"/>
      <c r="EA425" s="46"/>
      <c r="EB425" s="46"/>
      <c r="EC425" s="46"/>
      <c r="ED425" s="46"/>
      <c r="EE425" s="47">
        <f t="shared" si="310"/>
        <v>0</v>
      </c>
      <c r="EF425" s="46"/>
      <c r="EG425" s="46"/>
      <c r="EH425" s="46"/>
      <c r="EI425" s="46"/>
      <c r="EJ425" s="46"/>
      <c r="EK425" s="47">
        <f t="shared" si="304"/>
        <v>0</v>
      </c>
      <c r="EL425" s="46">
        <f t="shared" si="305"/>
        <v>0</v>
      </c>
      <c r="EM425" s="46"/>
      <c r="EN425" s="46">
        <f t="shared" si="306"/>
        <v>0</v>
      </c>
    </row>
    <row r="426" spans="2:144" s="48" customFormat="1" ht="15" customHeight="1" x14ac:dyDescent="0.25">
      <c r="B426" s="128">
        <v>30</v>
      </c>
      <c r="C426" s="42"/>
      <c r="D426" s="43"/>
      <c r="E426" s="42"/>
      <c r="F426" s="42"/>
      <c r="G426" s="42"/>
      <c r="H426" s="42"/>
      <c r="I426" s="42"/>
      <c r="J426" s="42"/>
      <c r="K426" s="42"/>
      <c r="L426" s="42"/>
      <c r="M426" s="42"/>
      <c r="N426" s="41"/>
      <c r="O426" s="41"/>
      <c r="P426" s="42"/>
      <c r="Q426" s="45"/>
      <c r="R426" s="45"/>
      <c r="S426" s="42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7">
        <f t="shared" si="283"/>
        <v>0</v>
      </c>
      <c r="AO426" s="46">
        <f t="shared" si="284"/>
        <v>0</v>
      </c>
      <c r="AP426" s="46" t="s">
        <v>102</v>
      </c>
      <c r="AQ426" s="46"/>
      <c r="AR426" s="46"/>
      <c r="AS426" s="46"/>
      <c r="AT426" s="46"/>
      <c r="AU426" s="47">
        <f t="shared" si="290"/>
        <v>0</v>
      </c>
      <c r="AV426" s="46"/>
      <c r="AW426" s="47">
        <f t="shared" si="312"/>
        <v>0</v>
      </c>
      <c r="AX426" s="46"/>
      <c r="AY426" s="46"/>
      <c r="AZ426" s="46"/>
      <c r="BA426" s="46"/>
      <c r="BB426" s="46"/>
      <c r="BC426" s="47">
        <f t="shared" si="291"/>
        <v>0</v>
      </c>
      <c r="BD426" s="46"/>
      <c r="BE426" s="47">
        <f t="shared" si="292"/>
        <v>0</v>
      </c>
      <c r="BF426" s="46"/>
      <c r="BG426" s="46"/>
      <c r="BH426" s="46"/>
      <c r="BI426" s="46"/>
      <c r="BJ426" s="46"/>
      <c r="BK426" s="46">
        <f t="shared" si="311"/>
        <v>0</v>
      </c>
      <c r="BL426" s="46"/>
      <c r="BM426" s="46">
        <f t="shared" si="324"/>
        <v>0</v>
      </c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  <c r="CK426" s="46"/>
      <c r="CL426" s="46"/>
      <c r="CM426" s="46"/>
      <c r="CN426" s="46"/>
      <c r="CO426" s="46"/>
      <c r="CP426" s="47">
        <f t="shared" si="293"/>
        <v>0</v>
      </c>
      <c r="CQ426" s="46"/>
      <c r="CR426" s="47">
        <f t="shared" si="294"/>
        <v>0</v>
      </c>
      <c r="CS426" s="46"/>
      <c r="CT426" s="46"/>
      <c r="CU426" s="46"/>
      <c r="CV426" s="46"/>
      <c r="CW426" s="47">
        <f t="shared" si="313"/>
        <v>0</v>
      </c>
      <c r="CX426" s="46"/>
      <c r="CY426" s="47">
        <f t="shared" si="314"/>
        <v>0</v>
      </c>
      <c r="CZ426" s="46"/>
      <c r="DA426" s="46"/>
      <c r="DB426" s="46"/>
      <c r="DC426" s="46"/>
      <c r="DD426" s="47">
        <f t="shared" si="315"/>
        <v>0</v>
      </c>
      <c r="DE426" s="46"/>
      <c r="DF426" s="46">
        <f t="shared" si="316"/>
        <v>0</v>
      </c>
      <c r="DG426" s="46"/>
      <c r="DH426" s="46"/>
      <c r="DI426" s="46"/>
      <c r="DJ426" s="46"/>
      <c r="DK426" s="64"/>
      <c r="DL426" s="47">
        <f t="shared" si="317"/>
        <v>0</v>
      </c>
      <c r="DM426" s="46"/>
      <c r="DN426" s="46">
        <f>7.5%*AQ426</f>
        <v>0</v>
      </c>
      <c r="DO426" s="46"/>
      <c r="DP426" s="90">
        <f t="shared" si="323"/>
        <v>0</v>
      </c>
      <c r="DQ426" s="46"/>
      <c r="DR426" s="46">
        <f t="shared" si="321"/>
        <v>0</v>
      </c>
      <c r="DS426" s="46"/>
      <c r="DT426" s="46"/>
      <c r="DU426" s="46"/>
      <c r="DV426" s="46">
        <f t="shared" si="319"/>
        <v>0</v>
      </c>
      <c r="DW426" s="46"/>
      <c r="DX426" s="47">
        <f t="shared" si="320"/>
        <v>0</v>
      </c>
      <c r="DY426" s="46"/>
      <c r="DZ426" s="46"/>
      <c r="EA426" s="46"/>
      <c r="EB426" s="46"/>
      <c r="EC426" s="46"/>
      <c r="ED426" s="46"/>
      <c r="EE426" s="47">
        <f t="shared" si="310"/>
        <v>0</v>
      </c>
      <c r="EF426" s="46"/>
      <c r="EG426" s="46"/>
      <c r="EH426" s="46"/>
      <c r="EI426" s="46"/>
      <c r="EJ426" s="46"/>
      <c r="EK426" s="47">
        <f t="shared" si="304"/>
        <v>0</v>
      </c>
      <c r="EL426" s="46">
        <f t="shared" si="305"/>
        <v>0</v>
      </c>
      <c r="EM426" s="46"/>
      <c r="EN426" s="46">
        <f t="shared" si="306"/>
        <v>0</v>
      </c>
    </row>
    <row r="427" spans="2:144" s="48" customFormat="1" ht="15" customHeight="1" x14ac:dyDescent="0.25">
      <c r="B427" s="128">
        <v>20</v>
      </c>
      <c r="C427" s="42"/>
      <c r="D427" s="43"/>
      <c r="E427" s="42"/>
      <c r="F427" s="42"/>
      <c r="G427" s="42"/>
      <c r="H427" s="42"/>
      <c r="I427" s="42"/>
      <c r="J427" s="42"/>
      <c r="K427" s="42"/>
      <c r="L427" s="42"/>
      <c r="M427" s="42"/>
      <c r="N427" s="41"/>
      <c r="O427" s="41"/>
      <c r="P427" s="42"/>
      <c r="Q427" s="45"/>
      <c r="R427" s="45"/>
      <c r="S427" s="42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7">
        <f t="shared" si="283"/>
        <v>0</v>
      </c>
      <c r="AO427" s="46">
        <f t="shared" si="284"/>
        <v>0</v>
      </c>
      <c r="AP427" s="46" t="s">
        <v>102</v>
      </c>
      <c r="AQ427" s="46"/>
      <c r="AR427" s="46"/>
      <c r="AS427" s="46"/>
      <c r="AT427" s="46"/>
      <c r="AU427" s="47">
        <f t="shared" si="290"/>
        <v>0</v>
      </c>
      <c r="AV427" s="46"/>
      <c r="AW427" s="47">
        <f t="shared" si="312"/>
        <v>0</v>
      </c>
      <c r="AX427" s="46"/>
      <c r="AY427" s="46"/>
      <c r="AZ427" s="46"/>
      <c r="BA427" s="46"/>
      <c r="BB427" s="46"/>
      <c r="BC427" s="47">
        <f t="shared" si="291"/>
        <v>0</v>
      </c>
      <c r="BD427" s="46"/>
      <c r="BE427" s="47">
        <f t="shared" si="292"/>
        <v>0</v>
      </c>
      <c r="BF427" s="46"/>
      <c r="BG427" s="46"/>
      <c r="BH427" s="46"/>
      <c r="BI427" s="46"/>
      <c r="BJ427" s="46"/>
      <c r="BK427" s="46">
        <f t="shared" si="311"/>
        <v>0</v>
      </c>
      <c r="BL427" s="46"/>
      <c r="BM427" s="46">
        <f t="shared" si="324"/>
        <v>0</v>
      </c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  <c r="CK427" s="46"/>
      <c r="CL427" s="46"/>
      <c r="CM427" s="46"/>
      <c r="CN427" s="46"/>
      <c r="CO427" s="46"/>
      <c r="CP427" s="47">
        <f t="shared" si="293"/>
        <v>0</v>
      </c>
      <c r="CQ427" s="46"/>
      <c r="CR427" s="47">
        <f t="shared" si="294"/>
        <v>0</v>
      </c>
      <c r="CS427" s="46"/>
      <c r="CT427" s="46"/>
      <c r="CU427" s="46"/>
      <c r="CV427" s="46"/>
      <c r="CW427" s="47">
        <f t="shared" si="313"/>
        <v>0</v>
      </c>
      <c r="CX427" s="46"/>
      <c r="CY427" s="47">
        <f t="shared" si="314"/>
        <v>0</v>
      </c>
      <c r="CZ427" s="46"/>
      <c r="DA427" s="46"/>
      <c r="DB427" s="46"/>
      <c r="DC427" s="46"/>
      <c r="DD427" s="47">
        <f t="shared" si="315"/>
        <v>0</v>
      </c>
      <c r="DE427" s="46"/>
      <c r="DF427" s="46">
        <f t="shared" si="316"/>
        <v>0</v>
      </c>
      <c r="DG427" s="46"/>
      <c r="DH427" s="46"/>
      <c r="DI427" s="46"/>
      <c r="DJ427" s="46"/>
      <c r="DK427" s="47"/>
      <c r="DL427" s="47">
        <f t="shared" si="317"/>
        <v>0</v>
      </c>
      <c r="DM427" s="46"/>
      <c r="DN427" s="46">
        <f>7.5%*AQ427</f>
        <v>0</v>
      </c>
      <c r="DO427" s="46"/>
      <c r="DP427" s="46">
        <f t="shared" si="323"/>
        <v>0</v>
      </c>
      <c r="DQ427" s="46"/>
      <c r="DR427" s="46">
        <f t="shared" si="321"/>
        <v>0</v>
      </c>
      <c r="DS427" s="46"/>
      <c r="DT427" s="46">
        <f>75%*DP427</f>
        <v>0</v>
      </c>
      <c r="DU427" s="46"/>
      <c r="DV427" s="46">
        <f t="shared" si="319"/>
        <v>0</v>
      </c>
      <c r="DW427" s="46"/>
      <c r="DX427" s="47">
        <f t="shared" si="320"/>
        <v>0</v>
      </c>
      <c r="DY427" s="46"/>
      <c r="DZ427" s="46"/>
      <c r="EA427" s="46"/>
      <c r="EB427" s="46"/>
      <c r="EC427" s="46"/>
      <c r="ED427" s="46"/>
      <c r="EE427" s="47">
        <f t="shared" si="310"/>
        <v>0</v>
      </c>
      <c r="EF427" s="46"/>
      <c r="EG427" s="46"/>
      <c r="EH427" s="46"/>
      <c r="EI427" s="46"/>
      <c r="EJ427" s="46"/>
      <c r="EK427" s="47">
        <f t="shared" si="304"/>
        <v>0</v>
      </c>
      <c r="EL427" s="46">
        <f t="shared" si="305"/>
        <v>0</v>
      </c>
      <c r="EM427" s="46"/>
      <c r="EN427" s="46">
        <f t="shared" si="306"/>
        <v>0</v>
      </c>
    </row>
    <row r="428" spans="2:144" s="48" customFormat="1" ht="15" customHeight="1" x14ac:dyDescent="0.25">
      <c r="B428" s="128">
        <v>32</v>
      </c>
      <c r="C428" s="42"/>
      <c r="D428" s="43"/>
      <c r="E428" s="42"/>
      <c r="F428" s="42"/>
      <c r="G428" s="42"/>
      <c r="H428" s="42"/>
      <c r="I428" s="42"/>
      <c r="J428" s="42"/>
      <c r="K428" s="42"/>
      <c r="L428" s="42"/>
      <c r="M428" s="42"/>
      <c r="N428" s="41"/>
      <c r="O428" s="41"/>
      <c r="P428" s="42"/>
      <c r="Q428" s="45"/>
      <c r="R428" s="45"/>
      <c r="S428" s="42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7">
        <f t="shared" si="283"/>
        <v>0</v>
      </c>
      <c r="AO428" s="46">
        <f t="shared" si="284"/>
        <v>0</v>
      </c>
      <c r="AP428" s="46" t="s">
        <v>102</v>
      </c>
      <c r="AQ428" s="46"/>
      <c r="AR428" s="46"/>
      <c r="AS428" s="46"/>
      <c r="AT428" s="46"/>
      <c r="AU428" s="47">
        <f t="shared" si="290"/>
        <v>0</v>
      </c>
      <c r="AV428" s="46"/>
      <c r="AW428" s="47">
        <f t="shared" si="312"/>
        <v>0</v>
      </c>
      <c r="AX428" s="46"/>
      <c r="AY428" s="46"/>
      <c r="AZ428" s="46"/>
      <c r="BA428" s="46"/>
      <c r="BB428" s="46"/>
      <c r="BC428" s="47">
        <f t="shared" si="291"/>
        <v>0</v>
      </c>
      <c r="BD428" s="46"/>
      <c r="BE428" s="47">
        <f t="shared" si="292"/>
        <v>0</v>
      </c>
      <c r="BF428" s="46"/>
      <c r="BG428" s="46"/>
      <c r="BH428" s="46"/>
      <c r="BI428" s="46"/>
      <c r="BJ428" s="46"/>
      <c r="BK428" s="46">
        <f t="shared" si="311"/>
        <v>0</v>
      </c>
      <c r="BL428" s="46"/>
      <c r="BM428" s="46">
        <f t="shared" si="324"/>
        <v>0</v>
      </c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  <c r="CK428" s="46"/>
      <c r="CL428" s="46"/>
      <c r="CM428" s="46"/>
      <c r="CN428" s="46"/>
      <c r="CO428" s="46"/>
      <c r="CP428" s="47">
        <f t="shared" si="293"/>
        <v>0</v>
      </c>
      <c r="CQ428" s="46"/>
      <c r="CR428" s="47">
        <f t="shared" si="294"/>
        <v>0</v>
      </c>
      <c r="CS428" s="46"/>
      <c r="CT428" s="46"/>
      <c r="CU428" s="46"/>
      <c r="CV428" s="46"/>
      <c r="CW428" s="47">
        <f t="shared" si="313"/>
        <v>0</v>
      </c>
      <c r="CX428" s="46"/>
      <c r="CY428" s="47">
        <f t="shared" si="314"/>
        <v>0</v>
      </c>
      <c r="CZ428" s="46"/>
      <c r="DA428" s="46"/>
      <c r="DB428" s="46"/>
      <c r="DC428" s="46"/>
      <c r="DD428" s="47">
        <f t="shared" si="315"/>
        <v>0</v>
      </c>
      <c r="DE428" s="46"/>
      <c r="DF428" s="46">
        <f t="shared" si="316"/>
        <v>0</v>
      </c>
      <c r="DG428" s="46"/>
      <c r="DH428" s="46"/>
      <c r="DI428" s="46"/>
      <c r="DJ428" s="46"/>
      <c r="DK428" s="64"/>
      <c r="DL428" s="47">
        <f t="shared" si="317"/>
        <v>0</v>
      </c>
      <c r="DM428" s="46"/>
      <c r="DN428" s="46"/>
      <c r="DO428" s="46"/>
      <c r="DP428" s="90">
        <f t="shared" si="323"/>
        <v>0</v>
      </c>
      <c r="DQ428" s="46"/>
      <c r="DR428" s="46"/>
      <c r="DS428" s="46"/>
      <c r="DT428" s="46"/>
      <c r="DU428" s="46"/>
      <c r="DV428" s="46">
        <f t="shared" si="319"/>
        <v>0</v>
      </c>
      <c r="DW428" s="46"/>
      <c r="DX428" s="47">
        <f t="shared" si="320"/>
        <v>0</v>
      </c>
      <c r="DY428" s="46"/>
      <c r="DZ428" s="46"/>
      <c r="EA428" s="46"/>
      <c r="EB428" s="46"/>
      <c r="EC428" s="46"/>
      <c r="ED428" s="46"/>
      <c r="EE428" s="47">
        <f t="shared" si="310"/>
        <v>0</v>
      </c>
      <c r="EF428" s="46"/>
      <c r="EG428" s="46"/>
      <c r="EH428" s="46"/>
      <c r="EI428" s="46"/>
      <c r="EJ428" s="46"/>
      <c r="EK428" s="47">
        <f t="shared" si="304"/>
        <v>0</v>
      </c>
      <c r="EL428" s="46">
        <f t="shared" si="305"/>
        <v>0</v>
      </c>
      <c r="EM428" s="46"/>
      <c r="EN428" s="46">
        <f t="shared" si="306"/>
        <v>0</v>
      </c>
    </row>
    <row r="429" spans="2:144" s="48" customFormat="1" ht="15" customHeight="1" x14ac:dyDescent="0.25">
      <c r="B429" s="128">
        <v>33</v>
      </c>
      <c r="C429" s="42"/>
      <c r="D429" s="43"/>
      <c r="E429" s="42"/>
      <c r="F429" s="42"/>
      <c r="G429" s="42"/>
      <c r="H429" s="42"/>
      <c r="I429" s="42"/>
      <c r="J429" s="42"/>
      <c r="K429" s="42"/>
      <c r="L429" s="42"/>
      <c r="M429" s="42"/>
      <c r="N429" s="41"/>
      <c r="O429" s="41"/>
      <c r="P429" s="42"/>
      <c r="Q429" s="45"/>
      <c r="R429" s="45"/>
      <c r="S429" s="42"/>
      <c r="T429" s="46"/>
      <c r="U429" s="46"/>
      <c r="V429" s="42"/>
      <c r="W429" s="42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7">
        <f t="shared" si="283"/>
        <v>0</v>
      </c>
      <c r="AO429" s="47">
        <f t="shared" si="284"/>
        <v>0</v>
      </c>
      <c r="AP429" s="46" t="s">
        <v>102</v>
      </c>
      <c r="AQ429" s="46"/>
      <c r="AR429" s="46"/>
      <c r="AS429" s="46"/>
      <c r="AT429" s="46"/>
      <c r="AU429" s="47">
        <f t="shared" si="290"/>
        <v>0</v>
      </c>
      <c r="AV429" s="46"/>
      <c r="AW429" s="47">
        <f>AQ429+AU429+AV429+AR429</f>
        <v>0</v>
      </c>
      <c r="AX429" s="46"/>
      <c r="AY429" s="46"/>
      <c r="AZ429" s="46"/>
      <c r="BA429" s="46"/>
      <c r="BB429" s="46"/>
      <c r="BC429" s="47">
        <f t="shared" si="291"/>
        <v>0</v>
      </c>
      <c r="BD429" s="46"/>
      <c r="BE429" s="47">
        <f t="shared" si="292"/>
        <v>0</v>
      </c>
      <c r="BF429" s="46"/>
      <c r="BG429" s="46"/>
      <c r="BH429" s="46"/>
      <c r="BI429" s="46"/>
      <c r="BJ429" s="46"/>
      <c r="BK429" s="46">
        <f t="shared" si="311"/>
        <v>0</v>
      </c>
      <c r="BL429" s="46"/>
      <c r="BM429" s="46">
        <f t="shared" si="324"/>
        <v>0</v>
      </c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  <c r="CK429" s="46"/>
      <c r="CL429" s="46"/>
      <c r="CM429" s="46"/>
      <c r="CN429" s="46"/>
      <c r="CO429" s="46"/>
      <c r="CP429" s="46"/>
      <c r="CQ429" s="46"/>
      <c r="CR429" s="47">
        <f t="shared" si="294"/>
        <v>0</v>
      </c>
      <c r="CS429" s="46"/>
      <c r="CT429" s="46"/>
      <c r="CU429" s="46"/>
      <c r="CV429" s="46"/>
      <c r="CW429" s="47">
        <f t="shared" si="313"/>
        <v>0</v>
      </c>
      <c r="CX429" s="46"/>
      <c r="CY429" s="47">
        <f t="shared" si="314"/>
        <v>0</v>
      </c>
      <c r="CZ429" s="46"/>
      <c r="DA429" s="46"/>
      <c r="DB429" s="46"/>
      <c r="DC429" s="46"/>
      <c r="DD429" s="47">
        <f t="shared" si="315"/>
        <v>0</v>
      </c>
      <c r="DE429" s="46"/>
      <c r="DF429" s="46">
        <f t="shared" si="316"/>
        <v>0</v>
      </c>
      <c r="DG429" s="46"/>
      <c r="DH429" s="46"/>
      <c r="DI429" s="46"/>
      <c r="DJ429" s="46"/>
      <c r="DK429" s="47">
        <f>DI429*DJ429</f>
        <v>0</v>
      </c>
      <c r="DL429" s="47">
        <f t="shared" si="317"/>
        <v>0</v>
      </c>
      <c r="DM429" s="46"/>
      <c r="DN429" s="46"/>
      <c r="DO429" s="46"/>
      <c r="DP429" s="46"/>
      <c r="DQ429" s="46"/>
      <c r="DR429" s="46">
        <f>DP429</f>
        <v>0</v>
      </c>
      <c r="DS429" s="46"/>
      <c r="DT429" s="46">
        <f>75%*DP429</f>
        <v>0</v>
      </c>
      <c r="DU429" s="46"/>
      <c r="DV429" s="46"/>
      <c r="DW429" s="46"/>
      <c r="DX429" s="47">
        <f t="shared" si="320"/>
        <v>0</v>
      </c>
      <c r="DY429" s="46"/>
      <c r="DZ429" s="46"/>
      <c r="EA429" s="46"/>
      <c r="EB429" s="46"/>
      <c r="EC429" s="46"/>
      <c r="ED429" s="46"/>
      <c r="EE429" s="47">
        <f t="shared" si="310"/>
        <v>0</v>
      </c>
      <c r="EF429" s="46"/>
      <c r="EG429" s="46"/>
      <c r="EH429" s="46"/>
      <c r="EI429" s="46"/>
      <c r="EJ429" s="46"/>
      <c r="EK429" s="47">
        <f t="shared" si="304"/>
        <v>0</v>
      </c>
      <c r="EL429" s="46">
        <f t="shared" si="305"/>
        <v>0</v>
      </c>
      <c r="EM429" s="46"/>
      <c r="EN429" s="46">
        <f t="shared" si="306"/>
        <v>0</v>
      </c>
    </row>
    <row r="430" spans="2:144" s="48" customFormat="1" ht="15" customHeight="1" x14ac:dyDescent="0.25">
      <c r="B430" s="128">
        <v>34</v>
      </c>
      <c r="C430" s="42"/>
      <c r="D430" s="43"/>
      <c r="E430" s="42"/>
      <c r="F430" s="42"/>
      <c r="G430" s="42"/>
      <c r="H430" s="42"/>
      <c r="I430" s="42"/>
      <c r="J430" s="42"/>
      <c r="K430" s="42"/>
      <c r="L430" s="42"/>
      <c r="M430" s="42"/>
      <c r="N430" s="41"/>
      <c r="O430" s="41"/>
      <c r="P430" s="42"/>
      <c r="Q430" s="45"/>
      <c r="R430" s="45"/>
      <c r="S430" s="42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7">
        <f t="shared" si="283"/>
        <v>0</v>
      </c>
      <c r="AO430" s="46">
        <f t="shared" si="284"/>
        <v>0</v>
      </c>
      <c r="AP430" s="46" t="s">
        <v>102</v>
      </c>
      <c r="AQ430" s="46"/>
      <c r="AR430" s="46"/>
      <c r="AS430" s="46"/>
      <c r="AT430" s="46"/>
      <c r="AU430" s="47">
        <f t="shared" si="290"/>
        <v>0</v>
      </c>
      <c r="AV430" s="46"/>
      <c r="AW430" s="47">
        <f t="shared" ref="AW430:AW473" si="325">AQ430+AR430+AU430+AV430</f>
        <v>0</v>
      </c>
      <c r="AX430" s="46"/>
      <c r="AY430" s="46"/>
      <c r="AZ430" s="46"/>
      <c r="BA430" s="46"/>
      <c r="BB430" s="46"/>
      <c r="BC430" s="47">
        <f t="shared" si="291"/>
        <v>0</v>
      </c>
      <c r="BD430" s="46"/>
      <c r="BE430" s="47">
        <f t="shared" si="292"/>
        <v>0</v>
      </c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  <c r="CK430" s="46"/>
      <c r="CL430" s="46"/>
      <c r="CM430" s="46"/>
      <c r="CN430" s="46"/>
      <c r="CO430" s="46"/>
      <c r="CP430" s="47">
        <f>CN430*CO430</f>
        <v>0</v>
      </c>
      <c r="CQ430" s="46"/>
      <c r="CR430" s="47">
        <f t="shared" si="294"/>
        <v>0</v>
      </c>
      <c r="CS430" s="46"/>
      <c r="CT430" s="46"/>
      <c r="CU430" s="46"/>
      <c r="CV430" s="46"/>
      <c r="CW430" s="47">
        <f t="shared" si="313"/>
        <v>0</v>
      </c>
      <c r="CX430" s="46"/>
      <c r="CY430" s="47">
        <f t="shared" si="314"/>
        <v>0</v>
      </c>
      <c r="CZ430" s="46"/>
      <c r="DA430" s="46"/>
      <c r="DB430" s="46"/>
      <c r="DC430" s="46"/>
      <c r="DD430" s="47">
        <f t="shared" si="315"/>
        <v>0</v>
      </c>
      <c r="DE430" s="46"/>
      <c r="DF430" s="46">
        <f t="shared" si="316"/>
        <v>0</v>
      </c>
      <c r="DG430" s="46"/>
      <c r="DH430" s="46"/>
      <c r="DI430" s="46"/>
      <c r="DJ430" s="46"/>
      <c r="DK430" s="64"/>
      <c r="DL430" s="47">
        <f t="shared" si="317"/>
        <v>0</v>
      </c>
      <c r="DM430" s="46"/>
      <c r="DN430" s="46">
        <f>7.5%*AQ430</f>
        <v>0</v>
      </c>
      <c r="DO430" s="46"/>
      <c r="DP430" s="90">
        <f>DN430</f>
        <v>0</v>
      </c>
      <c r="DQ430" s="46"/>
      <c r="DR430" s="46"/>
      <c r="DS430" s="46"/>
      <c r="DT430" s="46"/>
      <c r="DU430" s="46"/>
      <c r="DV430" s="46">
        <f>DT430/2</f>
        <v>0</v>
      </c>
      <c r="DW430" s="46"/>
      <c r="DX430" s="47">
        <f t="shared" si="320"/>
        <v>0</v>
      </c>
      <c r="DY430" s="46"/>
      <c r="DZ430" s="46"/>
      <c r="EA430" s="46"/>
      <c r="EB430" s="46"/>
      <c r="EC430" s="46"/>
      <c r="ED430" s="46"/>
      <c r="EE430" s="47">
        <f t="shared" si="310"/>
        <v>0</v>
      </c>
      <c r="EF430" s="46"/>
      <c r="EG430" s="46"/>
      <c r="EH430" s="46"/>
      <c r="EI430" s="46"/>
      <c r="EJ430" s="46"/>
      <c r="EK430" s="47">
        <f t="shared" si="304"/>
        <v>0</v>
      </c>
      <c r="EL430" s="46">
        <f t="shared" si="305"/>
        <v>0</v>
      </c>
      <c r="EM430" s="46"/>
      <c r="EN430" s="46">
        <f t="shared" si="306"/>
        <v>0</v>
      </c>
    </row>
    <row r="431" spans="2:144" s="48" customFormat="1" ht="15" customHeight="1" x14ac:dyDescent="0.25">
      <c r="B431" s="128">
        <v>35</v>
      </c>
      <c r="C431" s="99"/>
      <c r="D431" s="100"/>
      <c r="E431" s="99"/>
      <c r="F431" s="99"/>
      <c r="G431" s="99"/>
      <c r="H431" s="99"/>
      <c r="I431" s="99"/>
      <c r="J431" s="99"/>
      <c r="K431" s="99"/>
      <c r="L431" s="99"/>
      <c r="M431" s="99"/>
      <c r="N431" s="101"/>
      <c r="O431" s="101"/>
      <c r="P431" s="99"/>
      <c r="Q431" s="102"/>
      <c r="R431" s="102"/>
      <c r="S431" s="99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47">
        <f t="shared" si="283"/>
        <v>0</v>
      </c>
      <c r="AO431" s="46">
        <f t="shared" si="284"/>
        <v>0</v>
      </c>
      <c r="AP431" s="57" t="s">
        <v>102</v>
      </c>
      <c r="AQ431" s="46"/>
      <c r="AR431" s="57"/>
      <c r="AS431" s="57"/>
      <c r="AT431" s="57"/>
      <c r="AU431" s="47">
        <f t="shared" si="290"/>
        <v>0</v>
      </c>
      <c r="AV431" s="46"/>
      <c r="AW431" s="47">
        <f t="shared" si="325"/>
        <v>0</v>
      </c>
      <c r="AX431" s="57"/>
      <c r="AY431" s="57"/>
      <c r="AZ431" s="57"/>
      <c r="BA431" s="57"/>
      <c r="BB431" s="57"/>
      <c r="BC431" s="47">
        <f t="shared" si="291"/>
        <v>0</v>
      </c>
      <c r="BD431" s="57"/>
      <c r="BE431" s="47">
        <f t="shared" si="292"/>
        <v>0</v>
      </c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  <c r="CD431" s="57"/>
      <c r="CE431" s="57"/>
      <c r="CF431" s="57"/>
      <c r="CG431" s="57"/>
      <c r="CH431" s="57"/>
      <c r="CI431" s="57"/>
      <c r="CJ431" s="57"/>
      <c r="CK431" s="57"/>
      <c r="CL431" s="57"/>
      <c r="CM431" s="57"/>
      <c r="CN431" s="57"/>
      <c r="CO431" s="57"/>
      <c r="CP431" s="57"/>
      <c r="CQ431" s="57"/>
      <c r="CR431" s="47">
        <f t="shared" si="294"/>
        <v>0</v>
      </c>
      <c r="CS431" s="57"/>
      <c r="CT431" s="57"/>
      <c r="CU431" s="57"/>
      <c r="CV431" s="57"/>
      <c r="CW431" s="47">
        <f t="shared" si="313"/>
        <v>0</v>
      </c>
      <c r="CX431" s="46"/>
      <c r="CY431" s="47">
        <f t="shared" si="314"/>
        <v>0</v>
      </c>
      <c r="CZ431" s="57"/>
      <c r="DA431" s="57"/>
      <c r="DB431" s="57"/>
      <c r="DC431" s="57"/>
      <c r="DD431" s="47">
        <f t="shared" si="315"/>
        <v>0</v>
      </c>
      <c r="DE431" s="57"/>
      <c r="DF431" s="46">
        <f t="shared" si="316"/>
        <v>0</v>
      </c>
      <c r="DG431" s="57"/>
      <c r="DH431" s="57"/>
      <c r="DI431" s="57"/>
      <c r="DJ431" s="57"/>
      <c r="DK431" s="64"/>
      <c r="DL431" s="47">
        <f t="shared" si="317"/>
        <v>0</v>
      </c>
      <c r="DM431" s="57"/>
      <c r="DN431" s="46">
        <f>7.5%*AQ431</f>
        <v>0</v>
      </c>
      <c r="DO431" s="57"/>
      <c r="DP431" s="90">
        <f>DN431</f>
        <v>0</v>
      </c>
      <c r="DQ431" s="57"/>
      <c r="DR431" s="46"/>
      <c r="DS431" s="57"/>
      <c r="DT431" s="46"/>
      <c r="DU431" s="57"/>
      <c r="DV431" s="46">
        <f>DT431/2</f>
        <v>0</v>
      </c>
      <c r="DW431" s="57"/>
      <c r="DX431" s="47">
        <f t="shared" si="320"/>
        <v>0</v>
      </c>
      <c r="DY431" s="57"/>
      <c r="DZ431" s="57"/>
      <c r="EA431" s="57"/>
      <c r="EB431" s="57"/>
      <c r="EC431" s="57"/>
      <c r="ED431" s="57"/>
      <c r="EE431" s="47">
        <f t="shared" si="310"/>
        <v>0</v>
      </c>
      <c r="EF431" s="57"/>
      <c r="EG431" s="57"/>
      <c r="EH431" s="57"/>
      <c r="EI431" s="57"/>
      <c r="EJ431" s="57"/>
      <c r="EK431" s="47">
        <f t="shared" si="304"/>
        <v>0</v>
      </c>
      <c r="EL431" s="46">
        <f t="shared" si="305"/>
        <v>0</v>
      </c>
      <c r="EM431" s="57"/>
      <c r="EN431" s="46">
        <f t="shared" si="306"/>
        <v>0</v>
      </c>
    </row>
    <row r="432" spans="2:144" s="48" customFormat="1" ht="15" customHeight="1" x14ac:dyDescent="0.25">
      <c r="B432" s="128">
        <v>36</v>
      </c>
      <c r="C432" s="99"/>
      <c r="D432" s="100"/>
      <c r="E432" s="99"/>
      <c r="F432" s="99"/>
      <c r="G432" s="99"/>
      <c r="H432" s="99"/>
      <c r="I432" s="99"/>
      <c r="J432" s="99"/>
      <c r="K432" s="99"/>
      <c r="L432" s="99"/>
      <c r="M432" s="99"/>
      <c r="N432" s="101"/>
      <c r="O432" s="101"/>
      <c r="P432" s="99"/>
      <c r="Q432" s="102"/>
      <c r="R432" s="102"/>
      <c r="S432" s="99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47">
        <f t="shared" si="283"/>
        <v>0</v>
      </c>
      <c r="AO432" s="46">
        <f t="shared" si="284"/>
        <v>0</v>
      </c>
      <c r="AP432" s="57" t="s">
        <v>102</v>
      </c>
      <c r="AQ432" s="46"/>
      <c r="AR432" s="57"/>
      <c r="AS432" s="57"/>
      <c r="AT432" s="57"/>
      <c r="AU432" s="47">
        <f t="shared" si="290"/>
        <v>0</v>
      </c>
      <c r="AV432" s="57"/>
      <c r="AW432" s="47">
        <f t="shared" si="325"/>
        <v>0</v>
      </c>
      <c r="AX432" s="57"/>
      <c r="AY432" s="57"/>
      <c r="AZ432" s="57"/>
      <c r="BA432" s="57"/>
      <c r="BB432" s="57"/>
      <c r="BC432" s="47">
        <f t="shared" si="291"/>
        <v>0</v>
      </c>
      <c r="BD432" s="57"/>
      <c r="BE432" s="47">
        <f t="shared" si="292"/>
        <v>0</v>
      </c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7"/>
      <c r="BZ432" s="57"/>
      <c r="CA432" s="57"/>
      <c r="CB432" s="57"/>
      <c r="CC432" s="57"/>
      <c r="CD432" s="57"/>
      <c r="CE432" s="57"/>
      <c r="CF432" s="57"/>
      <c r="CG432" s="57"/>
      <c r="CH432" s="57"/>
      <c r="CI432" s="57"/>
      <c r="CJ432" s="57"/>
      <c r="CK432" s="57"/>
      <c r="CL432" s="57"/>
      <c r="CM432" s="57"/>
      <c r="CN432" s="57"/>
      <c r="CO432" s="57"/>
      <c r="CP432" s="57"/>
      <c r="CQ432" s="57"/>
      <c r="CR432" s="47">
        <f t="shared" si="294"/>
        <v>0</v>
      </c>
      <c r="CS432" s="57"/>
      <c r="CT432" s="57"/>
      <c r="CU432" s="57"/>
      <c r="CV432" s="57"/>
      <c r="CW432" s="47">
        <f t="shared" si="313"/>
        <v>0</v>
      </c>
      <c r="CX432" s="46"/>
      <c r="CY432" s="47">
        <f t="shared" si="314"/>
        <v>0</v>
      </c>
      <c r="CZ432" s="57"/>
      <c r="DA432" s="57"/>
      <c r="DB432" s="57"/>
      <c r="DC432" s="57"/>
      <c r="DD432" s="47">
        <f t="shared" si="315"/>
        <v>0</v>
      </c>
      <c r="DE432" s="57"/>
      <c r="DF432" s="46">
        <f t="shared" si="316"/>
        <v>0</v>
      </c>
      <c r="DG432" s="57"/>
      <c r="DH432" s="57"/>
      <c r="DI432" s="57"/>
      <c r="DJ432" s="57"/>
      <c r="DK432" s="64"/>
      <c r="DL432" s="47">
        <f t="shared" si="317"/>
        <v>0</v>
      </c>
      <c r="DM432" s="57"/>
      <c r="DN432" s="46">
        <f>7.5%*AQ432</f>
        <v>0</v>
      </c>
      <c r="DO432" s="57"/>
      <c r="DP432" s="90">
        <f>DN432</f>
        <v>0</v>
      </c>
      <c r="DQ432" s="57"/>
      <c r="DR432" s="46"/>
      <c r="DS432" s="57"/>
      <c r="DT432" s="46"/>
      <c r="DU432" s="57"/>
      <c r="DV432" s="46">
        <f>DT432/2</f>
        <v>0</v>
      </c>
      <c r="DW432" s="57"/>
      <c r="DX432" s="47">
        <f t="shared" si="320"/>
        <v>0</v>
      </c>
      <c r="DY432" s="57"/>
      <c r="DZ432" s="57"/>
      <c r="EA432" s="57"/>
      <c r="EB432" s="57"/>
      <c r="EC432" s="57"/>
      <c r="ED432" s="57"/>
      <c r="EE432" s="47">
        <f t="shared" si="310"/>
        <v>0</v>
      </c>
      <c r="EF432" s="57"/>
      <c r="EG432" s="57"/>
      <c r="EH432" s="57"/>
      <c r="EI432" s="57"/>
      <c r="EJ432" s="57"/>
      <c r="EK432" s="47">
        <f t="shared" si="304"/>
        <v>0</v>
      </c>
      <c r="EL432" s="46">
        <f t="shared" si="305"/>
        <v>0</v>
      </c>
      <c r="EM432" s="57"/>
      <c r="EN432" s="46">
        <f t="shared" si="306"/>
        <v>0</v>
      </c>
    </row>
    <row r="433" spans="2:145" s="48" customFormat="1" ht="15" customHeight="1" x14ac:dyDescent="0.25">
      <c r="B433" s="128">
        <v>37</v>
      </c>
      <c r="C433" s="42"/>
      <c r="D433" s="43"/>
      <c r="E433" s="42"/>
      <c r="F433" s="42"/>
      <c r="G433" s="42"/>
      <c r="H433" s="42"/>
      <c r="I433" s="42"/>
      <c r="J433" s="42"/>
      <c r="K433" s="42"/>
      <c r="L433" s="42"/>
      <c r="M433" s="42"/>
      <c r="N433" s="41"/>
      <c r="O433" s="41"/>
      <c r="P433" s="42"/>
      <c r="Q433" s="45"/>
      <c r="R433" s="45"/>
      <c r="S433" s="42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7">
        <f t="shared" si="283"/>
        <v>0</v>
      </c>
      <c r="AO433" s="46">
        <f t="shared" si="284"/>
        <v>0</v>
      </c>
      <c r="AP433" s="46" t="s">
        <v>102</v>
      </c>
      <c r="AQ433" s="46"/>
      <c r="AR433" s="46"/>
      <c r="AS433" s="46"/>
      <c r="AT433" s="46"/>
      <c r="AU433" s="47">
        <f t="shared" si="290"/>
        <v>0</v>
      </c>
      <c r="AV433" s="46"/>
      <c r="AW433" s="47">
        <f t="shared" si="325"/>
        <v>0</v>
      </c>
      <c r="AX433" s="46"/>
      <c r="AY433" s="46"/>
      <c r="AZ433" s="46"/>
      <c r="BA433" s="46"/>
      <c r="BB433" s="46"/>
      <c r="BC433" s="47">
        <f t="shared" si="291"/>
        <v>0</v>
      </c>
      <c r="BD433" s="46"/>
      <c r="BE433" s="47">
        <f t="shared" si="292"/>
        <v>0</v>
      </c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  <c r="CK433" s="46"/>
      <c r="CL433" s="46"/>
      <c r="CM433" s="46"/>
      <c r="CN433" s="46"/>
      <c r="CO433" s="46"/>
      <c r="CP433" s="47">
        <f>CN433*CO433</f>
        <v>0</v>
      </c>
      <c r="CQ433" s="46"/>
      <c r="CR433" s="47">
        <f t="shared" si="294"/>
        <v>0</v>
      </c>
      <c r="CS433" s="46"/>
      <c r="CT433" s="46"/>
      <c r="CU433" s="46"/>
      <c r="CV433" s="46"/>
      <c r="CW433" s="47">
        <f t="shared" si="313"/>
        <v>0</v>
      </c>
      <c r="CX433" s="46"/>
      <c r="CY433" s="47">
        <f t="shared" si="314"/>
        <v>0</v>
      </c>
      <c r="CZ433" s="46"/>
      <c r="DA433" s="46"/>
      <c r="DB433" s="46"/>
      <c r="DC433" s="46"/>
      <c r="DD433" s="47">
        <f t="shared" si="315"/>
        <v>0</v>
      </c>
      <c r="DE433" s="46"/>
      <c r="DF433" s="46">
        <f t="shared" si="316"/>
        <v>0</v>
      </c>
      <c r="DG433" s="46"/>
      <c r="DH433" s="46"/>
      <c r="DI433" s="46"/>
      <c r="DJ433" s="46"/>
      <c r="DK433" s="64"/>
      <c r="DL433" s="47"/>
      <c r="DM433" s="46"/>
      <c r="DN433" s="46">
        <f>7.5%*AQ433</f>
        <v>0</v>
      </c>
      <c r="DO433" s="46"/>
      <c r="DP433" s="90"/>
      <c r="DQ433" s="46"/>
      <c r="DR433" s="46"/>
      <c r="DS433" s="46"/>
      <c r="DT433" s="46"/>
      <c r="DU433" s="46"/>
      <c r="DV433" s="46"/>
      <c r="DW433" s="46"/>
      <c r="DX433" s="47"/>
      <c r="DY433" s="46"/>
      <c r="DZ433" s="46"/>
      <c r="EA433" s="46"/>
      <c r="EB433" s="46"/>
      <c r="EC433" s="46"/>
      <c r="ED433" s="46"/>
      <c r="EE433" s="47">
        <f t="shared" si="310"/>
        <v>0</v>
      </c>
      <c r="EF433" s="46"/>
      <c r="EG433" s="46"/>
      <c r="EH433" s="46"/>
      <c r="EI433" s="46"/>
      <c r="EJ433" s="46"/>
      <c r="EK433" s="47">
        <f t="shared" si="304"/>
        <v>0</v>
      </c>
      <c r="EL433" s="46">
        <f t="shared" si="305"/>
        <v>0</v>
      </c>
      <c r="EM433" s="46"/>
      <c r="EN433" s="46">
        <f t="shared" si="306"/>
        <v>0</v>
      </c>
    </row>
    <row r="434" spans="2:145" s="48" customFormat="1" ht="15" customHeight="1" x14ac:dyDescent="0.25">
      <c r="B434" s="128">
        <v>38</v>
      </c>
      <c r="C434" s="49"/>
      <c r="D434" s="43"/>
      <c r="E434" s="42"/>
      <c r="F434" s="42"/>
      <c r="G434" s="42"/>
      <c r="H434" s="42"/>
      <c r="I434" s="42"/>
      <c r="J434" s="42"/>
      <c r="K434" s="42"/>
      <c r="L434" s="42"/>
      <c r="M434" s="42"/>
      <c r="N434" s="41"/>
      <c r="O434" s="41"/>
      <c r="P434" s="42"/>
      <c r="Q434" s="45"/>
      <c r="R434" s="45"/>
      <c r="S434" s="42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7">
        <f t="shared" si="283"/>
        <v>0</v>
      </c>
      <c r="AO434" s="46">
        <f t="shared" si="284"/>
        <v>0</v>
      </c>
      <c r="AP434" s="46" t="s">
        <v>102</v>
      </c>
      <c r="AQ434" s="46"/>
      <c r="AR434" s="46"/>
      <c r="AS434" s="46"/>
      <c r="AT434" s="46"/>
      <c r="AU434" s="47">
        <f t="shared" si="290"/>
        <v>0</v>
      </c>
      <c r="AV434" s="46"/>
      <c r="AW434" s="47">
        <f t="shared" si="325"/>
        <v>0</v>
      </c>
      <c r="AX434" s="46"/>
      <c r="AY434" s="46"/>
      <c r="AZ434" s="46"/>
      <c r="BA434" s="46"/>
      <c r="BB434" s="46"/>
      <c r="BC434" s="47">
        <f t="shared" si="291"/>
        <v>0</v>
      </c>
      <c r="BD434" s="46"/>
      <c r="BE434" s="47">
        <f t="shared" si="292"/>
        <v>0</v>
      </c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  <c r="CK434" s="46"/>
      <c r="CL434" s="46"/>
      <c r="CM434" s="46"/>
      <c r="CN434" s="46"/>
      <c r="CO434" s="46"/>
      <c r="CP434" s="47">
        <f>CN434*CO434</f>
        <v>0</v>
      </c>
      <c r="CQ434" s="46"/>
      <c r="CR434" s="47">
        <f t="shared" si="294"/>
        <v>0</v>
      </c>
      <c r="CS434" s="46"/>
      <c r="CT434" s="46"/>
      <c r="CU434" s="46"/>
      <c r="CV434" s="46"/>
      <c r="CW434" s="47">
        <f t="shared" si="313"/>
        <v>0</v>
      </c>
      <c r="CX434" s="46"/>
      <c r="CY434" s="47">
        <f t="shared" si="314"/>
        <v>0</v>
      </c>
      <c r="CZ434" s="46"/>
      <c r="DA434" s="46"/>
      <c r="DB434" s="46"/>
      <c r="DC434" s="46"/>
      <c r="DD434" s="47">
        <f t="shared" si="315"/>
        <v>0</v>
      </c>
      <c r="DE434" s="46"/>
      <c r="DF434" s="46">
        <f t="shared" si="316"/>
        <v>0</v>
      </c>
      <c r="DG434" s="46"/>
      <c r="DH434" s="46"/>
      <c r="DI434" s="46"/>
      <c r="DJ434" s="46"/>
      <c r="DK434" s="64"/>
      <c r="DL434" s="47">
        <f>+DH434+DK434</f>
        <v>0</v>
      </c>
      <c r="DM434" s="46"/>
      <c r="DN434" s="46"/>
      <c r="DO434" s="46"/>
      <c r="DP434" s="90"/>
      <c r="DQ434" s="46"/>
      <c r="DR434" s="46"/>
      <c r="DS434" s="46"/>
      <c r="DT434" s="46"/>
      <c r="DU434" s="46"/>
      <c r="DV434" s="46">
        <f>DT434/2</f>
        <v>0</v>
      </c>
      <c r="DW434" s="46"/>
      <c r="DX434" s="47">
        <f>+DN434+DP434+DR434+DT434+DV434</f>
        <v>0</v>
      </c>
      <c r="DY434" s="46"/>
      <c r="DZ434" s="46"/>
      <c r="EA434" s="46"/>
      <c r="EB434" s="46"/>
      <c r="EC434" s="46"/>
      <c r="ED434" s="46"/>
      <c r="EE434" s="47">
        <f t="shared" si="310"/>
        <v>0</v>
      </c>
      <c r="EF434" s="46"/>
      <c r="EG434" s="46"/>
      <c r="EH434" s="46"/>
      <c r="EI434" s="46"/>
      <c r="EJ434" s="46"/>
      <c r="EK434" s="47">
        <f t="shared" si="304"/>
        <v>0</v>
      </c>
      <c r="EL434" s="46">
        <f t="shared" si="305"/>
        <v>0</v>
      </c>
      <c r="EM434" s="46"/>
      <c r="EN434" s="46">
        <f t="shared" si="306"/>
        <v>0</v>
      </c>
    </row>
    <row r="435" spans="2:145" s="48" customFormat="1" ht="15" customHeight="1" x14ac:dyDescent="0.25">
      <c r="B435" s="128">
        <v>39</v>
      </c>
      <c r="C435" s="99"/>
      <c r="D435" s="100"/>
      <c r="E435" s="99"/>
      <c r="F435" s="99"/>
      <c r="G435" s="99"/>
      <c r="H435" s="99"/>
      <c r="I435" s="99"/>
      <c r="J435" s="99"/>
      <c r="K435" s="99"/>
      <c r="L435" s="99"/>
      <c r="M435" s="99"/>
      <c r="N435" s="101"/>
      <c r="O435" s="101"/>
      <c r="P435" s="99"/>
      <c r="Q435" s="102"/>
      <c r="R435" s="102"/>
      <c r="S435" s="99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47">
        <f t="shared" si="283"/>
        <v>0</v>
      </c>
      <c r="AO435" s="46">
        <f t="shared" si="284"/>
        <v>0</v>
      </c>
      <c r="AP435" s="57" t="s">
        <v>102</v>
      </c>
      <c r="AQ435" s="46"/>
      <c r="AR435" s="57"/>
      <c r="AS435" s="57"/>
      <c r="AT435" s="57"/>
      <c r="AU435" s="47">
        <f t="shared" si="290"/>
        <v>0</v>
      </c>
      <c r="AV435" s="57"/>
      <c r="AW435" s="47">
        <f t="shared" si="325"/>
        <v>0</v>
      </c>
      <c r="AX435" s="57"/>
      <c r="AY435" s="57"/>
      <c r="AZ435" s="57"/>
      <c r="BA435" s="57"/>
      <c r="BB435" s="57"/>
      <c r="BC435" s="47">
        <f t="shared" si="291"/>
        <v>0</v>
      </c>
      <c r="BD435" s="57"/>
      <c r="BE435" s="47">
        <f t="shared" si="292"/>
        <v>0</v>
      </c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7"/>
      <c r="BZ435" s="57"/>
      <c r="CA435" s="57"/>
      <c r="CB435" s="57"/>
      <c r="CC435" s="57"/>
      <c r="CD435" s="57"/>
      <c r="CE435" s="57"/>
      <c r="CF435" s="57"/>
      <c r="CG435" s="57"/>
      <c r="CH435" s="57"/>
      <c r="CI435" s="57"/>
      <c r="CJ435" s="57"/>
      <c r="CK435" s="57"/>
      <c r="CL435" s="57"/>
      <c r="CM435" s="57"/>
      <c r="CN435" s="57"/>
      <c r="CO435" s="57"/>
      <c r="CP435" s="47">
        <f>CN435*CO435</f>
        <v>0</v>
      </c>
      <c r="CQ435" s="57"/>
      <c r="CR435" s="47">
        <f t="shared" si="294"/>
        <v>0</v>
      </c>
      <c r="CS435" s="57"/>
      <c r="CT435" s="57"/>
      <c r="CU435" s="57"/>
      <c r="CV435" s="57"/>
      <c r="CW435" s="47">
        <f t="shared" si="313"/>
        <v>0</v>
      </c>
      <c r="CX435" s="46"/>
      <c r="CY435" s="47">
        <f t="shared" si="314"/>
        <v>0</v>
      </c>
      <c r="CZ435" s="57"/>
      <c r="DA435" s="57"/>
      <c r="DB435" s="57"/>
      <c r="DC435" s="57"/>
      <c r="DD435" s="47">
        <f t="shared" si="315"/>
        <v>0</v>
      </c>
      <c r="DE435" s="57"/>
      <c r="DF435" s="46">
        <f t="shared" si="316"/>
        <v>0</v>
      </c>
      <c r="DG435" s="57"/>
      <c r="DH435" s="57"/>
      <c r="DI435" s="57"/>
      <c r="DJ435" s="57"/>
      <c r="DK435" s="64"/>
      <c r="DL435" s="47">
        <f>+DH435+DK435</f>
        <v>0</v>
      </c>
      <c r="DM435" s="57"/>
      <c r="DN435" s="46">
        <f>7.5%*AQ435</f>
        <v>0</v>
      </c>
      <c r="DO435" s="57"/>
      <c r="DP435" s="90">
        <f>DN435</f>
        <v>0</v>
      </c>
      <c r="DQ435" s="57"/>
      <c r="DR435" s="46"/>
      <c r="DS435" s="57"/>
      <c r="DT435" s="46"/>
      <c r="DU435" s="57"/>
      <c r="DV435" s="46">
        <f>DT435/2</f>
        <v>0</v>
      </c>
      <c r="DW435" s="57"/>
      <c r="DX435" s="47">
        <f>+DN435+DP435+DR435+DT435+DV435</f>
        <v>0</v>
      </c>
      <c r="DY435" s="57"/>
      <c r="DZ435" s="57"/>
      <c r="EA435" s="57"/>
      <c r="EB435" s="57"/>
      <c r="EC435" s="57"/>
      <c r="ED435" s="57"/>
      <c r="EE435" s="47">
        <f t="shared" si="310"/>
        <v>0</v>
      </c>
      <c r="EF435" s="57"/>
      <c r="EG435" s="57"/>
      <c r="EH435" s="57"/>
      <c r="EI435" s="57"/>
      <c r="EJ435" s="57"/>
      <c r="EK435" s="47">
        <f t="shared" si="304"/>
        <v>0</v>
      </c>
      <c r="EL435" s="46">
        <f t="shared" si="305"/>
        <v>0</v>
      </c>
      <c r="EM435" s="57"/>
      <c r="EN435" s="46">
        <f t="shared" si="306"/>
        <v>0</v>
      </c>
    </row>
    <row r="436" spans="2:145" s="48" customFormat="1" ht="15" customHeight="1" x14ac:dyDescent="0.25">
      <c r="B436" s="128">
        <v>41</v>
      </c>
      <c r="C436" s="42"/>
      <c r="D436" s="43"/>
      <c r="E436" s="42"/>
      <c r="F436" s="42"/>
      <c r="G436" s="42"/>
      <c r="H436" s="42"/>
      <c r="I436" s="42"/>
      <c r="J436" s="42"/>
      <c r="K436" s="42"/>
      <c r="L436" s="42"/>
      <c r="M436" s="42"/>
      <c r="N436" s="41"/>
      <c r="O436" s="41"/>
      <c r="P436" s="42"/>
      <c r="Q436" s="45"/>
      <c r="R436" s="45"/>
      <c r="S436" s="42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7">
        <f t="shared" si="283"/>
        <v>0</v>
      </c>
      <c r="AO436" s="46">
        <f t="shared" si="284"/>
        <v>0</v>
      </c>
      <c r="AP436" s="46" t="s">
        <v>102</v>
      </c>
      <c r="AQ436" s="46"/>
      <c r="AR436" s="46"/>
      <c r="AS436" s="46"/>
      <c r="AT436" s="46"/>
      <c r="AU436" s="47">
        <f t="shared" si="290"/>
        <v>0</v>
      </c>
      <c r="AV436" s="46"/>
      <c r="AW436" s="47">
        <f t="shared" si="325"/>
        <v>0</v>
      </c>
      <c r="AX436" s="46"/>
      <c r="AY436" s="46"/>
      <c r="AZ436" s="46"/>
      <c r="BA436" s="46"/>
      <c r="BB436" s="46"/>
      <c r="BC436" s="47">
        <f t="shared" si="291"/>
        <v>0</v>
      </c>
      <c r="BD436" s="46"/>
      <c r="BE436" s="47">
        <f t="shared" si="292"/>
        <v>0</v>
      </c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  <c r="CK436" s="46"/>
      <c r="CL436" s="46"/>
      <c r="CM436" s="46"/>
      <c r="CN436" s="46"/>
      <c r="CO436" s="46"/>
      <c r="CP436" s="47">
        <f>CN436*CO436</f>
        <v>0</v>
      </c>
      <c r="CQ436" s="46"/>
      <c r="CR436" s="47">
        <f t="shared" si="294"/>
        <v>0</v>
      </c>
      <c r="CS436" s="46"/>
      <c r="CT436" s="46"/>
      <c r="CU436" s="46"/>
      <c r="CV436" s="46"/>
      <c r="CW436" s="47">
        <f t="shared" si="313"/>
        <v>0</v>
      </c>
      <c r="CX436" s="46"/>
      <c r="CY436" s="47">
        <f t="shared" si="314"/>
        <v>0</v>
      </c>
      <c r="CZ436" s="46"/>
      <c r="DA436" s="46"/>
      <c r="DB436" s="46"/>
      <c r="DC436" s="46"/>
      <c r="DD436" s="47">
        <f t="shared" si="315"/>
        <v>0</v>
      </c>
      <c r="DE436" s="46"/>
      <c r="DF436" s="46">
        <f t="shared" si="316"/>
        <v>0</v>
      </c>
      <c r="DG436" s="46"/>
      <c r="DH436" s="46"/>
      <c r="DI436" s="46"/>
      <c r="DJ436" s="46"/>
      <c r="DK436" s="64"/>
      <c r="DL436" s="47"/>
      <c r="DM436" s="46"/>
      <c r="DN436" s="46">
        <f>7.5%*AQ436</f>
        <v>0</v>
      </c>
      <c r="DO436" s="46"/>
      <c r="DP436" s="90"/>
      <c r="DQ436" s="46"/>
      <c r="DR436" s="46"/>
      <c r="DS436" s="46"/>
      <c r="DT436" s="46"/>
      <c r="DU436" s="46"/>
      <c r="DV436" s="46"/>
      <c r="DW436" s="46"/>
      <c r="DX436" s="47"/>
      <c r="DY436" s="46"/>
      <c r="DZ436" s="46"/>
      <c r="EA436" s="46"/>
      <c r="EB436" s="46"/>
      <c r="EC436" s="46"/>
      <c r="ED436" s="46"/>
      <c r="EE436" s="47">
        <f t="shared" si="310"/>
        <v>0</v>
      </c>
      <c r="EF436" s="46"/>
      <c r="EG436" s="46"/>
      <c r="EH436" s="46"/>
      <c r="EI436" s="46"/>
      <c r="EJ436" s="46"/>
      <c r="EK436" s="47">
        <f t="shared" si="304"/>
        <v>0</v>
      </c>
      <c r="EL436" s="46">
        <f t="shared" si="305"/>
        <v>0</v>
      </c>
      <c r="EM436" s="46"/>
      <c r="EN436" s="46">
        <f t="shared" si="306"/>
        <v>0</v>
      </c>
    </row>
    <row r="437" spans="2:145" s="48" customFormat="1" ht="15" customHeight="1" x14ac:dyDescent="0.25">
      <c r="B437" s="128">
        <v>42</v>
      </c>
      <c r="C437" s="42"/>
      <c r="D437" s="43"/>
      <c r="E437" s="42"/>
      <c r="F437" s="42"/>
      <c r="G437" s="42"/>
      <c r="H437" s="42"/>
      <c r="I437" s="42"/>
      <c r="J437" s="42"/>
      <c r="K437" s="42"/>
      <c r="L437" s="42"/>
      <c r="M437" s="42"/>
      <c r="N437" s="41"/>
      <c r="O437" s="41"/>
      <c r="P437" s="42"/>
      <c r="Q437" s="45"/>
      <c r="R437" s="45"/>
      <c r="S437" s="42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7">
        <f t="shared" si="283"/>
        <v>0</v>
      </c>
      <c r="AO437" s="46">
        <f t="shared" si="284"/>
        <v>0</v>
      </c>
      <c r="AP437" s="46" t="s">
        <v>102</v>
      </c>
      <c r="AQ437" s="46"/>
      <c r="AR437" s="46"/>
      <c r="AS437" s="46"/>
      <c r="AT437" s="46"/>
      <c r="AU437" s="47">
        <f t="shared" si="290"/>
        <v>0</v>
      </c>
      <c r="AV437" s="46"/>
      <c r="AW437" s="47">
        <f t="shared" si="325"/>
        <v>0</v>
      </c>
      <c r="AX437" s="46"/>
      <c r="AY437" s="46"/>
      <c r="AZ437" s="46"/>
      <c r="BA437" s="46"/>
      <c r="BB437" s="46"/>
      <c r="BC437" s="47">
        <f t="shared" si="291"/>
        <v>0</v>
      </c>
      <c r="BD437" s="46"/>
      <c r="BE437" s="47">
        <f t="shared" si="292"/>
        <v>0</v>
      </c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  <c r="CK437" s="46"/>
      <c r="CL437" s="46"/>
      <c r="CM437" s="46"/>
      <c r="CN437" s="46"/>
      <c r="CO437" s="46"/>
      <c r="CP437" s="47">
        <f>CN437*CO437</f>
        <v>0</v>
      </c>
      <c r="CQ437" s="46"/>
      <c r="CR437" s="47">
        <f t="shared" si="294"/>
        <v>0</v>
      </c>
      <c r="CS437" s="46"/>
      <c r="CT437" s="46"/>
      <c r="CU437" s="46"/>
      <c r="CV437" s="46"/>
      <c r="CW437" s="47"/>
      <c r="CX437" s="46"/>
      <c r="CY437" s="47">
        <f t="shared" si="314"/>
        <v>0</v>
      </c>
      <c r="CZ437" s="46"/>
      <c r="DA437" s="46"/>
      <c r="DB437" s="46"/>
      <c r="DC437" s="46"/>
      <c r="DD437" s="47">
        <f t="shared" si="315"/>
        <v>0</v>
      </c>
      <c r="DE437" s="46"/>
      <c r="DF437" s="46">
        <f t="shared" si="316"/>
        <v>0</v>
      </c>
      <c r="DG437" s="46"/>
      <c r="DH437" s="46"/>
      <c r="DI437" s="46"/>
      <c r="DJ437" s="46"/>
      <c r="DK437" s="64"/>
      <c r="DL437" s="47">
        <f t="shared" ref="DL437:DL464" si="326">+DH437+DK437</f>
        <v>0</v>
      </c>
      <c r="DM437" s="46"/>
      <c r="DN437" s="46"/>
      <c r="DO437" s="46"/>
      <c r="DP437" s="90">
        <f t="shared" ref="DP437:DP464" si="327">DN437</f>
        <v>0</v>
      </c>
      <c r="DQ437" s="46"/>
      <c r="DR437" s="46"/>
      <c r="DS437" s="46"/>
      <c r="DT437" s="46"/>
      <c r="DU437" s="46"/>
      <c r="DV437" s="46">
        <f t="shared" ref="DV437:DV464" si="328">DT437/2</f>
        <v>0</v>
      </c>
      <c r="DW437" s="46"/>
      <c r="DX437" s="47">
        <f t="shared" ref="DX437:DX500" si="329">+DN437+DP437+DR437+DT437+DV437</f>
        <v>0</v>
      </c>
      <c r="DY437" s="46"/>
      <c r="DZ437" s="46"/>
      <c r="EA437" s="46"/>
      <c r="EB437" s="46"/>
      <c r="EC437" s="46"/>
      <c r="ED437" s="46"/>
      <c r="EE437" s="47">
        <f t="shared" si="310"/>
        <v>0</v>
      </c>
      <c r="EF437" s="46"/>
      <c r="EG437" s="46"/>
      <c r="EH437" s="46"/>
      <c r="EI437" s="46"/>
      <c r="EJ437" s="46"/>
      <c r="EK437" s="47">
        <f t="shared" si="304"/>
        <v>0</v>
      </c>
      <c r="EL437" s="46">
        <f t="shared" si="305"/>
        <v>0</v>
      </c>
      <c r="EM437" s="46"/>
      <c r="EN437" s="46">
        <f t="shared" si="306"/>
        <v>0</v>
      </c>
    </row>
    <row r="438" spans="2:145" s="42" customFormat="1" ht="15" customHeight="1" x14ac:dyDescent="0.25">
      <c r="B438" s="128">
        <v>43</v>
      </c>
      <c r="D438" s="43"/>
      <c r="N438" s="131"/>
      <c r="O438" s="131"/>
      <c r="Q438" s="45"/>
      <c r="R438" s="45"/>
      <c r="S438" s="44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7">
        <f t="shared" si="283"/>
        <v>0</v>
      </c>
      <c r="AO438" s="46">
        <f t="shared" si="284"/>
        <v>0</v>
      </c>
      <c r="AP438" s="46" t="s">
        <v>102</v>
      </c>
      <c r="AQ438" s="46"/>
      <c r="AR438" s="46"/>
      <c r="AS438" s="46"/>
      <c r="AT438" s="46"/>
      <c r="AU438" s="47">
        <f t="shared" si="290"/>
        <v>0</v>
      </c>
      <c r="AV438" s="46"/>
      <c r="AW438" s="47">
        <f t="shared" si="325"/>
        <v>0</v>
      </c>
      <c r="AX438" s="46"/>
      <c r="AY438" s="46"/>
      <c r="AZ438" s="46"/>
      <c r="BA438" s="46"/>
      <c r="BB438" s="46"/>
      <c r="BC438" s="47">
        <f t="shared" si="291"/>
        <v>0</v>
      </c>
      <c r="BD438" s="46"/>
      <c r="BE438" s="47">
        <f t="shared" si="292"/>
        <v>0</v>
      </c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  <c r="CK438" s="46"/>
      <c r="CL438" s="46"/>
      <c r="CM438" s="46"/>
      <c r="CN438" s="46"/>
      <c r="CO438" s="46"/>
      <c r="CP438" s="57"/>
      <c r="CQ438" s="46"/>
      <c r="CR438" s="47">
        <f t="shared" si="294"/>
        <v>0</v>
      </c>
      <c r="CS438" s="46"/>
      <c r="CT438" s="46"/>
      <c r="CU438" s="46"/>
      <c r="CV438" s="46"/>
      <c r="CW438" s="47">
        <f t="shared" ref="CW438:CW464" si="330">CU438*CV438</f>
        <v>0</v>
      </c>
      <c r="CX438" s="46"/>
      <c r="CY438" s="47">
        <f t="shared" si="314"/>
        <v>0</v>
      </c>
      <c r="CZ438" s="46"/>
      <c r="DA438" s="46"/>
      <c r="DB438" s="46"/>
      <c r="DC438" s="46"/>
      <c r="DD438" s="47">
        <f t="shared" si="315"/>
        <v>0</v>
      </c>
      <c r="DE438" s="46"/>
      <c r="DF438" s="46">
        <f t="shared" si="316"/>
        <v>0</v>
      </c>
      <c r="DG438" s="46"/>
      <c r="DH438" s="46"/>
      <c r="DI438" s="46"/>
      <c r="DJ438" s="46"/>
      <c r="DK438" s="64"/>
      <c r="DL438" s="47">
        <f t="shared" si="326"/>
        <v>0</v>
      </c>
      <c r="DM438" s="46"/>
      <c r="DN438" s="46">
        <f>7.5%*AQ438</f>
        <v>0</v>
      </c>
      <c r="DO438" s="46"/>
      <c r="DP438" s="90">
        <f t="shared" si="327"/>
        <v>0</v>
      </c>
      <c r="DQ438" s="46"/>
      <c r="DR438" s="46">
        <f t="shared" ref="DR438:DR464" si="331">DP438</f>
        <v>0</v>
      </c>
      <c r="DS438" s="46"/>
      <c r="DT438" s="46">
        <f t="shared" ref="DT438:DT464" si="332">75%*DR438</f>
        <v>0</v>
      </c>
      <c r="DU438" s="46"/>
      <c r="DV438" s="46">
        <f t="shared" si="328"/>
        <v>0</v>
      </c>
      <c r="DW438" s="46"/>
      <c r="DX438" s="47">
        <f t="shared" si="329"/>
        <v>0</v>
      </c>
      <c r="DY438" s="46"/>
      <c r="DZ438" s="46"/>
      <c r="EA438" s="46"/>
      <c r="EB438" s="46"/>
      <c r="EC438" s="46"/>
      <c r="ED438" s="46"/>
      <c r="EE438" s="47">
        <f t="shared" si="310"/>
        <v>0</v>
      </c>
      <c r="EF438" s="46"/>
      <c r="EG438" s="46"/>
      <c r="EH438" s="46"/>
      <c r="EI438" s="46"/>
      <c r="EJ438" s="46"/>
      <c r="EK438" s="47">
        <f t="shared" si="304"/>
        <v>0</v>
      </c>
      <c r="EL438" s="46">
        <f t="shared" si="305"/>
        <v>0</v>
      </c>
      <c r="EM438" s="46"/>
      <c r="EN438" s="46">
        <f t="shared" si="306"/>
        <v>0</v>
      </c>
    </row>
    <row r="439" spans="2:145" s="48" customFormat="1" ht="15" customHeight="1" x14ac:dyDescent="0.25">
      <c r="B439" s="128">
        <v>44</v>
      </c>
      <c r="C439" s="132"/>
      <c r="D439" s="133"/>
      <c r="E439" s="42"/>
      <c r="F439" s="132"/>
      <c r="G439" s="132"/>
      <c r="H439" s="132"/>
      <c r="I439" s="132"/>
      <c r="J439" s="132"/>
      <c r="K439" s="132"/>
      <c r="L439" s="132"/>
      <c r="M439" s="132"/>
      <c r="N439" s="134"/>
      <c r="O439" s="134"/>
      <c r="P439" s="132"/>
      <c r="Q439" s="135"/>
      <c r="R439" s="135"/>
      <c r="S439" s="132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47">
        <f t="shared" si="283"/>
        <v>0</v>
      </c>
      <c r="AO439" s="46">
        <f t="shared" si="284"/>
        <v>0</v>
      </c>
      <c r="AP439" s="136" t="s">
        <v>113</v>
      </c>
      <c r="AQ439" s="46"/>
      <c r="AR439" s="136"/>
      <c r="AS439" s="136"/>
      <c r="AT439" s="136"/>
      <c r="AU439" s="47">
        <f t="shared" si="290"/>
        <v>0</v>
      </c>
      <c r="AV439" s="136"/>
      <c r="AW439" s="47">
        <f t="shared" si="325"/>
        <v>0</v>
      </c>
      <c r="AX439" s="136"/>
      <c r="AY439" s="136"/>
      <c r="AZ439" s="136"/>
      <c r="BA439" s="136"/>
      <c r="BB439" s="136"/>
      <c r="BC439" s="47">
        <f t="shared" si="291"/>
        <v>0</v>
      </c>
      <c r="BD439" s="136"/>
      <c r="BE439" s="47">
        <f t="shared" si="292"/>
        <v>0</v>
      </c>
      <c r="BF439" s="136"/>
      <c r="BG439" s="136"/>
      <c r="BH439" s="136"/>
      <c r="BI439" s="136"/>
      <c r="BJ439" s="136"/>
      <c r="BK439" s="136"/>
      <c r="BL439" s="136"/>
      <c r="BM439" s="136"/>
      <c r="BN439" s="136"/>
      <c r="BO439" s="136"/>
      <c r="BP439" s="136"/>
      <c r="BQ439" s="136"/>
      <c r="BR439" s="136"/>
      <c r="BS439" s="136"/>
      <c r="BT439" s="136"/>
      <c r="BU439" s="136"/>
      <c r="BV439" s="136"/>
      <c r="BW439" s="136"/>
      <c r="BX439" s="136"/>
      <c r="BY439" s="136"/>
      <c r="BZ439" s="136"/>
      <c r="CA439" s="136"/>
      <c r="CB439" s="136"/>
      <c r="CC439" s="136"/>
      <c r="CD439" s="136"/>
      <c r="CE439" s="136"/>
      <c r="CF439" s="136"/>
      <c r="CG439" s="136"/>
      <c r="CH439" s="136"/>
      <c r="CI439" s="136"/>
      <c r="CJ439" s="136"/>
      <c r="CK439" s="136"/>
      <c r="CL439" s="136"/>
      <c r="CM439" s="136"/>
      <c r="CN439" s="136"/>
      <c r="CO439" s="136"/>
      <c r="CP439" s="57">
        <f t="shared" ref="CP439:CP464" si="333">CN439*CO439</f>
        <v>0</v>
      </c>
      <c r="CQ439" s="136"/>
      <c r="CR439" s="47">
        <f t="shared" si="294"/>
        <v>0</v>
      </c>
      <c r="CS439" s="136"/>
      <c r="CT439" s="136"/>
      <c r="CU439" s="136"/>
      <c r="CV439" s="136"/>
      <c r="CW439" s="47">
        <f t="shared" si="330"/>
        <v>0</v>
      </c>
      <c r="CX439" s="46"/>
      <c r="CY439" s="47">
        <f t="shared" si="314"/>
        <v>0</v>
      </c>
      <c r="CZ439" s="136"/>
      <c r="DA439" s="136"/>
      <c r="DB439" s="136"/>
      <c r="DC439" s="136"/>
      <c r="DD439" s="47">
        <f t="shared" si="315"/>
        <v>0</v>
      </c>
      <c r="DE439" s="136"/>
      <c r="DF439" s="46">
        <f t="shared" si="316"/>
        <v>0</v>
      </c>
      <c r="DG439" s="136"/>
      <c r="DH439" s="136"/>
      <c r="DI439" s="136"/>
      <c r="DJ439" s="136"/>
      <c r="DK439" s="64"/>
      <c r="DL439" s="47">
        <f t="shared" si="326"/>
        <v>0</v>
      </c>
      <c r="DM439" s="136"/>
      <c r="DN439" s="46"/>
      <c r="DO439" s="136"/>
      <c r="DP439" s="90">
        <f t="shared" si="327"/>
        <v>0</v>
      </c>
      <c r="DQ439" s="136"/>
      <c r="DR439" s="46">
        <f t="shared" si="331"/>
        <v>0</v>
      </c>
      <c r="DS439" s="136"/>
      <c r="DT439" s="46">
        <f t="shared" si="332"/>
        <v>0</v>
      </c>
      <c r="DU439" s="136"/>
      <c r="DV439" s="46">
        <f t="shared" si="328"/>
        <v>0</v>
      </c>
      <c r="DW439" s="136"/>
      <c r="DX439" s="47">
        <f t="shared" si="329"/>
        <v>0</v>
      </c>
      <c r="DY439" s="136"/>
      <c r="DZ439" s="136"/>
      <c r="EA439" s="136"/>
      <c r="EB439" s="136"/>
      <c r="EC439" s="136"/>
      <c r="ED439" s="136"/>
      <c r="EE439" s="47">
        <f t="shared" si="310"/>
        <v>0</v>
      </c>
      <c r="EF439" s="136"/>
      <c r="EG439" s="136"/>
      <c r="EH439" s="136"/>
      <c r="EI439" s="136"/>
      <c r="EJ439" s="136"/>
      <c r="EK439" s="47">
        <f t="shared" si="304"/>
        <v>0</v>
      </c>
      <c r="EL439" s="46">
        <f t="shared" si="305"/>
        <v>0</v>
      </c>
      <c r="EM439" s="136"/>
      <c r="EN439" s="46">
        <f t="shared" si="306"/>
        <v>0</v>
      </c>
    </row>
    <row r="440" spans="2:145" s="48" customFormat="1" ht="15" customHeight="1" x14ac:dyDescent="0.25">
      <c r="B440" s="128">
        <v>45</v>
      </c>
      <c r="C440" s="99"/>
      <c r="D440" s="100"/>
      <c r="E440" s="42"/>
      <c r="F440" s="99"/>
      <c r="G440" s="99"/>
      <c r="H440" s="99"/>
      <c r="I440" s="99"/>
      <c r="J440" s="99"/>
      <c r="K440" s="99"/>
      <c r="L440" s="99"/>
      <c r="M440" s="99"/>
      <c r="N440" s="101"/>
      <c r="O440" s="101"/>
      <c r="P440" s="99"/>
      <c r="Q440" s="102"/>
      <c r="R440" s="102"/>
      <c r="S440" s="99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47">
        <f t="shared" si="283"/>
        <v>0</v>
      </c>
      <c r="AO440" s="46">
        <f t="shared" si="284"/>
        <v>0</v>
      </c>
      <c r="AP440" s="57" t="s">
        <v>102</v>
      </c>
      <c r="AQ440" s="46"/>
      <c r="AR440" s="57"/>
      <c r="AS440" s="57"/>
      <c r="AT440" s="57"/>
      <c r="AU440" s="47">
        <f t="shared" si="290"/>
        <v>0</v>
      </c>
      <c r="AV440" s="57"/>
      <c r="AW440" s="47">
        <f t="shared" si="325"/>
        <v>0</v>
      </c>
      <c r="AX440" s="57"/>
      <c r="AY440" s="57"/>
      <c r="AZ440" s="57"/>
      <c r="BA440" s="57"/>
      <c r="BB440" s="57"/>
      <c r="BC440" s="47">
        <f t="shared" si="291"/>
        <v>0</v>
      </c>
      <c r="BD440" s="57"/>
      <c r="BE440" s="47">
        <f t="shared" si="292"/>
        <v>0</v>
      </c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7"/>
      <c r="BZ440" s="57"/>
      <c r="CA440" s="57"/>
      <c r="CB440" s="57"/>
      <c r="CC440" s="57"/>
      <c r="CD440" s="57"/>
      <c r="CE440" s="57"/>
      <c r="CF440" s="57"/>
      <c r="CG440" s="57"/>
      <c r="CH440" s="57"/>
      <c r="CI440" s="57"/>
      <c r="CJ440" s="57"/>
      <c r="CK440" s="57"/>
      <c r="CL440" s="57"/>
      <c r="CM440" s="57"/>
      <c r="CN440" s="57"/>
      <c r="CO440" s="57"/>
      <c r="CP440" s="57">
        <f t="shared" si="333"/>
        <v>0</v>
      </c>
      <c r="CQ440" s="57"/>
      <c r="CR440" s="47">
        <f t="shared" si="294"/>
        <v>0</v>
      </c>
      <c r="CS440" s="57"/>
      <c r="CT440" s="57"/>
      <c r="CU440" s="57"/>
      <c r="CV440" s="57"/>
      <c r="CW440" s="47">
        <f t="shared" si="330"/>
        <v>0</v>
      </c>
      <c r="CX440" s="46"/>
      <c r="CY440" s="47">
        <f t="shared" si="314"/>
        <v>0</v>
      </c>
      <c r="CZ440" s="57"/>
      <c r="DA440" s="57"/>
      <c r="DB440" s="57"/>
      <c r="DC440" s="57"/>
      <c r="DD440" s="47">
        <f t="shared" si="315"/>
        <v>0</v>
      </c>
      <c r="DE440" s="57"/>
      <c r="DF440" s="46">
        <f t="shared" si="316"/>
        <v>0</v>
      </c>
      <c r="DG440" s="57"/>
      <c r="DH440" s="57"/>
      <c r="DI440" s="57"/>
      <c r="DJ440" s="57"/>
      <c r="DK440" s="64"/>
      <c r="DL440" s="47">
        <f t="shared" si="326"/>
        <v>0</v>
      </c>
      <c r="DM440" s="57"/>
      <c r="DN440" s="46">
        <f>7.5%*AQ440</f>
        <v>0</v>
      </c>
      <c r="DO440" s="57"/>
      <c r="DP440" s="90">
        <f t="shared" si="327"/>
        <v>0</v>
      </c>
      <c r="DQ440" s="57"/>
      <c r="DR440" s="46">
        <f t="shared" si="331"/>
        <v>0</v>
      </c>
      <c r="DS440" s="57"/>
      <c r="DT440" s="46">
        <f t="shared" si="332"/>
        <v>0</v>
      </c>
      <c r="DU440" s="57"/>
      <c r="DV440" s="46">
        <f t="shared" si="328"/>
        <v>0</v>
      </c>
      <c r="DW440" s="57"/>
      <c r="DX440" s="47">
        <f t="shared" si="329"/>
        <v>0</v>
      </c>
      <c r="DY440" s="57"/>
      <c r="DZ440" s="57"/>
      <c r="EA440" s="57"/>
      <c r="EB440" s="57"/>
      <c r="EC440" s="57"/>
      <c r="ED440" s="57"/>
      <c r="EE440" s="47">
        <f t="shared" si="310"/>
        <v>0</v>
      </c>
      <c r="EF440" s="57"/>
      <c r="EG440" s="57"/>
      <c r="EH440" s="57"/>
      <c r="EI440" s="57"/>
      <c r="EJ440" s="57"/>
      <c r="EK440" s="47">
        <f t="shared" si="304"/>
        <v>0</v>
      </c>
      <c r="EL440" s="46">
        <f t="shared" si="305"/>
        <v>0</v>
      </c>
      <c r="EM440" s="57"/>
      <c r="EN440" s="46">
        <f t="shared" si="306"/>
        <v>0</v>
      </c>
    </row>
    <row r="441" spans="2:145" s="48" customFormat="1" ht="15" customHeight="1" x14ac:dyDescent="0.25">
      <c r="B441" s="128">
        <v>50</v>
      </c>
      <c r="C441" s="99"/>
      <c r="D441" s="100"/>
      <c r="E441" s="99"/>
      <c r="F441" s="99"/>
      <c r="G441" s="99"/>
      <c r="H441" s="99"/>
      <c r="I441" s="99"/>
      <c r="J441" s="99"/>
      <c r="K441" s="99"/>
      <c r="L441" s="99"/>
      <c r="M441" s="99"/>
      <c r="N441" s="101"/>
      <c r="O441" s="101"/>
      <c r="P441" s="99"/>
      <c r="Q441" s="102"/>
      <c r="R441" s="102"/>
      <c r="S441" s="99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47">
        <f t="shared" si="283"/>
        <v>0</v>
      </c>
      <c r="AO441" s="46">
        <f t="shared" si="284"/>
        <v>0</v>
      </c>
      <c r="AP441" s="57" t="s">
        <v>102</v>
      </c>
      <c r="AQ441" s="46"/>
      <c r="AR441" s="57"/>
      <c r="AS441" s="57"/>
      <c r="AT441" s="57"/>
      <c r="AU441" s="47">
        <f t="shared" si="290"/>
        <v>0</v>
      </c>
      <c r="AV441" s="57"/>
      <c r="AW441" s="47">
        <f t="shared" si="325"/>
        <v>0</v>
      </c>
      <c r="AX441" s="57" t="s">
        <v>133</v>
      </c>
      <c r="AY441" s="57">
        <v>150000</v>
      </c>
      <c r="AZ441" s="57"/>
      <c r="BA441" s="57">
        <v>1</v>
      </c>
      <c r="BB441" s="57">
        <v>25000</v>
      </c>
      <c r="BC441" s="47">
        <f t="shared" si="291"/>
        <v>25000</v>
      </c>
      <c r="BD441" s="57"/>
      <c r="BE441" s="47">
        <f t="shared" si="292"/>
        <v>175000</v>
      </c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  <c r="CD441" s="57"/>
      <c r="CE441" s="57"/>
      <c r="CF441" s="57"/>
      <c r="CG441" s="57"/>
      <c r="CH441" s="57"/>
      <c r="CI441" s="57"/>
      <c r="CJ441" s="57"/>
      <c r="CK441" s="57"/>
      <c r="CL441" s="57"/>
      <c r="CM441" s="57"/>
      <c r="CN441" s="57"/>
      <c r="CO441" s="57"/>
      <c r="CP441" s="57">
        <f t="shared" si="333"/>
        <v>0</v>
      </c>
      <c r="CQ441" s="57"/>
      <c r="CR441" s="47">
        <f t="shared" si="294"/>
        <v>0</v>
      </c>
      <c r="CS441" s="57"/>
      <c r="CT441" s="57"/>
      <c r="CU441" s="57"/>
      <c r="CV441" s="57"/>
      <c r="CW441" s="47">
        <f t="shared" si="330"/>
        <v>0</v>
      </c>
      <c r="CX441" s="46"/>
      <c r="CY441" s="47">
        <f t="shared" si="314"/>
        <v>0</v>
      </c>
      <c r="CZ441" s="57"/>
      <c r="DA441" s="57"/>
      <c r="DB441" s="57"/>
      <c r="DC441" s="57"/>
      <c r="DD441" s="47">
        <f t="shared" si="315"/>
        <v>0</v>
      </c>
      <c r="DE441" s="57"/>
      <c r="DF441" s="46">
        <f t="shared" si="316"/>
        <v>0</v>
      </c>
      <c r="DG441" s="57"/>
      <c r="DH441" s="57"/>
      <c r="DI441" s="57"/>
      <c r="DJ441" s="57"/>
      <c r="DK441" s="47"/>
      <c r="DL441" s="47">
        <f t="shared" si="326"/>
        <v>0</v>
      </c>
      <c r="DM441" s="57"/>
      <c r="DN441" s="46">
        <f>7.5%*AQ441</f>
        <v>0</v>
      </c>
      <c r="DO441" s="57"/>
      <c r="DP441" s="46">
        <f t="shared" si="327"/>
        <v>0</v>
      </c>
      <c r="DQ441" s="57"/>
      <c r="DR441" s="46">
        <f t="shared" si="331"/>
        <v>0</v>
      </c>
      <c r="DS441" s="57"/>
      <c r="DT441" s="46">
        <f t="shared" si="332"/>
        <v>0</v>
      </c>
      <c r="DU441" s="57"/>
      <c r="DV441" s="46">
        <f t="shared" si="328"/>
        <v>0</v>
      </c>
      <c r="DW441" s="57"/>
      <c r="DX441" s="47">
        <f t="shared" si="329"/>
        <v>0</v>
      </c>
      <c r="DY441" s="57"/>
      <c r="DZ441" s="57"/>
      <c r="EA441" s="57"/>
      <c r="EB441" s="57"/>
      <c r="EC441" s="57"/>
      <c r="ED441" s="57"/>
      <c r="EE441" s="47">
        <f t="shared" si="310"/>
        <v>175000</v>
      </c>
      <c r="EF441" s="57"/>
      <c r="EG441" s="57"/>
      <c r="EH441" s="57"/>
      <c r="EI441" s="57"/>
      <c r="EJ441" s="57"/>
      <c r="EK441" s="47">
        <f t="shared" si="304"/>
        <v>0</v>
      </c>
      <c r="EL441" s="46">
        <f t="shared" si="305"/>
        <v>-175000</v>
      </c>
      <c r="EM441" s="57"/>
      <c r="EN441" s="46">
        <f t="shared" si="306"/>
        <v>-175000</v>
      </c>
      <c r="EO441" s="48" t="s">
        <v>117</v>
      </c>
    </row>
    <row r="442" spans="2:145" s="48" customFormat="1" ht="15" customHeight="1" x14ac:dyDescent="0.25">
      <c r="B442" s="128">
        <v>52</v>
      </c>
      <c r="C442" s="99"/>
      <c r="D442" s="100"/>
      <c r="E442" s="99"/>
      <c r="F442" s="99"/>
      <c r="G442" s="99"/>
      <c r="H442" s="99"/>
      <c r="I442" s="99"/>
      <c r="J442" s="99"/>
      <c r="K442" s="99"/>
      <c r="L442" s="99"/>
      <c r="M442" s="99"/>
      <c r="N442" s="101"/>
      <c r="O442" s="101"/>
      <c r="P442" s="99"/>
      <c r="Q442" s="102"/>
      <c r="R442" s="102"/>
      <c r="S442" s="99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47">
        <f t="shared" si="283"/>
        <v>0</v>
      </c>
      <c r="AO442" s="46">
        <f t="shared" si="284"/>
        <v>0</v>
      </c>
      <c r="AP442" s="57" t="s">
        <v>102</v>
      </c>
      <c r="AQ442" s="46"/>
      <c r="AR442" s="57"/>
      <c r="AS442" s="57"/>
      <c r="AT442" s="57"/>
      <c r="AU442" s="47">
        <f t="shared" si="290"/>
        <v>0</v>
      </c>
      <c r="AV442" s="57"/>
      <c r="AW442" s="47">
        <f t="shared" si="325"/>
        <v>0</v>
      </c>
      <c r="AX442" s="57"/>
      <c r="AY442" s="57"/>
      <c r="AZ442" s="57"/>
      <c r="BA442" s="57"/>
      <c r="BB442" s="57"/>
      <c r="BC442" s="47">
        <f t="shared" si="291"/>
        <v>0</v>
      </c>
      <c r="BD442" s="57"/>
      <c r="BE442" s="47">
        <f t="shared" si="292"/>
        <v>0</v>
      </c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7"/>
      <c r="BZ442" s="57"/>
      <c r="CA442" s="57"/>
      <c r="CB442" s="57"/>
      <c r="CC442" s="57"/>
      <c r="CD442" s="57"/>
      <c r="CE442" s="57"/>
      <c r="CF442" s="57"/>
      <c r="CG442" s="57"/>
      <c r="CH442" s="57"/>
      <c r="CI442" s="57"/>
      <c r="CJ442" s="57"/>
      <c r="CK442" s="57"/>
      <c r="CL442" s="57"/>
      <c r="CM442" s="57"/>
      <c r="CN442" s="57"/>
      <c r="CO442" s="57"/>
      <c r="CP442" s="57">
        <f t="shared" si="333"/>
        <v>0</v>
      </c>
      <c r="CQ442" s="57"/>
      <c r="CR442" s="47">
        <f t="shared" si="294"/>
        <v>0</v>
      </c>
      <c r="CS442" s="57"/>
      <c r="CT442" s="57"/>
      <c r="CU442" s="57"/>
      <c r="CV442" s="57"/>
      <c r="CW442" s="47">
        <f t="shared" si="330"/>
        <v>0</v>
      </c>
      <c r="CX442" s="46"/>
      <c r="CY442" s="47">
        <f t="shared" si="314"/>
        <v>0</v>
      </c>
      <c r="CZ442" s="57"/>
      <c r="DA442" s="57"/>
      <c r="DB442" s="57"/>
      <c r="DC442" s="57"/>
      <c r="DD442" s="47">
        <f t="shared" si="315"/>
        <v>0</v>
      </c>
      <c r="DE442" s="57"/>
      <c r="DF442" s="46">
        <f t="shared" si="316"/>
        <v>0</v>
      </c>
      <c r="DG442" s="57"/>
      <c r="DH442" s="57"/>
      <c r="DI442" s="57"/>
      <c r="DJ442" s="57"/>
      <c r="DK442" s="64"/>
      <c r="DL442" s="47">
        <f t="shared" si="326"/>
        <v>0</v>
      </c>
      <c r="DM442" s="57"/>
      <c r="DN442" s="46">
        <f>7.5%*AQ442</f>
        <v>0</v>
      </c>
      <c r="DO442" s="57"/>
      <c r="DP442" s="90">
        <f t="shared" si="327"/>
        <v>0</v>
      </c>
      <c r="DQ442" s="57"/>
      <c r="DR442" s="46">
        <f t="shared" si="331"/>
        <v>0</v>
      </c>
      <c r="DS442" s="57"/>
      <c r="DT442" s="46">
        <f t="shared" si="332"/>
        <v>0</v>
      </c>
      <c r="DU442" s="57"/>
      <c r="DV442" s="46">
        <f t="shared" si="328"/>
        <v>0</v>
      </c>
      <c r="DW442" s="57"/>
      <c r="DX442" s="47">
        <f t="shared" si="329"/>
        <v>0</v>
      </c>
      <c r="DY442" s="57"/>
      <c r="DZ442" s="57"/>
      <c r="EA442" s="57"/>
      <c r="EB442" s="57"/>
      <c r="EC442" s="57"/>
      <c r="ED442" s="57"/>
      <c r="EE442" s="47">
        <f t="shared" si="310"/>
        <v>0</v>
      </c>
      <c r="EF442" s="57"/>
      <c r="EG442" s="57"/>
      <c r="EH442" s="57"/>
      <c r="EI442" s="57"/>
      <c r="EJ442" s="57"/>
      <c r="EK442" s="47">
        <f t="shared" si="304"/>
        <v>0</v>
      </c>
      <c r="EL442" s="46">
        <f t="shared" si="305"/>
        <v>0</v>
      </c>
      <c r="EM442" s="57"/>
      <c r="EN442" s="46">
        <f t="shared" si="306"/>
        <v>0</v>
      </c>
    </row>
    <row r="443" spans="2:145" s="48" customFormat="1" ht="15" customHeight="1" x14ac:dyDescent="0.25">
      <c r="B443" s="128">
        <v>46</v>
      </c>
      <c r="C443" s="99"/>
      <c r="D443" s="100"/>
      <c r="E443" s="99"/>
      <c r="F443" s="99"/>
      <c r="G443" s="99"/>
      <c r="H443" s="99"/>
      <c r="I443" s="99"/>
      <c r="J443" s="99"/>
      <c r="K443" s="99"/>
      <c r="L443" s="99"/>
      <c r="M443" s="99"/>
      <c r="N443" s="101"/>
      <c r="O443" s="101"/>
      <c r="P443" s="99"/>
      <c r="Q443" s="102"/>
      <c r="R443" s="102"/>
      <c r="S443" s="99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47">
        <f t="shared" si="283"/>
        <v>0</v>
      </c>
      <c r="AO443" s="46">
        <f t="shared" si="284"/>
        <v>0</v>
      </c>
      <c r="AP443" s="57" t="s">
        <v>113</v>
      </c>
      <c r="AQ443" s="46"/>
      <c r="AR443" s="57"/>
      <c r="AS443" s="57"/>
      <c r="AT443" s="57"/>
      <c r="AU443" s="47">
        <f t="shared" si="290"/>
        <v>0</v>
      </c>
      <c r="AV443" s="57"/>
      <c r="AW443" s="47">
        <f t="shared" si="325"/>
        <v>0</v>
      </c>
      <c r="AX443" s="57"/>
      <c r="AY443" s="57"/>
      <c r="AZ443" s="57"/>
      <c r="BA443" s="57"/>
      <c r="BB443" s="57"/>
      <c r="BC443" s="47">
        <f t="shared" si="291"/>
        <v>0</v>
      </c>
      <c r="BD443" s="57"/>
      <c r="BE443" s="47">
        <f t="shared" si="292"/>
        <v>0</v>
      </c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  <c r="BV443" s="57"/>
      <c r="BW443" s="57"/>
      <c r="BX443" s="57"/>
      <c r="BY443" s="57"/>
      <c r="BZ443" s="57"/>
      <c r="CA443" s="57"/>
      <c r="CB443" s="57"/>
      <c r="CC443" s="57"/>
      <c r="CD443" s="57"/>
      <c r="CE443" s="57"/>
      <c r="CF443" s="57"/>
      <c r="CG443" s="57"/>
      <c r="CH443" s="57"/>
      <c r="CI443" s="57"/>
      <c r="CJ443" s="57"/>
      <c r="CK443" s="57"/>
      <c r="CL443" s="57"/>
      <c r="CM443" s="57"/>
      <c r="CN443" s="57"/>
      <c r="CO443" s="57"/>
      <c r="CP443" s="57">
        <f t="shared" si="333"/>
        <v>0</v>
      </c>
      <c r="CQ443" s="57"/>
      <c r="CR443" s="47">
        <f t="shared" si="294"/>
        <v>0</v>
      </c>
      <c r="CS443" s="57"/>
      <c r="CT443" s="57"/>
      <c r="CU443" s="57"/>
      <c r="CV443" s="57"/>
      <c r="CW443" s="47">
        <f t="shared" si="330"/>
        <v>0</v>
      </c>
      <c r="CX443" s="46"/>
      <c r="CY443" s="47">
        <f t="shared" si="314"/>
        <v>0</v>
      </c>
      <c r="CZ443" s="57"/>
      <c r="DA443" s="57"/>
      <c r="DB443" s="57"/>
      <c r="DC443" s="57"/>
      <c r="DD443" s="47">
        <f t="shared" si="315"/>
        <v>0</v>
      </c>
      <c r="DE443" s="57"/>
      <c r="DF443" s="46">
        <f t="shared" si="316"/>
        <v>0</v>
      </c>
      <c r="DG443" s="57"/>
      <c r="DH443" s="57"/>
      <c r="DI443" s="57"/>
      <c r="DJ443" s="57"/>
      <c r="DK443" s="64"/>
      <c r="DL443" s="47">
        <f t="shared" si="326"/>
        <v>0</v>
      </c>
      <c r="DM443" s="57"/>
      <c r="DN443" s="46"/>
      <c r="DO443" s="57"/>
      <c r="DP443" s="90">
        <f t="shared" si="327"/>
        <v>0</v>
      </c>
      <c r="DQ443" s="57"/>
      <c r="DR443" s="46">
        <f t="shared" si="331"/>
        <v>0</v>
      </c>
      <c r="DS443" s="57"/>
      <c r="DT443" s="46">
        <f t="shared" si="332"/>
        <v>0</v>
      </c>
      <c r="DU443" s="57"/>
      <c r="DV443" s="46">
        <f t="shared" si="328"/>
        <v>0</v>
      </c>
      <c r="DW443" s="57"/>
      <c r="DX443" s="47">
        <f t="shared" si="329"/>
        <v>0</v>
      </c>
      <c r="DY443" s="57"/>
      <c r="DZ443" s="57"/>
      <c r="EA443" s="57"/>
      <c r="EB443" s="57"/>
      <c r="EC443" s="57"/>
      <c r="ED443" s="57"/>
      <c r="EE443" s="47">
        <f t="shared" si="310"/>
        <v>0</v>
      </c>
      <c r="EF443" s="57"/>
      <c r="EG443" s="57"/>
      <c r="EH443" s="57"/>
      <c r="EI443" s="57"/>
      <c r="EJ443" s="57"/>
      <c r="EK443" s="47">
        <f t="shared" si="304"/>
        <v>0</v>
      </c>
      <c r="EL443" s="46">
        <f t="shared" si="305"/>
        <v>0</v>
      </c>
      <c r="EM443" s="57"/>
      <c r="EN443" s="46">
        <f t="shared" si="306"/>
        <v>0</v>
      </c>
    </row>
    <row r="444" spans="2:145" s="48" customFormat="1" ht="15" customHeight="1" x14ac:dyDescent="0.25">
      <c r="B444" s="128">
        <v>47</v>
      </c>
      <c r="C444" s="99"/>
      <c r="D444" s="100"/>
      <c r="E444" s="99"/>
      <c r="F444" s="99"/>
      <c r="G444" s="99"/>
      <c r="H444" s="99"/>
      <c r="I444" s="99"/>
      <c r="J444" s="99"/>
      <c r="K444" s="99"/>
      <c r="L444" s="99"/>
      <c r="M444" s="99"/>
      <c r="N444" s="101"/>
      <c r="O444" s="101"/>
      <c r="P444" s="99"/>
      <c r="Q444" s="102"/>
      <c r="R444" s="102"/>
      <c r="S444" s="99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47">
        <f t="shared" si="283"/>
        <v>0</v>
      </c>
      <c r="AO444" s="46">
        <f t="shared" si="284"/>
        <v>0</v>
      </c>
      <c r="AP444" s="57" t="s">
        <v>102</v>
      </c>
      <c r="AQ444" s="46"/>
      <c r="AR444" s="57"/>
      <c r="AS444" s="57"/>
      <c r="AT444" s="57"/>
      <c r="AU444" s="47">
        <f t="shared" si="290"/>
        <v>0</v>
      </c>
      <c r="AV444" s="57"/>
      <c r="AW444" s="47">
        <f t="shared" si="325"/>
        <v>0</v>
      </c>
      <c r="AX444" s="57"/>
      <c r="AY444" s="57"/>
      <c r="AZ444" s="57"/>
      <c r="BA444" s="57"/>
      <c r="BB444" s="57"/>
      <c r="BC444" s="47">
        <f t="shared" si="291"/>
        <v>0</v>
      </c>
      <c r="BD444" s="57"/>
      <c r="BE444" s="47">
        <f t="shared" si="292"/>
        <v>0</v>
      </c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7"/>
      <c r="BZ444" s="57"/>
      <c r="CA444" s="57"/>
      <c r="CB444" s="57"/>
      <c r="CC444" s="57"/>
      <c r="CD444" s="57"/>
      <c r="CE444" s="57"/>
      <c r="CF444" s="57"/>
      <c r="CG444" s="57"/>
      <c r="CH444" s="57"/>
      <c r="CI444" s="57"/>
      <c r="CJ444" s="57"/>
      <c r="CK444" s="57"/>
      <c r="CL444" s="57"/>
      <c r="CM444" s="57"/>
      <c r="CN444" s="57"/>
      <c r="CO444" s="57"/>
      <c r="CP444" s="57">
        <f t="shared" si="333"/>
        <v>0</v>
      </c>
      <c r="CQ444" s="57"/>
      <c r="CR444" s="47">
        <f t="shared" si="294"/>
        <v>0</v>
      </c>
      <c r="CS444" s="57"/>
      <c r="CT444" s="57"/>
      <c r="CU444" s="57"/>
      <c r="CV444" s="57"/>
      <c r="CW444" s="47">
        <f t="shared" si="330"/>
        <v>0</v>
      </c>
      <c r="CX444" s="46"/>
      <c r="CY444" s="47">
        <f t="shared" si="314"/>
        <v>0</v>
      </c>
      <c r="CZ444" s="57"/>
      <c r="DA444" s="57"/>
      <c r="DB444" s="57"/>
      <c r="DC444" s="57"/>
      <c r="DD444" s="47">
        <f t="shared" si="315"/>
        <v>0</v>
      </c>
      <c r="DE444" s="57"/>
      <c r="DF444" s="46">
        <f t="shared" si="316"/>
        <v>0</v>
      </c>
      <c r="DG444" s="57"/>
      <c r="DH444" s="57"/>
      <c r="DI444" s="57"/>
      <c r="DJ444" s="57"/>
      <c r="DK444" s="64"/>
      <c r="DL444" s="47">
        <f t="shared" si="326"/>
        <v>0</v>
      </c>
      <c r="DM444" s="57"/>
      <c r="DN444" s="46">
        <f t="shared" ref="DN444:DN464" si="334">7.5%*AQ444</f>
        <v>0</v>
      </c>
      <c r="DO444" s="57"/>
      <c r="DP444" s="90">
        <f t="shared" si="327"/>
        <v>0</v>
      </c>
      <c r="DQ444" s="57"/>
      <c r="DR444" s="46">
        <f t="shared" si="331"/>
        <v>0</v>
      </c>
      <c r="DS444" s="57"/>
      <c r="DT444" s="46">
        <f t="shared" si="332"/>
        <v>0</v>
      </c>
      <c r="DU444" s="57"/>
      <c r="DV444" s="46">
        <f t="shared" si="328"/>
        <v>0</v>
      </c>
      <c r="DW444" s="57"/>
      <c r="DX444" s="47">
        <f t="shared" si="329"/>
        <v>0</v>
      </c>
      <c r="DY444" s="57"/>
      <c r="DZ444" s="57"/>
      <c r="EA444" s="57"/>
      <c r="EB444" s="57"/>
      <c r="EC444" s="57"/>
      <c r="ED444" s="57"/>
      <c r="EE444" s="47">
        <f t="shared" si="310"/>
        <v>0</v>
      </c>
      <c r="EF444" s="57"/>
      <c r="EG444" s="57"/>
      <c r="EH444" s="57"/>
      <c r="EI444" s="57"/>
      <c r="EJ444" s="57"/>
      <c r="EK444" s="47">
        <f t="shared" si="304"/>
        <v>0</v>
      </c>
      <c r="EL444" s="46">
        <f t="shared" si="305"/>
        <v>0</v>
      </c>
      <c r="EM444" s="57"/>
      <c r="EN444" s="46">
        <f t="shared" si="306"/>
        <v>0</v>
      </c>
    </row>
    <row r="445" spans="2:145" s="48" customFormat="1" ht="15" customHeight="1" x14ac:dyDescent="0.25">
      <c r="B445" s="128">
        <v>48</v>
      </c>
      <c r="C445" s="99"/>
      <c r="D445" s="100"/>
      <c r="E445" s="99"/>
      <c r="F445" s="99"/>
      <c r="G445" s="99"/>
      <c r="H445" s="99"/>
      <c r="I445" s="99"/>
      <c r="J445" s="99"/>
      <c r="K445" s="99"/>
      <c r="L445" s="99"/>
      <c r="M445" s="99"/>
      <c r="N445" s="101"/>
      <c r="O445" s="101"/>
      <c r="P445" s="99"/>
      <c r="Q445" s="102"/>
      <c r="R445" s="102"/>
      <c r="S445" s="99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47">
        <f t="shared" si="283"/>
        <v>0</v>
      </c>
      <c r="AO445" s="46">
        <f t="shared" si="284"/>
        <v>0</v>
      </c>
      <c r="AP445" s="57" t="s">
        <v>102</v>
      </c>
      <c r="AQ445" s="46"/>
      <c r="AR445" s="57"/>
      <c r="AS445" s="57"/>
      <c r="AT445" s="57"/>
      <c r="AU445" s="47">
        <f t="shared" si="290"/>
        <v>0</v>
      </c>
      <c r="AV445" s="57"/>
      <c r="AW445" s="47">
        <f t="shared" si="325"/>
        <v>0</v>
      </c>
      <c r="AX445" s="57"/>
      <c r="AY445" s="57"/>
      <c r="AZ445" s="57"/>
      <c r="BA445" s="57"/>
      <c r="BB445" s="57"/>
      <c r="BC445" s="47">
        <f t="shared" si="291"/>
        <v>0</v>
      </c>
      <c r="BD445" s="57"/>
      <c r="BE445" s="47">
        <f t="shared" si="292"/>
        <v>0</v>
      </c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7"/>
      <c r="BZ445" s="57"/>
      <c r="CA445" s="57"/>
      <c r="CB445" s="57"/>
      <c r="CC445" s="57"/>
      <c r="CD445" s="57"/>
      <c r="CE445" s="57"/>
      <c r="CF445" s="57"/>
      <c r="CG445" s="57"/>
      <c r="CH445" s="57"/>
      <c r="CI445" s="57"/>
      <c r="CJ445" s="57"/>
      <c r="CK445" s="57"/>
      <c r="CL445" s="57"/>
      <c r="CM445" s="57"/>
      <c r="CN445" s="57"/>
      <c r="CO445" s="57"/>
      <c r="CP445" s="57">
        <f t="shared" si="333"/>
        <v>0</v>
      </c>
      <c r="CQ445" s="57"/>
      <c r="CR445" s="47">
        <f t="shared" si="294"/>
        <v>0</v>
      </c>
      <c r="CS445" s="57"/>
      <c r="CT445" s="57"/>
      <c r="CU445" s="57"/>
      <c r="CV445" s="57"/>
      <c r="CW445" s="47">
        <f t="shared" si="330"/>
        <v>0</v>
      </c>
      <c r="CX445" s="46"/>
      <c r="CY445" s="47">
        <f t="shared" si="314"/>
        <v>0</v>
      </c>
      <c r="CZ445" s="57"/>
      <c r="DA445" s="57"/>
      <c r="DB445" s="57"/>
      <c r="DC445" s="57"/>
      <c r="DD445" s="47">
        <f t="shared" si="315"/>
        <v>0</v>
      </c>
      <c r="DE445" s="57"/>
      <c r="DF445" s="46">
        <f t="shared" si="316"/>
        <v>0</v>
      </c>
      <c r="DG445" s="57"/>
      <c r="DH445" s="57"/>
      <c r="DI445" s="57"/>
      <c r="DJ445" s="57"/>
      <c r="DK445" s="64"/>
      <c r="DL445" s="47">
        <f t="shared" si="326"/>
        <v>0</v>
      </c>
      <c r="DM445" s="57"/>
      <c r="DN445" s="46">
        <f t="shared" si="334"/>
        <v>0</v>
      </c>
      <c r="DO445" s="57"/>
      <c r="DP445" s="90">
        <f t="shared" si="327"/>
        <v>0</v>
      </c>
      <c r="DQ445" s="57"/>
      <c r="DR445" s="46">
        <f t="shared" si="331"/>
        <v>0</v>
      </c>
      <c r="DS445" s="57"/>
      <c r="DT445" s="46">
        <f t="shared" si="332"/>
        <v>0</v>
      </c>
      <c r="DU445" s="57"/>
      <c r="DV445" s="46">
        <f t="shared" si="328"/>
        <v>0</v>
      </c>
      <c r="DW445" s="57"/>
      <c r="DX445" s="47">
        <f t="shared" si="329"/>
        <v>0</v>
      </c>
      <c r="DY445" s="57"/>
      <c r="DZ445" s="57"/>
      <c r="EA445" s="57"/>
      <c r="EB445" s="57"/>
      <c r="EC445" s="57"/>
      <c r="ED445" s="57"/>
      <c r="EE445" s="47">
        <f t="shared" si="310"/>
        <v>0</v>
      </c>
      <c r="EF445" s="57"/>
      <c r="EG445" s="57"/>
      <c r="EH445" s="57"/>
      <c r="EI445" s="57"/>
      <c r="EJ445" s="57"/>
      <c r="EK445" s="47">
        <f t="shared" si="304"/>
        <v>0</v>
      </c>
      <c r="EL445" s="46">
        <f t="shared" si="305"/>
        <v>0</v>
      </c>
      <c r="EM445" s="57"/>
      <c r="EN445" s="46">
        <f t="shared" si="306"/>
        <v>0</v>
      </c>
    </row>
    <row r="446" spans="2:145" s="48" customFormat="1" ht="15" customHeight="1" x14ac:dyDescent="0.25">
      <c r="B446" s="128">
        <v>49</v>
      </c>
      <c r="C446" s="99"/>
      <c r="D446" s="100"/>
      <c r="E446" s="99"/>
      <c r="F446" s="99"/>
      <c r="G446" s="99"/>
      <c r="H446" s="99"/>
      <c r="I446" s="99"/>
      <c r="J446" s="99"/>
      <c r="K446" s="99"/>
      <c r="L446" s="99"/>
      <c r="M446" s="99"/>
      <c r="N446" s="101"/>
      <c r="O446" s="101"/>
      <c r="P446" s="99"/>
      <c r="Q446" s="102"/>
      <c r="R446" s="102"/>
      <c r="S446" s="99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47">
        <f t="shared" si="283"/>
        <v>0</v>
      </c>
      <c r="AO446" s="46">
        <f t="shared" si="284"/>
        <v>0</v>
      </c>
      <c r="AP446" s="57" t="s">
        <v>102</v>
      </c>
      <c r="AQ446" s="46"/>
      <c r="AR446" s="57"/>
      <c r="AS446" s="57"/>
      <c r="AT446" s="57"/>
      <c r="AU446" s="47">
        <f t="shared" si="290"/>
        <v>0</v>
      </c>
      <c r="AV446" s="57"/>
      <c r="AW446" s="47">
        <f t="shared" si="325"/>
        <v>0</v>
      </c>
      <c r="AX446" s="57"/>
      <c r="AY446" s="57"/>
      <c r="AZ446" s="57"/>
      <c r="BA446" s="57"/>
      <c r="BB446" s="57"/>
      <c r="BC446" s="47">
        <f t="shared" si="291"/>
        <v>0</v>
      </c>
      <c r="BD446" s="57"/>
      <c r="BE446" s="47">
        <f t="shared" si="292"/>
        <v>0</v>
      </c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7"/>
      <c r="BZ446" s="57"/>
      <c r="CA446" s="57"/>
      <c r="CB446" s="57"/>
      <c r="CC446" s="57"/>
      <c r="CD446" s="57"/>
      <c r="CE446" s="57"/>
      <c r="CF446" s="57"/>
      <c r="CG446" s="57"/>
      <c r="CH446" s="57"/>
      <c r="CI446" s="57"/>
      <c r="CJ446" s="57"/>
      <c r="CK446" s="57"/>
      <c r="CL446" s="57"/>
      <c r="CM446" s="57"/>
      <c r="CN446" s="57"/>
      <c r="CO446" s="57"/>
      <c r="CP446" s="57">
        <f t="shared" si="333"/>
        <v>0</v>
      </c>
      <c r="CQ446" s="57"/>
      <c r="CR446" s="47">
        <f t="shared" si="294"/>
        <v>0</v>
      </c>
      <c r="CS446" s="57"/>
      <c r="CT446" s="57"/>
      <c r="CU446" s="57"/>
      <c r="CV446" s="57"/>
      <c r="CW446" s="47">
        <f t="shared" si="330"/>
        <v>0</v>
      </c>
      <c r="CX446" s="46"/>
      <c r="CY446" s="47">
        <f t="shared" si="314"/>
        <v>0</v>
      </c>
      <c r="CZ446" s="57"/>
      <c r="DA446" s="57"/>
      <c r="DB446" s="57"/>
      <c r="DC446" s="57"/>
      <c r="DD446" s="47">
        <f t="shared" si="315"/>
        <v>0</v>
      </c>
      <c r="DE446" s="57"/>
      <c r="DF446" s="46">
        <f t="shared" si="316"/>
        <v>0</v>
      </c>
      <c r="DG446" s="57"/>
      <c r="DH446" s="57"/>
      <c r="DI446" s="57"/>
      <c r="DJ446" s="57"/>
      <c r="DK446" s="64"/>
      <c r="DL446" s="47">
        <f t="shared" si="326"/>
        <v>0</v>
      </c>
      <c r="DM446" s="57"/>
      <c r="DN446" s="46">
        <f t="shared" si="334"/>
        <v>0</v>
      </c>
      <c r="DO446" s="57"/>
      <c r="DP446" s="90">
        <f t="shared" si="327"/>
        <v>0</v>
      </c>
      <c r="DQ446" s="57"/>
      <c r="DR446" s="46">
        <f t="shared" si="331"/>
        <v>0</v>
      </c>
      <c r="DS446" s="57"/>
      <c r="DT446" s="46">
        <f t="shared" si="332"/>
        <v>0</v>
      </c>
      <c r="DU446" s="57"/>
      <c r="DV446" s="46">
        <f t="shared" si="328"/>
        <v>0</v>
      </c>
      <c r="DW446" s="57"/>
      <c r="DX446" s="47">
        <f t="shared" si="329"/>
        <v>0</v>
      </c>
      <c r="DY446" s="57"/>
      <c r="DZ446" s="57"/>
      <c r="EA446" s="57"/>
      <c r="EB446" s="57"/>
      <c r="EC446" s="57"/>
      <c r="ED446" s="57"/>
      <c r="EE446" s="47">
        <f t="shared" si="310"/>
        <v>0</v>
      </c>
      <c r="EF446" s="57"/>
      <c r="EG446" s="57"/>
      <c r="EH446" s="57"/>
      <c r="EI446" s="57"/>
      <c r="EJ446" s="57"/>
      <c r="EK446" s="47">
        <f t="shared" si="304"/>
        <v>0</v>
      </c>
      <c r="EL446" s="46">
        <f t="shared" si="305"/>
        <v>0</v>
      </c>
      <c r="EM446" s="57"/>
      <c r="EN446" s="46">
        <f t="shared" si="306"/>
        <v>0</v>
      </c>
    </row>
    <row r="447" spans="2:145" s="48" customFormat="1" ht="15" customHeight="1" x14ac:dyDescent="0.25">
      <c r="B447" s="128">
        <v>51</v>
      </c>
      <c r="C447" s="99"/>
      <c r="D447" s="100"/>
      <c r="E447" s="99"/>
      <c r="F447" s="99"/>
      <c r="G447" s="99"/>
      <c r="H447" s="99"/>
      <c r="I447" s="99"/>
      <c r="J447" s="99"/>
      <c r="K447" s="99"/>
      <c r="L447" s="99"/>
      <c r="M447" s="99"/>
      <c r="N447" s="101"/>
      <c r="O447" s="101"/>
      <c r="P447" s="99"/>
      <c r="Q447" s="102"/>
      <c r="R447" s="102"/>
      <c r="S447" s="99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47">
        <f t="shared" si="283"/>
        <v>0</v>
      </c>
      <c r="AO447" s="46">
        <f t="shared" si="284"/>
        <v>0</v>
      </c>
      <c r="AP447" s="57" t="s">
        <v>102</v>
      </c>
      <c r="AQ447" s="46"/>
      <c r="AR447" s="57"/>
      <c r="AS447" s="57"/>
      <c r="AT447" s="57"/>
      <c r="AU447" s="47">
        <f t="shared" si="290"/>
        <v>0</v>
      </c>
      <c r="AV447" s="57"/>
      <c r="AW447" s="47">
        <f t="shared" si="325"/>
        <v>0</v>
      </c>
      <c r="AX447" s="57"/>
      <c r="AY447" s="57"/>
      <c r="AZ447" s="57"/>
      <c r="BA447" s="57"/>
      <c r="BB447" s="57"/>
      <c r="BC447" s="47">
        <f t="shared" si="291"/>
        <v>0</v>
      </c>
      <c r="BD447" s="57"/>
      <c r="BE447" s="47">
        <f t="shared" si="292"/>
        <v>0</v>
      </c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7"/>
      <c r="BZ447" s="57"/>
      <c r="CA447" s="57"/>
      <c r="CB447" s="57"/>
      <c r="CC447" s="57"/>
      <c r="CD447" s="57"/>
      <c r="CE447" s="57"/>
      <c r="CF447" s="57"/>
      <c r="CG447" s="57"/>
      <c r="CH447" s="57"/>
      <c r="CI447" s="57"/>
      <c r="CJ447" s="57"/>
      <c r="CK447" s="57"/>
      <c r="CL447" s="57"/>
      <c r="CM447" s="57"/>
      <c r="CN447" s="57"/>
      <c r="CO447" s="57"/>
      <c r="CP447" s="57">
        <f t="shared" si="333"/>
        <v>0</v>
      </c>
      <c r="CQ447" s="57"/>
      <c r="CR447" s="47">
        <f t="shared" si="294"/>
        <v>0</v>
      </c>
      <c r="CS447" s="57"/>
      <c r="CT447" s="57"/>
      <c r="CU447" s="57"/>
      <c r="CV447" s="57"/>
      <c r="CW447" s="47">
        <f t="shared" si="330"/>
        <v>0</v>
      </c>
      <c r="CX447" s="46"/>
      <c r="CY447" s="47">
        <f t="shared" si="314"/>
        <v>0</v>
      </c>
      <c r="CZ447" s="57"/>
      <c r="DA447" s="57"/>
      <c r="DB447" s="57"/>
      <c r="DC447" s="57"/>
      <c r="DD447" s="47">
        <f t="shared" si="315"/>
        <v>0</v>
      </c>
      <c r="DE447" s="57"/>
      <c r="DF447" s="46">
        <f t="shared" si="316"/>
        <v>0</v>
      </c>
      <c r="DG447" s="57"/>
      <c r="DH447" s="57"/>
      <c r="DI447" s="57"/>
      <c r="DJ447" s="57"/>
      <c r="DK447" s="64"/>
      <c r="DL447" s="47">
        <f t="shared" si="326"/>
        <v>0</v>
      </c>
      <c r="DM447" s="57"/>
      <c r="DN447" s="46">
        <f t="shared" si="334"/>
        <v>0</v>
      </c>
      <c r="DO447" s="57"/>
      <c r="DP447" s="90">
        <f t="shared" si="327"/>
        <v>0</v>
      </c>
      <c r="DQ447" s="57"/>
      <c r="DR447" s="46">
        <f t="shared" si="331"/>
        <v>0</v>
      </c>
      <c r="DS447" s="57"/>
      <c r="DT447" s="46">
        <f t="shared" si="332"/>
        <v>0</v>
      </c>
      <c r="DU447" s="57"/>
      <c r="DV447" s="46">
        <f t="shared" si="328"/>
        <v>0</v>
      </c>
      <c r="DW447" s="57"/>
      <c r="DX447" s="47">
        <f t="shared" si="329"/>
        <v>0</v>
      </c>
      <c r="DY447" s="57"/>
      <c r="DZ447" s="57"/>
      <c r="EA447" s="57"/>
      <c r="EB447" s="57"/>
      <c r="EC447" s="57"/>
      <c r="ED447" s="57"/>
      <c r="EE447" s="47">
        <f t="shared" si="310"/>
        <v>0</v>
      </c>
      <c r="EF447" s="57"/>
      <c r="EG447" s="57"/>
      <c r="EH447" s="57"/>
      <c r="EI447" s="57"/>
      <c r="EJ447" s="57"/>
      <c r="EK447" s="47">
        <f t="shared" si="304"/>
        <v>0</v>
      </c>
      <c r="EL447" s="46">
        <f t="shared" si="305"/>
        <v>0</v>
      </c>
      <c r="EM447" s="57"/>
      <c r="EN447" s="46">
        <f t="shared" si="306"/>
        <v>0</v>
      </c>
    </row>
    <row r="448" spans="2:145" s="48" customFormat="1" ht="15" customHeight="1" x14ac:dyDescent="0.25">
      <c r="B448" s="128">
        <v>53</v>
      </c>
      <c r="C448" s="99"/>
      <c r="D448" s="100"/>
      <c r="E448" s="99"/>
      <c r="F448" s="99"/>
      <c r="G448" s="99"/>
      <c r="H448" s="99"/>
      <c r="I448" s="99"/>
      <c r="J448" s="99"/>
      <c r="K448" s="99"/>
      <c r="L448" s="99"/>
      <c r="M448" s="99"/>
      <c r="N448" s="101"/>
      <c r="O448" s="101"/>
      <c r="P448" s="99"/>
      <c r="Q448" s="102"/>
      <c r="R448" s="102"/>
      <c r="S448" s="99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47">
        <f t="shared" si="283"/>
        <v>0</v>
      </c>
      <c r="AO448" s="46">
        <f t="shared" si="284"/>
        <v>0</v>
      </c>
      <c r="AP448" s="57" t="s">
        <v>102</v>
      </c>
      <c r="AQ448" s="46"/>
      <c r="AR448" s="57"/>
      <c r="AS448" s="57"/>
      <c r="AT448" s="57"/>
      <c r="AU448" s="47">
        <f t="shared" si="290"/>
        <v>0</v>
      </c>
      <c r="AV448" s="57"/>
      <c r="AW448" s="47">
        <f t="shared" si="325"/>
        <v>0</v>
      </c>
      <c r="AX448" s="57"/>
      <c r="AY448" s="57"/>
      <c r="AZ448" s="57"/>
      <c r="BA448" s="57"/>
      <c r="BB448" s="57"/>
      <c r="BC448" s="47">
        <f t="shared" si="291"/>
        <v>0</v>
      </c>
      <c r="BD448" s="57"/>
      <c r="BE448" s="47">
        <f t="shared" si="292"/>
        <v>0</v>
      </c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  <c r="BV448" s="57"/>
      <c r="BW448" s="57"/>
      <c r="BX448" s="57"/>
      <c r="BY448" s="57"/>
      <c r="BZ448" s="57"/>
      <c r="CA448" s="57"/>
      <c r="CB448" s="57"/>
      <c r="CC448" s="57"/>
      <c r="CD448" s="57"/>
      <c r="CE448" s="57"/>
      <c r="CF448" s="57"/>
      <c r="CG448" s="57"/>
      <c r="CH448" s="57"/>
      <c r="CI448" s="57"/>
      <c r="CJ448" s="57"/>
      <c r="CK448" s="57"/>
      <c r="CL448" s="57"/>
      <c r="CM448" s="57"/>
      <c r="CN448" s="57"/>
      <c r="CO448" s="57"/>
      <c r="CP448" s="57">
        <f t="shared" si="333"/>
        <v>0</v>
      </c>
      <c r="CQ448" s="57"/>
      <c r="CR448" s="47">
        <f t="shared" si="294"/>
        <v>0</v>
      </c>
      <c r="CS448" s="57"/>
      <c r="CT448" s="57"/>
      <c r="CU448" s="57"/>
      <c r="CV448" s="57"/>
      <c r="CW448" s="47">
        <f t="shared" si="330"/>
        <v>0</v>
      </c>
      <c r="CX448" s="46"/>
      <c r="CY448" s="47">
        <f t="shared" si="314"/>
        <v>0</v>
      </c>
      <c r="CZ448" s="57"/>
      <c r="DA448" s="57"/>
      <c r="DB448" s="57"/>
      <c r="DC448" s="57"/>
      <c r="DD448" s="47">
        <f t="shared" si="315"/>
        <v>0</v>
      </c>
      <c r="DE448" s="57"/>
      <c r="DF448" s="46">
        <f t="shared" si="316"/>
        <v>0</v>
      </c>
      <c r="DG448" s="57"/>
      <c r="DH448" s="57"/>
      <c r="DI448" s="57"/>
      <c r="DJ448" s="57"/>
      <c r="DK448" s="64"/>
      <c r="DL448" s="47">
        <f t="shared" si="326"/>
        <v>0</v>
      </c>
      <c r="DM448" s="57"/>
      <c r="DN448" s="46">
        <f t="shared" si="334"/>
        <v>0</v>
      </c>
      <c r="DO448" s="57"/>
      <c r="DP448" s="90">
        <f t="shared" si="327"/>
        <v>0</v>
      </c>
      <c r="DQ448" s="57"/>
      <c r="DR448" s="46">
        <f t="shared" si="331"/>
        <v>0</v>
      </c>
      <c r="DS448" s="57"/>
      <c r="DT448" s="46">
        <f t="shared" si="332"/>
        <v>0</v>
      </c>
      <c r="DU448" s="57"/>
      <c r="DV448" s="46">
        <f t="shared" si="328"/>
        <v>0</v>
      </c>
      <c r="DW448" s="57"/>
      <c r="DX448" s="47">
        <f t="shared" si="329"/>
        <v>0</v>
      </c>
      <c r="DY448" s="57"/>
      <c r="DZ448" s="57"/>
      <c r="EA448" s="57"/>
      <c r="EB448" s="57"/>
      <c r="EC448" s="57"/>
      <c r="ED448" s="57"/>
      <c r="EE448" s="47">
        <f t="shared" si="310"/>
        <v>0</v>
      </c>
      <c r="EF448" s="57"/>
      <c r="EG448" s="57"/>
      <c r="EH448" s="57"/>
      <c r="EI448" s="57"/>
      <c r="EJ448" s="57"/>
      <c r="EK448" s="47">
        <f t="shared" si="304"/>
        <v>0</v>
      </c>
      <c r="EL448" s="46">
        <f t="shared" si="305"/>
        <v>0</v>
      </c>
      <c r="EM448" s="57"/>
      <c r="EN448" s="46">
        <f t="shared" si="306"/>
        <v>0</v>
      </c>
    </row>
    <row r="449" spans="2:144" s="48" customFormat="1" ht="15" customHeight="1" x14ac:dyDescent="0.25">
      <c r="B449" s="128">
        <v>54</v>
      </c>
      <c r="C449" s="99"/>
      <c r="D449" s="100"/>
      <c r="E449" s="99"/>
      <c r="F449" s="99"/>
      <c r="G449" s="99"/>
      <c r="H449" s="99"/>
      <c r="I449" s="99"/>
      <c r="J449" s="99"/>
      <c r="K449" s="99"/>
      <c r="L449" s="99"/>
      <c r="M449" s="99"/>
      <c r="N449" s="101"/>
      <c r="O449" s="101"/>
      <c r="P449" s="99"/>
      <c r="Q449" s="102"/>
      <c r="R449" s="102"/>
      <c r="S449" s="99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47">
        <f t="shared" si="283"/>
        <v>0</v>
      </c>
      <c r="AO449" s="46">
        <f t="shared" si="284"/>
        <v>0</v>
      </c>
      <c r="AP449" s="57" t="s">
        <v>102</v>
      </c>
      <c r="AQ449" s="46"/>
      <c r="AR449" s="57"/>
      <c r="AS449" s="57"/>
      <c r="AT449" s="57"/>
      <c r="AU449" s="47">
        <f t="shared" si="290"/>
        <v>0</v>
      </c>
      <c r="AV449" s="57"/>
      <c r="AW449" s="47">
        <f t="shared" si="325"/>
        <v>0</v>
      </c>
      <c r="AX449" s="57"/>
      <c r="AY449" s="57"/>
      <c r="AZ449" s="57"/>
      <c r="BA449" s="57"/>
      <c r="BB449" s="57"/>
      <c r="BC449" s="47">
        <f t="shared" si="291"/>
        <v>0</v>
      </c>
      <c r="BD449" s="57"/>
      <c r="BE449" s="47">
        <f t="shared" si="292"/>
        <v>0</v>
      </c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7"/>
      <c r="BZ449" s="57"/>
      <c r="CA449" s="57"/>
      <c r="CB449" s="57"/>
      <c r="CC449" s="57"/>
      <c r="CD449" s="57"/>
      <c r="CE449" s="57"/>
      <c r="CF449" s="57"/>
      <c r="CG449" s="57"/>
      <c r="CH449" s="57"/>
      <c r="CI449" s="57"/>
      <c r="CJ449" s="57"/>
      <c r="CK449" s="57"/>
      <c r="CL449" s="57"/>
      <c r="CM449" s="57"/>
      <c r="CN449" s="57"/>
      <c r="CO449" s="57"/>
      <c r="CP449" s="57">
        <f t="shared" si="333"/>
        <v>0</v>
      </c>
      <c r="CQ449" s="57"/>
      <c r="CR449" s="47">
        <f t="shared" si="294"/>
        <v>0</v>
      </c>
      <c r="CS449" s="57"/>
      <c r="CT449" s="57"/>
      <c r="CU449" s="57"/>
      <c r="CV449" s="57"/>
      <c r="CW449" s="47">
        <f t="shared" si="330"/>
        <v>0</v>
      </c>
      <c r="CX449" s="46"/>
      <c r="CY449" s="47">
        <f t="shared" si="314"/>
        <v>0</v>
      </c>
      <c r="CZ449" s="57"/>
      <c r="DA449" s="57"/>
      <c r="DB449" s="57"/>
      <c r="DC449" s="57"/>
      <c r="DD449" s="47">
        <f t="shared" si="315"/>
        <v>0</v>
      </c>
      <c r="DE449" s="57"/>
      <c r="DF449" s="46">
        <f t="shared" si="316"/>
        <v>0</v>
      </c>
      <c r="DG449" s="57"/>
      <c r="DH449" s="57"/>
      <c r="DI449" s="57"/>
      <c r="DJ449" s="57"/>
      <c r="DK449" s="64"/>
      <c r="DL449" s="47">
        <f t="shared" si="326"/>
        <v>0</v>
      </c>
      <c r="DM449" s="57"/>
      <c r="DN449" s="46">
        <f t="shared" si="334"/>
        <v>0</v>
      </c>
      <c r="DO449" s="57"/>
      <c r="DP449" s="90">
        <f t="shared" si="327"/>
        <v>0</v>
      </c>
      <c r="DQ449" s="57"/>
      <c r="DR449" s="46">
        <f t="shared" si="331"/>
        <v>0</v>
      </c>
      <c r="DS449" s="57"/>
      <c r="DT449" s="46">
        <f t="shared" si="332"/>
        <v>0</v>
      </c>
      <c r="DU449" s="57"/>
      <c r="DV449" s="46">
        <f t="shared" si="328"/>
        <v>0</v>
      </c>
      <c r="DW449" s="57"/>
      <c r="DX449" s="47">
        <f t="shared" si="329"/>
        <v>0</v>
      </c>
      <c r="DY449" s="57"/>
      <c r="DZ449" s="57"/>
      <c r="EA449" s="57"/>
      <c r="EB449" s="57"/>
      <c r="EC449" s="57"/>
      <c r="ED449" s="57"/>
      <c r="EE449" s="47">
        <f t="shared" si="310"/>
        <v>0</v>
      </c>
      <c r="EF449" s="57"/>
      <c r="EG449" s="57"/>
      <c r="EH449" s="57"/>
      <c r="EI449" s="57"/>
      <c r="EJ449" s="57"/>
      <c r="EK449" s="47">
        <f t="shared" si="304"/>
        <v>0</v>
      </c>
      <c r="EL449" s="46">
        <f t="shared" si="305"/>
        <v>0</v>
      </c>
      <c r="EM449" s="57"/>
      <c r="EN449" s="46">
        <f t="shared" si="306"/>
        <v>0</v>
      </c>
    </row>
    <row r="450" spans="2:144" s="48" customFormat="1" ht="15" customHeight="1" x14ac:dyDescent="0.25">
      <c r="B450" s="128">
        <v>55</v>
      </c>
      <c r="C450" s="99"/>
      <c r="D450" s="100"/>
      <c r="E450" s="99"/>
      <c r="F450" s="99"/>
      <c r="G450" s="99"/>
      <c r="H450" s="99"/>
      <c r="I450" s="99"/>
      <c r="J450" s="99"/>
      <c r="K450" s="99"/>
      <c r="L450" s="99"/>
      <c r="M450" s="99"/>
      <c r="N450" s="101"/>
      <c r="O450" s="101"/>
      <c r="P450" s="99"/>
      <c r="Q450" s="102"/>
      <c r="R450" s="102"/>
      <c r="S450" s="99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47">
        <f t="shared" si="283"/>
        <v>0</v>
      </c>
      <c r="AO450" s="46">
        <f t="shared" si="284"/>
        <v>0</v>
      </c>
      <c r="AP450" s="57" t="s">
        <v>102</v>
      </c>
      <c r="AQ450" s="46"/>
      <c r="AR450" s="57"/>
      <c r="AS450" s="57"/>
      <c r="AT450" s="57"/>
      <c r="AU450" s="47">
        <f t="shared" si="290"/>
        <v>0</v>
      </c>
      <c r="AV450" s="57"/>
      <c r="AW450" s="47">
        <f t="shared" si="325"/>
        <v>0</v>
      </c>
      <c r="AX450" s="57"/>
      <c r="AY450" s="57"/>
      <c r="AZ450" s="57"/>
      <c r="BA450" s="57"/>
      <c r="BB450" s="57"/>
      <c r="BC450" s="47">
        <f t="shared" si="291"/>
        <v>0</v>
      </c>
      <c r="BD450" s="57"/>
      <c r="BE450" s="47">
        <f t="shared" si="292"/>
        <v>0</v>
      </c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7"/>
      <c r="BZ450" s="57"/>
      <c r="CA450" s="57"/>
      <c r="CB450" s="57"/>
      <c r="CC450" s="57"/>
      <c r="CD450" s="57"/>
      <c r="CE450" s="57"/>
      <c r="CF450" s="57"/>
      <c r="CG450" s="57"/>
      <c r="CH450" s="57"/>
      <c r="CI450" s="57"/>
      <c r="CJ450" s="57"/>
      <c r="CK450" s="57"/>
      <c r="CL450" s="57"/>
      <c r="CM450" s="57"/>
      <c r="CN450" s="57"/>
      <c r="CO450" s="57"/>
      <c r="CP450" s="57">
        <f t="shared" si="333"/>
        <v>0</v>
      </c>
      <c r="CQ450" s="57"/>
      <c r="CR450" s="47">
        <f t="shared" si="294"/>
        <v>0</v>
      </c>
      <c r="CS450" s="57"/>
      <c r="CT450" s="57"/>
      <c r="CU450" s="57"/>
      <c r="CV450" s="57"/>
      <c r="CW450" s="47">
        <f t="shared" si="330"/>
        <v>0</v>
      </c>
      <c r="CX450" s="46"/>
      <c r="CY450" s="47">
        <f t="shared" si="314"/>
        <v>0</v>
      </c>
      <c r="CZ450" s="57"/>
      <c r="DA450" s="57"/>
      <c r="DB450" s="57"/>
      <c r="DC450" s="57"/>
      <c r="DD450" s="47">
        <f t="shared" si="315"/>
        <v>0</v>
      </c>
      <c r="DE450" s="57"/>
      <c r="DF450" s="46">
        <f t="shared" si="316"/>
        <v>0</v>
      </c>
      <c r="DG450" s="57"/>
      <c r="DH450" s="57"/>
      <c r="DI450" s="57"/>
      <c r="DJ450" s="57"/>
      <c r="DK450" s="64"/>
      <c r="DL450" s="47">
        <f t="shared" si="326"/>
        <v>0</v>
      </c>
      <c r="DM450" s="57"/>
      <c r="DN450" s="46">
        <f t="shared" si="334"/>
        <v>0</v>
      </c>
      <c r="DO450" s="57"/>
      <c r="DP450" s="90">
        <f t="shared" si="327"/>
        <v>0</v>
      </c>
      <c r="DQ450" s="57"/>
      <c r="DR450" s="46">
        <f t="shared" si="331"/>
        <v>0</v>
      </c>
      <c r="DS450" s="57"/>
      <c r="DT450" s="46">
        <f t="shared" si="332"/>
        <v>0</v>
      </c>
      <c r="DU450" s="57"/>
      <c r="DV450" s="46">
        <f t="shared" si="328"/>
        <v>0</v>
      </c>
      <c r="DW450" s="57"/>
      <c r="DX450" s="47">
        <f t="shared" si="329"/>
        <v>0</v>
      </c>
      <c r="DY450" s="57"/>
      <c r="DZ450" s="57"/>
      <c r="EA450" s="57"/>
      <c r="EB450" s="57"/>
      <c r="EC450" s="57"/>
      <c r="ED450" s="57"/>
      <c r="EE450" s="47">
        <f t="shared" si="310"/>
        <v>0</v>
      </c>
      <c r="EF450" s="57"/>
      <c r="EG450" s="57"/>
      <c r="EH450" s="57"/>
      <c r="EI450" s="57"/>
      <c r="EJ450" s="57"/>
      <c r="EK450" s="47">
        <f t="shared" si="304"/>
        <v>0</v>
      </c>
      <c r="EL450" s="46">
        <f t="shared" si="305"/>
        <v>0</v>
      </c>
      <c r="EM450" s="57"/>
      <c r="EN450" s="46">
        <f t="shared" si="306"/>
        <v>0</v>
      </c>
    </row>
    <row r="451" spans="2:144" s="48" customFormat="1" ht="15.75" customHeight="1" x14ac:dyDescent="0.25">
      <c r="B451" s="128">
        <v>56</v>
      </c>
      <c r="C451" s="99"/>
      <c r="D451" s="100"/>
      <c r="E451" s="99"/>
      <c r="F451" s="99"/>
      <c r="G451" s="99"/>
      <c r="H451" s="99"/>
      <c r="I451" s="99"/>
      <c r="J451" s="99"/>
      <c r="K451" s="99"/>
      <c r="L451" s="99"/>
      <c r="M451" s="99"/>
      <c r="N451" s="101"/>
      <c r="O451" s="101"/>
      <c r="P451" s="99"/>
      <c r="Q451" s="102"/>
      <c r="R451" s="102"/>
      <c r="S451" s="99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47">
        <f t="shared" si="283"/>
        <v>0</v>
      </c>
      <c r="AO451" s="46">
        <f t="shared" si="284"/>
        <v>0</v>
      </c>
      <c r="AP451" s="57" t="s">
        <v>102</v>
      </c>
      <c r="AQ451" s="46"/>
      <c r="AR451" s="57"/>
      <c r="AS451" s="57"/>
      <c r="AT451" s="57"/>
      <c r="AU451" s="47">
        <f t="shared" si="290"/>
        <v>0</v>
      </c>
      <c r="AV451" s="57"/>
      <c r="AW451" s="47">
        <f t="shared" si="325"/>
        <v>0</v>
      </c>
      <c r="AX451" s="57"/>
      <c r="AY451" s="57"/>
      <c r="AZ451" s="57"/>
      <c r="BA451" s="57"/>
      <c r="BB451" s="57"/>
      <c r="BC451" s="47">
        <f t="shared" si="291"/>
        <v>0</v>
      </c>
      <c r="BD451" s="57"/>
      <c r="BE451" s="47">
        <f t="shared" si="292"/>
        <v>0</v>
      </c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7"/>
      <c r="BZ451" s="57"/>
      <c r="CA451" s="57"/>
      <c r="CB451" s="57"/>
      <c r="CC451" s="57"/>
      <c r="CD451" s="57"/>
      <c r="CE451" s="57"/>
      <c r="CF451" s="57"/>
      <c r="CG451" s="57"/>
      <c r="CH451" s="57"/>
      <c r="CI451" s="57"/>
      <c r="CJ451" s="57"/>
      <c r="CK451" s="57"/>
      <c r="CL451" s="57"/>
      <c r="CM451" s="57"/>
      <c r="CN451" s="57"/>
      <c r="CO451" s="57"/>
      <c r="CP451" s="57">
        <f t="shared" si="333"/>
        <v>0</v>
      </c>
      <c r="CQ451" s="57"/>
      <c r="CR451" s="47">
        <f t="shared" si="294"/>
        <v>0</v>
      </c>
      <c r="CS451" s="57"/>
      <c r="CT451" s="57"/>
      <c r="CU451" s="57"/>
      <c r="CV451" s="57"/>
      <c r="CW451" s="47">
        <f t="shared" si="330"/>
        <v>0</v>
      </c>
      <c r="CX451" s="46"/>
      <c r="CY451" s="47">
        <f t="shared" si="314"/>
        <v>0</v>
      </c>
      <c r="CZ451" s="57"/>
      <c r="DA451" s="57"/>
      <c r="DB451" s="57"/>
      <c r="DC451" s="57"/>
      <c r="DD451" s="47">
        <f t="shared" si="315"/>
        <v>0</v>
      </c>
      <c r="DE451" s="57"/>
      <c r="DF451" s="46">
        <f t="shared" si="316"/>
        <v>0</v>
      </c>
      <c r="DG451" s="57"/>
      <c r="DH451" s="57"/>
      <c r="DI451" s="57"/>
      <c r="DJ451" s="57"/>
      <c r="DK451" s="64"/>
      <c r="DL451" s="47">
        <f t="shared" si="326"/>
        <v>0</v>
      </c>
      <c r="DM451" s="57"/>
      <c r="DN451" s="46">
        <f t="shared" si="334"/>
        <v>0</v>
      </c>
      <c r="DO451" s="57"/>
      <c r="DP451" s="90">
        <f t="shared" si="327"/>
        <v>0</v>
      </c>
      <c r="DQ451" s="57"/>
      <c r="DR451" s="46">
        <f t="shared" si="331"/>
        <v>0</v>
      </c>
      <c r="DS451" s="57"/>
      <c r="DT451" s="46">
        <f t="shared" si="332"/>
        <v>0</v>
      </c>
      <c r="DU451" s="57"/>
      <c r="DV451" s="46">
        <f t="shared" si="328"/>
        <v>0</v>
      </c>
      <c r="DW451" s="57"/>
      <c r="DX451" s="47">
        <f t="shared" si="329"/>
        <v>0</v>
      </c>
      <c r="DY451" s="57"/>
      <c r="DZ451" s="57"/>
      <c r="EA451" s="57"/>
      <c r="EB451" s="57"/>
      <c r="EC451" s="57"/>
      <c r="ED451" s="57"/>
      <c r="EE451" s="47">
        <f t="shared" si="310"/>
        <v>0</v>
      </c>
      <c r="EF451" s="57"/>
      <c r="EG451" s="57"/>
      <c r="EH451" s="57"/>
      <c r="EI451" s="57"/>
      <c r="EJ451" s="57"/>
      <c r="EK451" s="47">
        <f t="shared" si="304"/>
        <v>0</v>
      </c>
      <c r="EL451" s="46">
        <f t="shared" si="305"/>
        <v>0</v>
      </c>
      <c r="EM451" s="57"/>
      <c r="EN451" s="46">
        <f t="shared" si="306"/>
        <v>0</v>
      </c>
    </row>
    <row r="452" spans="2:144" s="48" customFormat="1" ht="15" customHeight="1" x14ac:dyDescent="0.25">
      <c r="B452" s="128">
        <v>57</v>
      </c>
      <c r="C452" s="42"/>
      <c r="D452" s="43"/>
      <c r="E452" s="42"/>
      <c r="F452" s="42"/>
      <c r="G452" s="42"/>
      <c r="H452" s="42"/>
      <c r="I452" s="42"/>
      <c r="J452" s="42"/>
      <c r="K452" s="42"/>
      <c r="L452" s="42"/>
      <c r="M452" s="42"/>
      <c r="N452" s="41"/>
      <c r="O452" s="41"/>
      <c r="P452" s="42"/>
      <c r="Q452" s="45"/>
      <c r="R452" s="45"/>
      <c r="S452" s="42"/>
      <c r="T452" s="46"/>
      <c r="U452" s="46"/>
      <c r="V452" s="46"/>
      <c r="W452" s="46"/>
      <c r="X452" s="46"/>
      <c r="Y452" s="46"/>
      <c r="Z452" s="46"/>
      <c r="AA452" s="46"/>
      <c r="AB452" s="46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47">
        <f t="shared" si="283"/>
        <v>0</v>
      </c>
      <c r="AO452" s="46">
        <f t="shared" si="284"/>
        <v>0</v>
      </c>
      <c r="AP452" s="57" t="s">
        <v>102</v>
      </c>
      <c r="AQ452" s="46"/>
      <c r="AR452" s="57"/>
      <c r="AS452" s="57"/>
      <c r="AT452" s="57"/>
      <c r="AU452" s="47">
        <f t="shared" si="290"/>
        <v>0</v>
      </c>
      <c r="AV452" s="57"/>
      <c r="AW452" s="47">
        <f t="shared" si="325"/>
        <v>0</v>
      </c>
      <c r="AX452" s="57"/>
      <c r="AY452" s="57"/>
      <c r="AZ452" s="57"/>
      <c r="BA452" s="57"/>
      <c r="BB452" s="57"/>
      <c r="BC452" s="47">
        <f t="shared" si="291"/>
        <v>0</v>
      </c>
      <c r="BD452" s="57"/>
      <c r="BE452" s="47">
        <f t="shared" si="292"/>
        <v>0</v>
      </c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7"/>
      <c r="BZ452" s="57"/>
      <c r="CA452" s="57"/>
      <c r="CB452" s="57"/>
      <c r="CC452" s="57"/>
      <c r="CD452" s="57"/>
      <c r="CE452" s="57"/>
      <c r="CF452" s="57"/>
      <c r="CG452" s="57"/>
      <c r="CH452" s="57"/>
      <c r="CI452" s="57"/>
      <c r="CJ452" s="57"/>
      <c r="CK452" s="57"/>
      <c r="CL452" s="57"/>
      <c r="CM452" s="57"/>
      <c r="CN452" s="57"/>
      <c r="CO452" s="57"/>
      <c r="CP452" s="57">
        <f t="shared" si="333"/>
        <v>0</v>
      </c>
      <c r="CQ452" s="57"/>
      <c r="CR452" s="47">
        <f t="shared" si="294"/>
        <v>0</v>
      </c>
      <c r="CS452" s="57"/>
      <c r="CT452" s="57"/>
      <c r="CU452" s="57"/>
      <c r="CV452" s="57"/>
      <c r="CW452" s="47">
        <f t="shared" si="330"/>
        <v>0</v>
      </c>
      <c r="CX452" s="46"/>
      <c r="CY452" s="47">
        <f t="shared" si="314"/>
        <v>0</v>
      </c>
      <c r="CZ452" s="57"/>
      <c r="DA452" s="57"/>
      <c r="DB452" s="57"/>
      <c r="DC452" s="57"/>
      <c r="DD452" s="47">
        <f t="shared" si="315"/>
        <v>0</v>
      </c>
      <c r="DE452" s="57"/>
      <c r="DF452" s="46">
        <f t="shared" si="316"/>
        <v>0</v>
      </c>
      <c r="DG452" s="57"/>
      <c r="DH452" s="57"/>
      <c r="DI452" s="57"/>
      <c r="DJ452" s="57"/>
      <c r="DK452" s="64"/>
      <c r="DL452" s="47">
        <f t="shared" si="326"/>
        <v>0</v>
      </c>
      <c r="DM452" s="57"/>
      <c r="DN452" s="46">
        <f t="shared" si="334"/>
        <v>0</v>
      </c>
      <c r="DO452" s="57"/>
      <c r="DP452" s="90">
        <f t="shared" si="327"/>
        <v>0</v>
      </c>
      <c r="DQ452" s="57"/>
      <c r="DR452" s="46">
        <f t="shared" si="331"/>
        <v>0</v>
      </c>
      <c r="DS452" s="57"/>
      <c r="DT452" s="46">
        <f t="shared" si="332"/>
        <v>0</v>
      </c>
      <c r="DU452" s="57"/>
      <c r="DV452" s="46">
        <f t="shared" si="328"/>
        <v>0</v>
      </c>
      <c r="DW452" s="57"/>
      <c r="DX452" s="47">
        <f t="shared" si="329"/>
        <v>0</v>
      </c>
      <c r="DY452" s="57"/>
      <c r="DZ452" s="57"/>
      <c r="EA452" s="57"/>
      <c r="EB452" s="57"/>
      <c r="EC452" s="57"/>
      <c r="ED452" s="57"/>
      <c r="EE452" s="47">
        <f t="shared" si="310"/>
        <v>0</v>
      </c>
      <c r="EF452" s="57"/>
      <c r="EG452" s="57"/>
      <c r="EH452" s="57"/>
      <c r="EI452" s="57"/>
      <c r="EJ452" s="57"/>
      <c r="EK452" s="47">
        <f t="shared" si="304"/>
        <v>0</v>
      </c>
      <c r="EL452" s="46">
        <f t="shared" si="305"/>
        <v>0</v>
      </c>
      <c r="EM452" s="57"/>
      <c r="EN452" s="46">
        <f t="shared" si="306"/>
        <v>0</v>
      </c>
    </row>
    <row r="453" spans="2:144" s="48" customFormat="1" ht="15" customHeight="1" x14ac:dyDescent="0.25">
      <c r="B453" s="128">
        <v>58</v>
      </c>
      <c r="C453" s="42"/>
      <c r="D453" s="43"/>
      <c r="E453" s="42"/>
      <c r="F453" s="42"/>
      <c r="G453" s="42"/>
      <c r="H453" s="42"/>
      <c r="I453" s="42"/>
      <c r="J453" s="42"/>
      <c r="K453" s="42"/>
      <c r="L453" s="42"/>
      <c r="M453" s="42"/>
      <c r="N453" s="41"/>
      <c r="O453" s="41"/>
      <c r="P453" s="42"/>
      <c r="Q453" s="45"/>
      <c r="R453" s="45"/>
      <c r="S453" s="42"/>
      <c r="T453" s="46"/>
      <c r="U453" s="46"/>
      <c r="V453" s="46"/>
      <c r="W453" s="46"/>
      <c r="X453" s="46"/>
      <c r="Y453" s="46"/>
      <c r="Z453" s="46"/>
      <c r="AA453" s="46"/>
      <c r="AB453" s="46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47">
        <f t="shared" ref="AN453:AN516" si="335">+X453+Y453+Z453+AA453+AB453+AC453+AD453+AE453+AF453+AG453+AH453+AI453+AJ453+AL453+AM453</f>
        <v>0</v>
      </c>
      <c r="AO453" s="46">
        <f t="shared" ref="AO453:AO516" si="336">+T453-AN453</f>
        <v>0</v>
      </c>
      <c r="AP453" s="57" t="s">
        <v>102</v>
      </c>
      <c r="AQ453" s="46"/>
      <c r="AR453" s="57"/>
      <c r="AS453" s="57"/>
      <c r="AT453" s="57"/>
      <c r="AU453" s="47">
        <f t="shared" si="290"/>
        <v>0</v>
      </c>
      <c r="AV453" s="57"/>
      <c r="AW453" s="47">
        <f t="shared" si="325"/>
        <v>0</v>
      </c>
      <c r="AX453" s="57"/>
      <c r="AY453" s="57"/>
      <c r="AZ453" s="57"/>
      <c r="BA453" s="57"/>
      <c r="BB453" s="57"/>
      <c r="BC453" s="47">
        <f t="shared" si="291"/>
        <v>0</v>
      </c>
      <c r="BD453" s="57"/>
      <c r="BE453" s="47">
        <f t="shared" si="292"/>
        <v>0</v>
      </c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7"/>
      <c r="BZ453" s="57"/>
      <c r="CA453" s="57"/>
      <c r="CB453" s="57"/>
      <c r="CC453" s="57"/>
      <c r="CD453" s="57"/>
      <c r="CE453" s="57"/>
      <c r="CF453" s="57"/>
      <c r="CG453" s="57"/>
      <c r="CH453" s="57"/>
      <c r="CI453" s="57"/>
      <c r="CJ453" s="57"/>
      <c r="CK453" s="57"/>
      <c r="CL453" s="57"/>
      <c r="CM453" s="57"/>
      <c r="CN453" s="57"/>
      <c r="CO453" s="57"/>
      <c r="CP453" s="57">
        <f t="shared" si="333"/>
        <v>0</v>
      </c>
      <c r="CQ453" s="57"/>
      <c r="CR453" s="47">
        <f t="shared" si="294"/>
        <v>0</v>
      </c>
      <c r="CS453" s="57"/>
      <c r="CT453" s="57"/>
      <c r="CU453" s="57"/>
      <c r="CV453" s="57"/>
      <c r="CW453" s="47">
        <f t="shared" si="330"/>
        <v>0</v>
      </c>
      <c r="CX453" s="46"/>
      <c r="CY453" s="47">
        <f t="shared" si="314"/>
        <v>0</v>
      </c>
      <c r="CZ453" s="57"/>
      <c r="DA453" s="57"/>
      <c r="DB453" s="57"/>
      <c r="DC453" s="57"/>
      <c r="DD453" s="47">
        <f t="shared" si="315"/>
        <v>0</v>
      </c>
      <c r="DE453" s="57"/>
      <c r="DF453" s="46">
        <f t="shared" si="316"/>
        <v>0</v>
      </c>
      <c r="DG453" s="57"/>
      <c r="DH453" s="57">
        <f t="shared" ref="DH453:DH463" si="337">AQ453/2</f>
        <v>0</v>
      </c>
      <c r="DI453" s="57"/>
      <c r="DJ453" s="57"/>
      <c r="DK453" s="64"/>
      <c r="DL453" s="47">
        <f t="shared" si="326"/>
        <v>0</v>
      </c>
      <c r="DM453" s="57"/>
      <c r="DN453" s="46">
        <f t="shared" si="334"/>
        <v>0</v>
      </c>
      <c r="DO453" s="57"/>
      <c r="DP453" s="90">
        <f t="shared" si="327"/>
        <v>0</v>
      </c>
      <c r="DQ453" s="57"/>
      <c r="DR453" s="46">
        <f t="shared" si="331"/>
        <v>0</v>
      </c>
      <c r="DS453" s="57"/>
      <c r="DT453" s="46">
        <f t="shared" si="332"/>
        <v>0</v>
      </c>
      <c r="DU453" s="57"/>
      <c r="DV453" s="46">
        <f t="shared" si="328"/>
        <v>0</v>
      </c>
      <c r="DW453" s="57"/>
      <c r="DX453" s="47">
        <f t="shared" si="329"/>
        <v>0</v>
      </c>
      <c r="DY453" s="57"/>
      <c r="DZ453" s="57"/>
      <c r="EA453" s="57"/>
      <c r="EB453" s="57"/>
      <c r="EC453" s="57"/>
      <c r="ED453" s="57"/>
      <c r="EE453" s="47">
        <f t="shared" si="310"/>
        <v>0</v>
      </c>
      <c r="EF453" s="57"/>
      <c r="EG453" s="57"/>
      <c r="EH453" s="57"/>
      <c r="EI453" s="57"/>
      <c r="EJ453" s="57"/>
      <c r="EK453" s="47">
        <f t="shared" si="304"/>
        <v>0</v>
      </c>
      <c r="EL453" s="46">
        <f t="shared" si="305"/>
        <v>0</v>
      </c>
      <c r="EM453" s="57"/>
      <c r="EN453" s="46">
        <f t="shared" si="306"/>
        <v>0</v>
      </c>
    </row>
    <row r="454" spans="2:144" s="48" customFormat="1" ht="15" customHeight="1" x14ac:dyDescent="0.25">
      <c r="B454" s="128">
        <v>59</v>
      </c>
      <c r="C454" s="99"/>
      <c r="D454" s="100"/>
      <c r="E454" s="99"/>
      <c r="F454" s="99"/>
      <c r="G454" s="99"/>
      <c r="H454" s="99"/>
      <c r="I454" s="99"/>
      <c r="J454" s="99"/>
      <c r="K454" s="99"/>
      <c r="L454" s="99"/>
      <c r="M454" s="99"/>
      <c r="N454" s="101"/>
      <c r="O454" s="101"/>
      <c r="P454" s="99"/>
      <c r="Q454" s="102"/>
      <c r="R454" s="102"/>
      <c r="S454" s="99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47">
        <f t="shared" si="335"/>
        <v>0</v>
      </c>
      <c r="AO454" s="46">
        <f t="shared" si="336"/>
        <v>0</v>
      </c>
      <c r="AP454" s="57" t="s">
        <v>102</v>
      </c>
      <c r="AQ454" s="46"/>
      <c r="AR454" s="57"/>
      <c r="AS454" s="57"/>
      <c r="AT454" s="57"/>
      <c r="AU454" s="47">
        <f t="shared" si="290"/>
        <v>0</v>
      </c>
      <c r="AV454" s="57"/>
      <c r="AW454" s="47">
        <f t="shared" si="325"/>
        <v>0</v>
      </c>
      <c r="AX454" s="57"/>
      <c r="AY454" s="57"/>
      <c r="AZ454" s="57"/>
      <c r="BA454" s="57"/>
      <c r="BB454" s="57"/>
      <c r="BC454" s="47">
        <f t="shared" si="291"/>
        <v>0</v>
      </c>
      <c r="BD454" s="57"/>
      <c r="BE454" s="47">
        <f t="shared" si="292"/>
        <v>0</v>
      </c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7"/>
      <c r="BZ454" s="57"/>
      <c r="CA454" s="57"/>
      <c r="CB454" s="57"/>
      <c r="CC454" s="57"/>
      <c r="CD454" s="57"/>
      <c r="CE454" s="57"/>
      <c r="CF454" s="57"/>
      <c r="CG454" s="57"/>
      <c r="CH454" s="57"/>
      <c r="CI454" s="57"/>
      <c r="CJ454" s="57"/>
      <c r="CK454" s="57"/>
      <c r="CL454" s="57"/>
      <c r="CM454" s="57"/>
      <c r="CN454" s="57"/>
      <c r="CO454" s="57"/>
      <c r="CP454" s="57">
        <f t="shared" si="333"/>
        <v>0</v>
      </c>
      <c r="CQ454" s="57"/>
      <c r="CR454" s="47">
        <f t="shared" si="294"/>
        <v>0</v>
      </c>
      <c r="CS454" s="57"/>
      <c r="CT454" s="57"/>
      <c r="CU454" s="57"/>
      <c r="CV454" s="57"/>
      <c r="CW454" s="47">
        <f t="shared" si="330"/>
        <v>0</v>
      </c>
      <c r="CX454" s="46"/>
      <c r="CY454" s="47">
        <f t="shared" si="314"/>
        <v>0</v>
      </c>
      <c r="CZ454" s="57"/>
      <c r="DA454" s="57"/>
      <c r="DB454" s="57"/>
      <c r="DC454" s="57"/>
      <c r="DD454" s="47">
        <f t="shared" si="315"/>
        <v>0</v>
      </c>
      <c r="DE454" s="57"/>
      <c r="DF454" s="46">
        <f t="shared" si="316"/>
        <v>0</v>
      </c>
      <c r="DG454" s="57"/>
      <c r="DH454" s="57">
        <f t="shared" si="337"/>
        <v>0</v>
      </c>
      <c r="DI454" s="57"/>
      <c r="DJ454" s="57"/>
      <c r="DK454" s="64"/>
      <c r="DL454" s="47">
        <f t="shared" si="326"/>
        <v>0</v>
      </c>
      <c r="DM454" s="57"/>
      <c r="DN454" s="46">
        <f t="shared" si="334"/>
        <v>0</v>
      </c>
      <c r="DO454" s="57"/>
      <c r="DP454" s="90">
        <f t="shared" si="327"/>
        <v>0</v>
      </c>
      <c r="DQ454" s="57"/>
      <c r="DR454" s="46">
        <f t="shared" si="331"/>
        <v>0</v>
      </c>
      <c r="DS454" s="57"/>
      <c r="DT454" s="46">
        <f t="shared" si="332"/>
        <v>0</v>
      </c>
      <c r="DU454" s="57"/>
      <c r="DV454" s="46">
        <f t="shared" si="328"/>
        <v>0</v>
      </c>
      <c r="DW454" s="57"/>
      <c r="DX454" s="47">
        <f t="shared" si="329"/>
        <v>0</v>
      </c>
      <c r="DY454" s="57"/>
      <c r="DZ454" s="57"/>
      <c r="EA454" s="57"/>
      <c r="EB454" s="57"/>
      <c r="EC454" s="57"/>
      <c r="ED454" s="57"/>
      <c r="EE454" s="47">
        <f t="shared" si="310"/>
        <v>0</v>
      </c>
      <c r="EF454" s="57"/>
      <c r="EG454" s="57"/>
      <c r="EH454" s="57"/>
      <c r="EI454" s="57"/>
      <c r="EJ454" s="57"/>
      <c r="EK454" s="47">
        <f t="shared" si="304"/>
        <v>0</v>
      </c>
      <c r="EL454" s="46">
        <f t="shared" si="305"/>
        <v>0</v>
      </c>
      <c r="EM454" s="57"/>
      <c r="EN454" s="46">
        <f t="shared" si="306"/>
        <v>0</v>
      </c>
    </row>
    <row r="455" spans="2:144" s="48" customFormat="1" ht="15" customHeight="1" x14ac:dyDescent="0.25">
      <c r="B455" s="128">
        <v>60</v>
      </c>
      <c r="C455" s="99"/>
      <c r="D455" s="100"/>
      <c r="E455" s="99"/>
      <c r="F455" s="99"/>
      <c r="G455" s="99"/>
      <c r="H455" s="99"/>
      <c r="I455" s="99"/>
      <c r="J455" s="99"/>
      <c r="K455" s="99"/>
      <c r="L455" s="99"/>
      <c r="M455" s="99"/>
      <c r="N455" s="101"/>
      <c r="O455" s="101"/>
      <c r="P455" s="99"/>
      <c r="Q455" s="102"/>
      <c r="R455" s="102"/>
      <c r="S455" s="99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47">
        <f t="shared" si="335"/>
        <v>0</v>
      </c>
      <c r="AO455" s="46">
        <f t="shared" si="336"/>
        <v>0</v>
      </c>
      <c r="AP455" s="57" t="s">
        <v>102</v>
      </c>
      <c r="AQ455" s="46"/>
      <c r="AR455" s="57"/>
      <c r="AS455" s="57"/>
      <c r="AT455" s="57"/>
      <c r="AU455" s="47">
        <f t="shared" si="290"/>
        <v>0</v>
      </c>
      <c r="AV455" s="57"/>
      <c r="AW455" s="47">
        <f t="shared" si="325"/>
        <v>0</v>
      </c>
      <c r="AX455" s="57"/>
      <c r="AY455" s="57"/>
      <c r="AZ455" s="57"/>
      <c r="BA455" s="57"/>
      <c r="BB455" s="57"/>
      <c r="BC455" s="47">
        <f t="shared" si="291"/>
        <v>0</v>
      </c>
      <c r="BD455" s="57"/>
      <c r="BE455" s="47">
        <f t="shared" si="292"/>
        <v>0</v>
      </c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7"/>
      <c r="BZ455" s="57"/>
      <c r="CA455" s="57"/>
      <c r="CB455" s="57"/>
      <c r="CC455" s="57"/>
      <c r="CD455" s="57"/>
      <c r="CE455" s="57"/>
      <c r="CF455" s="57"/>
      <c r="CG455" s="57"/>
      <c r="CH455" s="57"/>
      <c r="CI455" s="57"/>
      <c r="CJ455" s="57"/>
      <c r="CK455" s="57"/>
      <c r="CL455" s="57"/>
      <c r="CM455" s="57"/>
      <c r="CN455" s="57"/>
      <c r="CO455" s="57"/>
      <c r="CP455" s="57">
        <f t="shared" si="333"/>
        <v>0</v>
      </c>
      <c r="CQ455" s="57"/>
      <c r="CR455" s="47">
        <f t="shared" si="294"/>
        <v>0</v>
      </c>
      <c r="CS455" s="57"/>
      <c r="CT455" s="57"/>
      <c r="CU455" s="57"/>
      <c r="CV455" s="57"/>
      <c r="CW455" s="47">
        <f t="shared" si="330"/>
        <v>0</v>
      </c>
      <c r="CX455" s="46"/>
      <c r="CY455" s="47">
        <f t="shared" si="314"/>
        <v>0</v>
      </c>
      <c r="CZ455" s="57"/>
      <c r="DA455" s="57"/>
      <c r="DB455" s="57"/>
      <c r="DC455" s="57"/>
      <c r="DD455" s="47">
        <f t="shared" si="315"/>
        <v>0</v>
      </c>
      <c r="DE455" s="57"/>
      <c r="DF455" s="46">
        <f t="shared" si="316"/>
        <v>0</v>
      </c>
      <c r="DG455" s="57"/>
      <c r="DH455" s="57">
        <f t="shared" si="337"/>
        <v>0</v>
      </c>
      <c r="DI455" s="57"/>
      <c r="DJ455" s="57"/>
      <c r="DK455" s="47"/>
      <c r="DL455" s="47">
        <f t="shared" si="326"/>
        <v>0</v>
      </c>
      <c r="DM455" s="57"/>
      <c r="DN455" s="46">
        <f t="shared" si="334"/>
        <v>0</v>
      </c>
      <c r="DO455" s="57"/>
      <c r="DP455" s="46">
        <f t="shared" si="327"/>
        <v>0</v>
      </c>
      <c r="DQ455" s="57"/>
      <c r="DR455" s="46">
        <f t="shared" si="331"/>
        <v>0</v>
      </c>
      <c r="DS455" s="57"/>
      <c r="DT455" s="46">
        <f t="shared" si="332"/>
        <v>0</v>
      </c>
      <c r="DU455" s="57"/>
      <c r="DV455" s="46">
        <f t="shared" si="328"/>
        <v>0</v>
      </c>
      <c r="DW455" s="57"/>
      <c r="DX455" s="47">
        <f t="shared" si="329"/>
        <v>0</v>
      </c>
      <c r="DY455" s="57"/>
      <c r="DZ455" s="57"/>
      <c r="EA455" s="57"/>
      <c r="EB455" s="57"/>
      <c r="EC455" s="57"/>
      <c r="ED455" s="57"/>
      <c r="EE455" s="47">
        <f t="shared" si="310"/>
        <v>0</v>
      </c>
      <c r="EF455" s="57"/>
      <c r="EG455" s="57"/>
      <c r="EH455" s="57"/>
      <c r="EI455" s="57"/>
      <c r="EJ455" s="57"/>
      <c r="EK455" s="47">
        <f t="shared" si="304"/>
        <v>0</v>
      </c>
      <c r="EL455" s="46">
        <f t="shared" si="305"/>
        <v>0</v>
      </c>
      <c r="EM455" s="57"/>
      <c r="EN455" s="46">
        <f t="shared" si="306"/>
        <v>0</v>
      </c>
    </row>
    <row r="456" spans="2:144" s="48" customFormat="1" ht="15" customHeight="1" x14ac:dyDescent="0.25">
      <c r="B456" s="128">
        <v>61</v>
      </c>
      <c r="C456" s="99"/>
      <c r="D456" s="100"/>
      <c r="E456" s="99"/>
      <c r="F456" s="99"/>
      <c r="G456" s="99"/>
      <c r="H456" s="99"/>
      <c r="I456" s="99"/>
      <c r="J456" s="99"/>
      <c r="K456" s="99"/>
      <c r="L456" s="99"/>
      <c r="M456" s="99"/>
      <c r="N456" s="101"/>
      <c r="O456" s="101"/>
      <c r="P456" s="99"/>
      <c r="Q456" s="102"/>
      <c r="R456" s="102"/>
      <c r="S456" s="99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47">
        <f t="shared" si="335"/>
        <v>0</v>
      </c>
      <c r="AO456" s="46">
        <f t="shared" si="336"/>
        <v>0</v>
      </c>
      <c r="AP456" s="57" t="s">
        <v>102</v>
      </c>
      <c r="AQ456" s="46"/>
      <c r="AR456" s="57"/>
      <c r="AS456" s="57"/>
      <c r="AT456" s="57"/>
      <c r="AU456" s="47">
        <f t="shared" si="290"/>
        <v>0</v>
      </c>
      <c r="AV456" s="57"/>
      <c r="AW456" s="47">
        <f t="shared" si="325"/>
        <v>0</v>
      </c>
      <c r="AX456" s="57"/>
      <c r="AY456" s="57"/>
      <c r="AZ456" s="57"/>
      <c r="BA456" s="57"/>
      <c r="BB456" s="57"/>
      <c r="BC456" s="47">
        <f t="shared" si="291"/>
        <v>0</v>
      </c>
      <c r="BD456" s="57"/>
      <c r="BE456" s="47">
        <f t="shared" si="292"/>
        <v>0</v>
      </c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>
        <f t="shared" si="333"/>
        <v>0</v>
      </c>
      <c r="CQ456" s="57"/>
      <c r="CR456" s="47">
        <f t="shared" si="294"/>
        <v>0</v>
      </c>
      <c r="CS456" s="57"/>
      <c r="CT456" s="57"/>
      <c r="CU456" s="57"/>
      <c r="CV456" s="57"/>
      <c r="CW456" s="47">
        <f t="shared" si="330"/>
        <v>0</v>
      </c>
      <c r="CX456" s="46"/>
      <c r="CY456" s="47">
        <f t="shared" si="314"/>
        <v>0</v>
      </c>
      <c r="CZ456" s="57"/>
      <c r="DA456" s="57"/>
      <c r="DB456" s="57"/>
      <c r="DC456" s="57"/>
      <c r="DD456" s="47">
        <f t="shared" si="315"/>
        <v>0</v>
      </c>
      <c r="DE456" s="57"/>
      <c r="DF456" s="46">
        <f t="shared" si="316"/>
        <v>0</v>
      </c>
      <c r="DG456" s="57"/>
      <c r="DH456" s="57">
        <f t="shared" si="337"/>
        <v>0</v>
      </c>
      <c r="DI456" s="57"/>
      <c r="DJ456" s="57"/>
      <c r="DK456" s="47"/>
      <c r="DL456" s="47">
        <f t="shared" si="326"/>
        <v>0</v>
      </c>
      <c r="DM456" s="57"/>
      <c r="DN456" s="46">
        <f t="shared" si="334"/>
        <v>0</v>
      </c>
      <c r="DO456" s="57"/>
      <c r="DP456" s="46">
        <f t="shared" si="327"/>
        <v>0</v>
      </c>
      <c r="DQ456" s="57"/>
      <c r="DR456" s="46">
        <f t="shared" si="331"/>
        <v>0</v>
      </c>
      <c r="DS456" s="57"/>
      <c r="DT456" s="46">
        <f t="shared" si="332"/>
        <v>0</v>
      </c>
      <c r="DU456" s="57"/>
      <c r="DV456" s="46">
        <f t="shared" si="328"/>
        <v>0</v>
      </c>
      <c r="DW456" s="57"/>
      <c r="DX456" s="47">
        <f t="shared" si="329"/>
        <v>0</v>
      </c>
      <c r="DY456" s="57"/>
      <c r="DZ456" s="57"/>
      <c r="EA456" s="57"/>
      <c r="EB456" s="57"/>
      <c r="EC456" s="57"/>
      <c r="ED456" s="57"/>
      <c r="EE456" s="47">
        <f t="shared" si="310"/>
        <v>0</v>
      </c>
      <c r="EF456" s="57"/>
      <c r="EG456" s="57"/>
      <c r="EH456" s="57"/>
      <c r="EI456" s="57"/>
      <c r="EJ456" s="57"/>
      <c r="EK456" s="47">
        <f t="shared" si="304"/>
        <v>0</v>
      </c>
      <c r="EL456" s="46">
        <f t="shared" si="305"/>
        <v>0</v>
      </c>
      <c r="EM456" s="57"/>
      <c r="EN456" s="46">
        <f t="shared" si="306"/>
        <v>0</v>
      </c>
    </row>
    <row r="457" spans="2:144" s="48" customFormat="1" ht="15" customHeight="1" x14ac:dyDescent="0.25">
      <c r="B457" s="128">
        <v>62</v>
      </c>
      <c r="C457" s="99"/>
      <c r="D457" s="100"/>
      <c r="E457" s="99"/>
      <c r="F457" s="99"/>
      <c r="G457" s="99"/>
      <c r="H457" s="99"/>
      <c r="I457" s="99"/>
      <c r="J457" s="99"/>
      <c r="K457" s="99"/>
      <c r="L457" s="99"/>
      <c r="M457" s="99"/>
      <c r="N457" s="101"/>
      <c r="O457" s="101"/>
      <c r="P457" s="99"/>
      <c r="Q457" s="102"/>
      <c r="R457" s="102"/>
      <c r="S457" s="99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47">
        <f t="shared" si="335"/>
        <v>0</v>
      </c>
      <c r="AO457" s="46">
        <f t="shared" si="336"/>
        <v>0</v>
      </c>
      <c r="AP457" s="57" t="s">
        <v>102</v>
      </c>
      <c r="AQ457" s="46"/>
      <c r="AR457" s="57"/>
      <c r="AS457" s="57"/>
      <c r="AT457" s="57"/>
      <c r="AU457" s="47">
        <f t="shared" si="290"/>
        <v>0</v>
      </c>
      <c r="AV457" s="57"/>
      <c r="AW457" s="47">
        <f t="shared" si="325"/>
        <v>0</v>
      </c>
      <c r="AX457" s="57"/>
      <c r="AY457" s="57"/>
      <c r="AZ457" s="57"/>
      <c r="BA457" s="57"/>
      <c r="BB457" s="57"/>
      <c r="BC457" s="47">
        <f t="shared" si="291"/>
        <v>0</v>
      </c>
      <c r="BD457" s="57"/>
      <c r="BE457" s="47">
        <f t="shared" si="292"/>
        <v>0</v>
      </c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  <c r="BV457" s="57"/>
      <c r="BW457" s="57"/>
      <c r="BX457" s="57"/>
      <c r="BY457" s="57"/>
      <c r="BZ457" s="57"/>
      <c r="CA457" s="57"/>
      <c r="CB457" s="57"/>
      <c r="CC457" s="57"/>
      <c r="CD457" s="57"/>
      <c r="CE457" s="57"/>
      <c r="CF457" s="57"/>
      <c r="CG457" s="57"/>
      <c r="CH457" s="57"/>
      <c r="CI457" s="57"/>
      <c r="CJ457" s="57"/>
      <c r="CK457" s="57"/>
      <c r="CL457" s="57"/>
      <c r="CM457" s="57"/>
      <c r="CN457" s="57"/>
      <c r="CO457" s="57"/>
      <c r="CP457" s="57">
        <f t="shared" si="333"/>
        <v>0</v>
      </c>
      <c r="CQ457" s="57"/>
      <c r="CR457" s="47">
        <f t="shared" si="294"/>
        <v>0</v>
      </c>
      <c r="CS457" s="57"/>
      <c r="CT457" s="57"/>
      <c r="CU457" s="57"/>
      <c r="CV457" s="57"/>
      <c r="CW457" s="47">
        <f t="shared" si="330"/>
        <v>0</v>
      </c>
      <c r="CX457" s="46"/>
      <c r="CY457" s="47">
        <f t="shared" si="314"/>
        <v>0</v>
      </c>
      <c r="CZ457" s="57"/>
      <c r="DA457" s="57"/>
      <c r="DB457" s="57"/>
      <c r="DC457" s="57"/>
      <c r="DD457" s="47">
        <f t="shared" si="315"/>
        <v>0</v>
      </c>
      <c r="DE457" s="57"/>
      <c r="DF457" s="46">
        <f t="shared" si="316"/>
        <v>0</v>
      </c>
      <c r="DG457" s="57"/>
      <c r="DH457" s="57">
        <f t="shared" si="337"/>
        <v>0</v>
      </c>
      <c r="DI457" s="57"/>
      <c r="DJ457" s="57"/>
      <c r="DK457" s="47"/>
      <c r="DL457" s="47">
        <f t="shared" si="326"/>
        <v>0</v>
      </c>
      <c r="DM457" s="57"/>
      <c r="DN457" s="46">
        <f t="shared" si="334"/>
        <v>0</v>
      </c>
      <c r="DO457" s="57"/>
      <c r="DP457" s="46">
        <f t="shared" si="327"/>
        <v>0</v>
      </c>
      <c r="DQ457" s="57"/>
      <c r="DR457" s="46">
        <f t="shared" si="331"/>
        <v>0</v>
      </c>
      <c r="DS457" s="57"/>
      <c r="DT457" s="46">
        <f t="shared" si="332"/>
        <v>0</v>
      </c>
      <c r="DU457" s="57"/>
      <c r="DV457" s="46">
        <f t="shared" si="328"/>
        <v>0</v>
      </c>
      <c r="DW457" s="57"/>
      <c r="DX457" s="47">
        <f t="shared" si="329"/>
        <v>0</v>
      </c>
      <c r="DY457" s="57"/>
      <c r="DZ457" s="57"/>
      <c r="EA457" s="57"/>
      <c r="EB457" s="57"/>
      <c r="EC457" s="57"/>
      <c r="ED457" s="57"/>
      <c r="EE457" s="47">
        <f t="shared" si="310"/>
        <v>0</v>
      </c>
      <c r="EF457" s="57"/>
      <c r="EG457" s="57"/>
      <c r="EH457" s="57"/>
      <c r="EI457" s="57"/>
      <c r="EJ457" s="57"/>
      <c r="EK457" s="47">
        <f t="shared" si="304"/>
        <v>0</v>
      </c>
      <c r="EL457" s="46">
        <f t="shared" si="305"/>
        <v>0</v>
      </c>
      <c r="EM457" s="57"/>
      <c r="EN457" s="46">
        <f t="shared" si="306"/>
        <v>0</v>
      </c>
    </row>
    <row r="458" spans="2:144" s="48" customFormat="1" ht="15" customHeight="1" x14ac:dyDescent="0.25">
      <c r="B458" s="128">
        <v>63</v>
      </c>
      <c r="C458" s="99"/>
      <c r="D458" s="100"/>
      <c r="E458" s="99"/>
      <c r="F458" s="99"/>
      <c r="G458" s="99"/>
      <c r="H458" s="99"/>
      <c r="I458" s="99"/>
      <c r="J458" s="99"/>
      <c r="K458" s="99"/>
      <c r="L458" s="99"/>
      <c r="M458" s="99"/>
      <c r="N458" s="101"/>
      <c r="O458" s="101"/>
      <c r="P458" s="99"/>
      <c r="Q458" s="102"/>
      <c r="R458" s="102"/>
      <c r="S458" s="99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47">
        <f t="shared" si="335"/>
        <v>0</v>
      </c>
      <c r="AO458" s="46">
        <f t="shared" si="336"/>
        <v>0</v>
      </c>
      <c r="AP458" s="57" t="s">
        <v>102</v>
      </c>
      <c r="AQ458" s="46"/>
      <c r="AR458" s="57"/>
      <c r="AS458" s="57"/>
      <c r="AT458" s="57"/>
      <c r="AU458" s="47">
        <f t="shared" si="290"/>
        <v>0</v>
      </c>
      <c r="AV458" s="57"/>
      <c r="AW458" s="47">
        <f t="shared" si="325"/>
        <v>0</v>
      </c>
      <c r="AX458" s="57"/>
      <c r="AY458" s="57"/>
      <c r="AZ458" s="57"/>
      <c r="BA458" s="57"/>
      <c r="BB458" s="57"/>
      <c r="BC458" s="47">
        <f t="shared" si="291"/>
        <v>0</v>
      </c>
      <c r="BD458" s="57"/>
      <c r="BE458" s="47">
        <f t="shared" si="292"/>
        <v>0</v>
      </c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  <c r="BV458" s="57"/>
      <c r="BW458" s="57"/>
      <c r="BX458" s="57"/>
      <c r="BY458" s="57"/>
      <c r="BZ458" s="57"/>
      <c r="CA458" s="57"/>
      <c r="CB458" s="57"/>
      <c r="CC458" s="57"/>
      <c r="CD458" s="57"/>
      <c r="CE458" s="57"/>
      <c r="CF458" s="57"/>
      <c r="CG458" s="57"/>
      <c r="CH458" s="57"/>
      <c r="CI458" s="57"/>
      <c r="CJ458" s="57"/>
      <c r="CK458" s="57"/>
      <c r="CL458" s="57"/>
      <c r="CM458" s="57"/>
      <c r="CN458" s="57"/>
      <c r="CO458" s="57"/>
      <c r="CP458" s="57">
        <f t="shared" si="333"/>
        <v>0</v>
      </c>
      <c r="CQ458" s="57"/>
      <c r="CR458" s="47">
        <f t="shared" si="294"/>
        <v>0</v>
      </c>
      <c r="CS458" s="57"/>
      <c r="CT458" s="57"/>
      <c r="CU458" s="57"/>
      <c r="CV458" s="57"/>
      <c r="CW458" s="47">
        <f t="shared" si="330"/>
        <v>0</v>
      </c>
      <c r="CX458" s="46"/>
      <c r="CY458" s="47">
        <f t="shared" si="314"/>
        <v>0</v>
      </c>
      <c r="CZ458" s="57"/>
      <c r="DA458" s="57"/>
      <c r="DB458" s="57"/>
      <c r="DC458" s="57"/>
      <c r="DD458" s="47">
        <f t="shared" si="315"/>
        <v>0</v>
      </c>
      <c r="DE458" s="57"/>
      <c r="DF458" s="46">
        <f t="shared" si="316"/>
        <v>0</v>
      </c>
      <c r="DG458" s="57"/>
      <c r="DH458" s="57">
        <f t="shared" si="337"/>
        <v>0</v>
      </c>
      <c r="DI458" s="57"/>
      <c r="DJ458" s="57"/>
      <c r="DK458" s="47"/>
      <c r="DL458" s="47">
        <f t="shared" si="326"/>
        <v>0</v>
      </c>
      <c r="DM458" s="57"/>
      <c r="DN458" s="46">
        <f t="shared" si="334"/>
        <v>0</v>
      </c>
      <c r="DO458" s="57"/>
      <c r="DP458" s="46">
        <f t="shared" si="327"/>
        <v>0</v>
      </c>
      <c r="DQ458" s="57"/>
      <c r="DR458" s="46">
        <f t="shared" si="331"/>
        <v>0</v>
      </c>
      <c r="DS458" s="57"/>
      <c r="DT458" s="46">
        <f t="shared" si="332"/>
        <v>0</v>
      </c>
      <c r="DU458" s="57"/>
      <c r="DV458" s="46">
        <f t="shared" si="328"/>
        <v>0</v>
      </c>
      <c r="DW458" s="57"/>
      <c r="DX458" s="47">
        <f t="shared" si="329"/>
        <v>0</v>
      </c>
      <c r="DY458" s="57"/>
      <c r="DZ458" s="57"/>
      <c r="EA458" s="57"/>
      <c r="EB458" s="57"/>
      <c r="EC458" s="57"/>
      <c r="ED458" s="57"/>
      <c r="EE458" s="47">
        <f t="shared" si="310"/>
        <v>0</v>
      </c>
      <c r="EF458" s="57"/>
      <c r="EG458" s="57"/>
      <c r="EH458" s="57"/>
      <c r="EI458" s="57"/>
      <c r="EJ458" s="57"/>
      <c r="EK458" s="47">
        <f t="shared" si="304"/>
        <v>0</v>
      </c>
      <c r="EL458" s="46">
        <f t="shared" si="305"/>
        <v>0</v>
      </c>
      <c r="EM458" s="57"/>
      <c r="EN458" s="46">
        <f t="shared" si="306"/>
        <v>0</v>
      </c>
    </row>
    <row r="459" spans="2:144" s="48" customFormat="1" ht="15" customHeight="1" x14ac:dyDescent="0.25">
      <c r="B459" s="128">
        <v>64</v>
      </c>
      <c r="C459" s="99"/>
      <c r="D459" s="100"/>
      <c r="E459" s="99"/>
      <c r="F459" s="99"/>
      <c r="G459" s="99"/>
      <c r="H459" s="99"/>
      <c r="I459" s="99"/>
      <c r="J459" s="99"/>
      <c r="K459" s="99"/>
      <c r="L459" s="99"/>
      <c r="M459" s="99"/>
      <c r="N459" s="101"/>
      <c r="O459" s="101"/>
      <c r="P459" s="99"/>
      <c r="Q459" s="102"/>
      <c r="R459" s="102"/>
      <c r="S459" s="99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47">
        <f t="shared" si="335"/>
        <v>0</v>
      </c>
      <c r="AO459" s="46">
        <f t="shared" si="336"/>
        <v>0</v>
      </c>
      <c r="AP459" s="57" t="s">
        <v>102</v>
      </c>
      <c r="AQ459" s="46"/>
      <c r="AR459" s="57"/>
      <c r="AS459" s="57"/>
      <c r="AT459" s="57"/>
      <c r="AU459" s="47">
        <f t="shared" si="290"/>
        <v>0</v>
      </c>
      <c r="AV459" s="57"/>
      <c r="AW459" s="47">
        <f t="shared" si="325"/>
        <v>0</v>
      </c>
      <c r="AX459" s="57"/>
      <c r="AY459" s="57"/>
      <c r="AZ459" s="57"/>
      <c r="BA459" s="57"/>
      <c r="BB459" s="57"/>
      <c r="BC459" s="47">
        <f t="shared" si="291"/>
        <v>0</v>
      </c>
      <c r="BD459" s="57"/>
      <c r="BE459" s="47">
        <f t="shared" si="292"/>
        <v>0</v>
      </c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  <c r="BV459" s="57"/>
      <c r="BW459" s="57"/>
      <c r="BX459" s="57"/>
      <c r="BY459" s="57"/>
      <c r="BZ459" s="57"/>
      <c r="CA459" s="57"/>
      <c r="CB459" s="57"/>
      <c r="CC459" s="57"/>
      <c r="CD459" s="57"/>
      <c r="CE459" s="57"/>
      <c r="CF459" s="57"/>
      <c r="CG459" s="57"/>
      <c r="CH459" s="57"/>
      <c r="CI459" s="57"/>
      <c r="CJ459" s="57"/>
      <c r="CK459" s="57"/>
      <c r="CL459" s="57"/>
      <c r="CM459" s="57"/>
      <c r="CN459" s="57"/>
      <c r="CO459" s="57"/>
      <c r="CP459" s="57">
        <f t="shared" si="333"/>
        <v>0</v>
      </c>
      <c r="CQ459" s="57"/>
      <c r="CR459" s="47">
        <f t="shared" si="294"/>
        <v>0</v>
      </c>
      <c r="CS459" s="57"/>
      <c r="CT459" s="57"/>
      <c r="CU459" s="57"/>
      <c r="CV459" s="57"/>
      <c r="CW459" s="47">
        <f t="shared" si="330"/>
        <v>0</v>
      </c>
      <c r="CX459" s="46"/>
      <c r="CY459" s="47">
        <f t="shared" si="314"/>
        <v>0</v>
      </c>
      <c r="CZ459" s="57"/>
      <c r="DA459" s="57"/>
      <c r="DB459" s="57"/>
      <c r="DC459" s="57"/>
      <c r="DD459" s="47">
        <f t="shared" si="315"/>
        <v>0</v>
      </c>
      <c r="DE459" s="57"/>
      <c r="DF459" s="46">
        <f t="shared" si="316"/>
        <v>0</v>
      </c>
      <c r="DG459" s="57"/>
      <c r="DH459" s="57">
        <f t="shared" si="337"/>
        <v>0</v>
      </c>
      <c r="DI459" s="57"/>
      <c r="DJ459" s="57"/>
      <c r="DK459" s="64"/>
      <c r="DL459" s="47">
        <f t="shared" si="326"/>
        <v>0</v>
      </c>
      <c r="DM459" s="57"/>
      <c r="DN459" s="46">
        <f t="shared" si="334"/>
        <v>0</v>
      </c>
      <c r="DO459" s="57"/>
      <c r="DP459" s="90">
        <f t="shared" si="327"/>
        <v>0</v>
      </c>
      <c r="DQ459" s="57"/>
      <c r="DR459" s="46">
        <f t="shared" si="331"/>
        <v>0</v>
      </c>
      <c r="DS459" s="57"/>
      <c r="DT459" s="46">
        <f t="shared" si="332"/>
        <v>0</v>
      </c>
      <c r="DU459" s="57"/>
      <c r="DV459" s="46">
        <f t="shared" si="328"/>
        <v>0</v>
      </c>
      <c r="DW459" s="57"/>
      <c r="DX459" s="47">
        <f t="shared" si="329"/>
        <v>0</v>
      </c>
      <c r="DY459" s="57"/>
      <c r="DZ459" s="57"/>
      <c r="EA459" s="57"/>
      <c r="EB459" s="57"/>
      <c r="EC459" s="57"/>
      <c r="ED459" s="57"/>
      <c r="EE459" s="47">
        <f t="shared" si="310"/>
        <v>0</v>
      </c>
      <c r="EF459" s="57"/>
      <c r="EG459" s="57"/>
      <c r="EH459" s="57"/>
      <c r="EI459" s="57"/>
      <c r="EJ459" s="57"/>
      <c r="EK459" s="47">
        <f t="shared" si="304"/>
        <v>0</v>
      </c>
      <c r="EL459" s="46">
        <f t="shared" si="305"/>
        <v>0</v>
      </c>
      <c r="EM459" s="57"/>
      <c r="EN459" s="46">
        <f t="shared" si="306"/>
        <v>0</v>
      </c>
    </row>
    <row r="460" spans="2:144" s="48" customFormat="1" ht="15" customHeight="1" x14ac:dyDescent="0.25">
      <c r="B460" s="128">
        <v>65</v>
      </c>
      <c r="C460" s="99"/>
      <c r="D460" s="100"/>
      <c r="E460" s="99"/>
      <c r="F460" s="99"/>
      <c r="G460" s="99"/>
      <c r="H460" s="99"/>
      <c r="I460" s="99"/>
      <c r="J460" s="99"/>
      <c r="K460" s="99"/>
      <c r="L460" s="99"/>
      <c r="M460" s="99"/>
      <c r="N460" s="101"/>
      <c r="O460" s="101"/>
      <c r="P460" s="99"/>
      <c r="Q460" s="102"/>
      <c r="R460" s="102"/>
      <c r="S460" s="99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47">
        <f t="shared" si="335"/>
        <v>0</v>
      </c>
      <c r="AO460" s="46">
        <f t="shared" si="336"/>
        <v>0</v>
      </c>
      <c r="AP460" s="57" t="s">
        <v>102</v>
      </c>
      <c r="AQ460" s="46"/>
      <c r="AR460" s="57"/>
      <c r="AS460" s="57"/>
      <c r="AT460" s="57"/>
      <c r="AU460" s="47">
        <f t="shared" ref="AU460:AU475" si="338">AS460*AT460</f>
        <v>0</v>
      </c>
      <c r="AV460" s="57"/>
      <c r="AW460" s="47">
        <f t="shared" si="325"/>
        <v>0</v>
      </c>
      <c r="AX460" s="57"/>
      <c r="AY460" s="57"/>
      <c r="AZ460" s="57"/>
      <c r="BA460" s="57"/>
      <c r="BB460" s="57"/>
      <c r="BC460" s="47">
        <f t="shared" ref="BC460:BC468" si="339">BA460*BB460</f>
        <v>0</v>
      </c>
      <c r="BD460" s="57"/>
      <c r="BE460" s="47">
        <f t="shared" ref="BE460:BE468" si="340">+AY460+AZ460+BC460+BD460</f>
        <v>0</v>
      </c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  <c r="BV460" s="57"/>
      <c r="BW460" s="57"/>
      <c r="BX460" s="57"/>
      <c r="BY460" s="57"/>
      <c r="BZ460" s="57"/>
      <c r="CA460" s="57"/>
      <c r="CB460" s="57"/>
      <c r="CC460" s="57"/>
      <c r="CD460" s="57"/>
      <c r="CE460" s="57"/>
      <c r="CF460" s="57"/>
      <c r="CG460" s="57"/>
      <c r="CH460" s="57"/>
      <c r="CI460" s="57"/>
      <c r="CJ460" s="57"/>
      <c r="CK460" s="57"/>
      <c r="CL460" s="57"/>
      <c r="CM460" s="57"/>
      <c r="CN460" s="57"/>
      <c r="CO460" s="57"/>
      <c r="CP460" s="57">
        <f t="shared" si="333"/>
        <v>0</v>
      </c>
      <c r="CQ460" s="57"/>
      <c r="CR460" s="47">
        <f t="shared" ref="CR460:CR463" si="341">CM460+CP460+CQ460</f>
        <v>0</v>
      </c>
      <c r="CS460" s="57"/>
      <c r="CT460" s="57"/>
      <c r="CU460" s="57"/>
      <c r="CV460" s="57"/>
      <c r="CW460" s="47">
        <f t="shared" si="330"/>
        <v>0</v>
      </c>
      <c r="CX460" s="46"/>
      <c r="CY460" s="47">
        <f t="shared" si="314"/>
        <v>0</v>
      </c>
      <c r="CZ460" s="57"/>
      <c r="DA460" s="57"/>
      <c r="DB460" s="57"/>
      <c r="DC460" s="57"/>
      <c r="DD460" s="47">
        <f t="shared" si="315"/>
        <v>0</v>
      </c>
      <c r="DE460" s="57"/>
      <c r="DF460" s="46">
        <f t="shared" si="316"/>
        <v>0</v>
      </c>
      <c r="DG460" s="57"/>
      <c r="DH460" s="57">
        <f t="shared" si="337"/>
        <v>0</v>
      </c>
      <c r="DI460" s="57"/>
      <c r="DJ460" s="57"/>
      <c r="DK460" s="64"/>
      <c r="DL460" s="47">
        <f t="shared" si="326"/>
        <v>0</v>
      </c>
      <c r="DM460" s="57"/>
      <c r="DN460" s="46">
        <f t="shared" si="334"/>
        <v>0</v>
      </c>
      <c r="DO460" s="57"/>
      <c r="DP460" s="90">
        <f t="shared" si="327"/>
        <v>0</v>
      </c>
      <c r="DQ460" s="57"/>
      <c r="DR460" s="46">
        <f t="shared" si="331"/>
        <v>0</v>
      </c>
      <c r="DS460" s="57"/>
      <c r="DT460" s="46">
        <f t="shared" si="332"/>
        <v>0</v>
      </c>
      <c r="DU460" s="57"/>
      <c r="DV460" s="46">
        <f t="shared" si="328"/>
        <v>0</v>
      </c>
      <c r="DW460" s="57"/>
      <c r="DX460" s="47">
        <f t="shared" si="329"/>
        <v>0</v>
      </c>
      <c r="DY460" s="57"/>
      <c r="DZ460" s="57"/>
      <c r="EA460" s="57"/>
      <c r="EB460" s="57"/>
      <c r="EC460" s="57"/>
      <c r="ED460" s="57"/>
      <c r="EE460" s="47">
        <f t="shared" si="310"/>
        <v>0</v>
      </c>
      <c r="EF460" s="57"/>
      <c r="EG460" s="57"/>
      <c r="EH460" s="57"/>
      <c r="EI460" s="57"/>
      <c r="EJ460" s="57"/>
      <c r="EK460" s="47">
        <f t="shared" ref="EK460:EK475" si="342">+EG460+EH460+EI460+EJ460</f>
        <v>0</v>
      </c>
      <c r="EL460" s="46">
        <f t="shared" ref="EL460:EL475" si="343">+AO460-EE460-EK460</f>
        <v>0</v>
      </c>
      <c r="EM460" s="57"/>
      <c r="EN460" s="46">
        <f t="shared" ref="EN460:EN475" si="344">EL460+EM460</f>
        <v>0</v>
      </c>
    </row>
    <row r="461" spans="2:144" s="48" customFormat="1" ht="15" customHeight="1" x14ac:dyDescent="0.25">
      <c r="B461" s="128">
        <v>66</v>
      </c>
      <c r="C461" s="99"/>
      <c r="D461" s="100"/>
      <c r="E461" s="99"/>
      <c r="F461" s="99"/>
      <c r="G461" s="99"/>
      <c r="H461" s="99"/>
      <c r="I461" s="99"/>
      <c r="J461" s="99"/>
      <c r="K461" s="99"/>
      <c r="L461" s="99"/>
      <c r="M461" s="99"/>
      <c r="N461" s="101"/>
      <c r="O461" s="101"/>
      <c r="P461" s="99"/>
      <c r="Q461" s="102"/>
      <c r="R461" s="102"/>
      <c r="S461" s="99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47">
        <f t="shared" si="335"/>
        <v>0</v>
      </c>
      <c r="AO461" s="46">
        <f t="shared" si="336"/>
        <v>0</v>
      </c>
      <c r="AP461" s="57" t="s">
        <v>102</v>
      </c>
      <c r="AQ461" s="46"/>
      <c r="AR461" s="57"/>
      <c r="AS461" s="57"/>
      <c r="AT461" s="57"/>
      <c r="AU461" s="47">
        <f t="shared" si="338"/>
        <v>0</v>
      </c>
      <c r="AV461" s="57"/>
      <c r="AW461" s="47">
        <f t="shared" si="325"/>
        <v>0</v>
      </c>
      <c r="AX461" s="57"/>
      <c r="AY461" s="57"/>
      <c r="AZ461" s="57"/>
      <c r="BA461" s="57"/>
      <c r="BB461" s="57"/>
      <c r="BC461" s="47">
        <f t="shared" si="339"/>
        <v>0</v>
      </c>
      <c r="BD461" s="57"/>
      <c r="BE461" s="47">
        <f t="shared" si="340"/>
        <v>0</v>
      </c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57"/>
      <c r="BS461" s="57"/>
      <c r="BT461" s="57"/>
      <c r="BU461" s="57"/>
      <c r="BV461" s="57"/>
      <c r="BW461" s="57"/>
      <c r="BX461" s="57"/>
      <c r="BY461" s="57"/>
      <c r="BZ461" s="57"/>
      <c r="CA461" s="57"/>
      <c r="CB461" s="57"/>
      <c r="CC461" s="57"/>
      <c r="CD461" s="57"/>
      <c r="CE461" s="57"/>
      <c r="CF461" s="57"/>
      <c r="CG461" s="57"/>
      <c r="CH461" s="57"/>
      <c r="CI461" s="57"/>
      <c r="CJ461" s="57"/>
      <c r="CK461" s="57"/>
      <c r="CL461" s="57"/>
      <c r="CM461" s="57"/>
      <c r="CN461" s="57"/>
      <c r="CO461" s="57"/>
      <c r="CP461" s="57">
        <f t="shared" si="333"/>
        <v>0</v>
      </c>
      <c r="CQ461" s="57"/>
      <c r="CR461" s="47">
        <f t="shared" si="341"/>
        <v>0</v>
      </c>
      <c r="CS461" s="57"/>
      <c r="CT461" s="57"/>
      <c r="CU461" s="57"/>
      <c r="CV461" s="57"/>
      <c r="CW461" s="47">
        <f t="shared" si="330"/>
        <v>0</v>
      </c>
      <c r="CX461" s="46"/>
      <c r="CY461" s="47">
        <f t="shared" si="314"/>
        <v>0</v>
      </c>
      <c r="CZ461" s="57"/>
      <c r="DA461" s="57"/>
      <c r="DB461" s="57"/>
      <c r="DC461" s="57"/>
      <c r="DD461" s="47">
        <f t="shared" si="315"/>
        <v>0</v>
      </c>
      <c r="DE461" s="57"/>
      <c r="DF461" s="46">
        <f t="shared" si="316"/>
        <v>0</v>
      </c>
      <c r="DG461" s="57"/>
      <c r="DH461" s="57">
        <f t="shared" si="337"/>
        <v>0</v>
      </c>
      <c r="DI461" s="57"/>
      <c r="DJ461" s="57"/>
      <c r="DK461" s="64"/>
      <c r="DL461" s="47">
        <f t="shared" si="326"/>
        <v>0</v>
      </c>
      <c r="DM461" s="57"/>
      <c r="DN461" s="46">
        <f t="shared" si="334"/>
        <v>0</v>
      </c>
      <c r="DO461" s="57"/>
      <c r="DP461" s="90">
        <f t="shared" si="327"/>
        <v>0</v>
      </c>
      <c r="DQ461" s="57"/>
      <c r="DR461" s="46">
        <f t="shared" si="331"/>
        <v>0</v>
      </c>
      <c r="DS461" s="57"/>
      <c r="DT461" s="46">
        <f t="shared" si="332"/>
        <v>0</v>
      </c>
      <c r="DU461" s="57"/>
      <c r="DV461" s="46">
        <f t="shared" si="328"/>
        <v>0</v>
      </c>
      <c r="DW461" s="57"/>
      <c r="DX461" s="47">
        <f t="shared" si="329"/>
        <v>0</v>
      </c>
      <c r="DY461" s="57"/>
      <c r="DZ461" s="57"/>
      <c r="EA461" s="57"/>
      <c r="EB461" s="57"/>
      <c r="EC461" s="57"/>
      <c r="ED461" s="57"/>
      <c r="EE461" s="47">
        <f t="shared" si="310"/>
        <v>0</v>
      </c>
      <c r="EF461" s="57"/>
      <c r="EG461" s="57"/>
      <c r="EH461" s="57"/>
      <c r="EI461" s="57"/>
      <c r="EJ461" s="57"/>
      <c r="EK461" s="47">
        <f t="shared" si="342"/>
        <v>0</v>
      </c>
      <c r="EL461" s="46">
        <f t="shared" si="343"/>
        <v>0</v>
      </c>
      <c r="EM461" s="57"/>
      <c r="EN461" s="46">
        <f t="shared" si="344"/>
        <v>0</v>
      </c>
    </row>
    <row r="462" spans="2:144" s="48" customFormat="1" ht="15" customHeight="1" x14ac:dyDescent="0.25">
      <c r="B462" s="128">
        <v>67</v>
      </c>
      <c r="C462" s="99"/>
      <c r="D462" s="100"/>
      <c r="E462" s="99"/>
      <c r="F462" s="99"/>
      <c r="G462" s="99"/>
      <c r="H462" s="99"/>
      <c r="I462" s="99"/>
      <c r="J462" s="99"/>
      <c r="K462" s="99"/>
      <c r="L462" s="99"/>
      <c r="M462" s="99"/>
      <c r="N462" s="101"/>
      <c r="O462" s="101"/>
      <c r="P462" s="99"/>
      <c r="Q462" s="102"/>
      <c r="R462" s="102"/>
      <c r="S462" s="99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47">
        <f t="shared" si="335"/>
        <v>0</v>
      </c>
      <c r="AO462" s="46">
        <f t="shared" si="336"/>
        <v>0</v>
      </c>
      <c r="AP462" s="57" t="s">
        <v>102</v>
      </c>
      <c r="AQ462" s="46"/>
      <c r="AR462" s="57"/>
      <c r="AS462" s="57"/>
      <c r="AT462" s="57"/>
      <c r="AU462" s="47">
        <f t="shared" si="338"/>
        <v>0</v>
      </c>
      <c r="AV462" s="57"/>
      <c r="AW462" s="47">
        <f t="shared" si="325"/>
        <v>0</v>
      </c>
      <c r="AX462" s="57"/>
      <c r="AY462" s="57"/>
      <c r="AZ462" s="57"/>
      <c r="BA462" s="57"/>
      <c r="BB462" s="57"/>
      <c r="BC462" s="47">
        <f t="shared" si="339"/>
        <v>0</v>
      </c>
      <c r="BD462" s="57"/>
      <c r="BE462" s="47">
        <f t="shared" si="340"/>
        <v>0</v>
      </c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  <c r="BV462" s="57"/>
      <c r="BW462" s="57"/>
      <c r="BX462" s="57"/>
      <c r="BY462" s="57"/>
      <c r="BZ462" s="57"/>
      <c r="CA462" s="57"/>
      <c r="CB462" s="57"/>
      <c r="CC462" s="57"/>
      <c r="CD462" s="57"/>
      <c r="CE462" s="57"/>
      <c r="CF462" s="57"/>
      <c r="CG462" s="57"/>
      <c r="CH462" s="57"/>
      <c r="CI462" s="57"/>
      <c r="CJ462" s="57"/>
      <c r="CK462" s="57"/>
      <c r="CL462" s="57"/>
      <c r="CM462" s="57"/>
      <c r="CN462" s="57"/>
      <c r="CO462" s="57"/>
      <c r="CP462" s="57">
        <f t="shared" si="333"/>
        <v>0</v>
      </c>
      <c r="CQ462" s="57"/>
      <c r="CR462" s="47">
        <f t="shared" si="341"/>
        <v>0</v>
      </c>
      <c r="CS462" s="57"/>
      <c r="CT462" s="57"/>
      <c r="CU462" s="57"/>
      <c r="CV462" s="57"/>
      <c r="CW462" s="47">
        <f t="shared" si="330"/>
        <v>0</v>
      </c>
      <c r="CX462" s="46"/>
      <c r="CY462" s="47">
        <f t="shared" si="314"/>
        <v>0</v>
      </c>
      <c r="CZ462" s="57"/>
      <c r="DA462" s="57"/>
      <c r="DB462" s="57"/>
      <c r="DC462" s="57"/>
      <c r="DD462" s="47">
        <f t="shared" si="315"/>
        <v>0</v>
      </c>
      <c r="DE462" s="57"/>
      <c r="DF462" s="46">
        <f t="shared" si="316"/>
        <v>0</v>
      </c>
      <c r="DG462" s="57"/>
      <c r="DH462" s="57">
        <f t="shared" si="337"/>
        <v>0</v>
      </c>
      <c r="DI462" s="57"/>
      <c r="DJ462" s="57"/>
      <c r="DK462" s="64"/>
      <c r="DL462" s="47">
        <f t="shared" si="326"/>
        <v>0</v>
      </c>
      <c r="DM462" s="57"/>
      <c r="DN462" s="46">
        <f t="shared" si="334"/>
        <v>0</v>
      </c>
      <c r="DO462" s="57"/>
      <c r="DP462" s="90">
        <f t="shared" si="327"/>
        <v>0</v>
      </c>
      <c r="DQ462" s="57"/>
      <c r="DR462" s="46">
        <f t="shared" si="331"/>
        <v>0</v>
      </c>
      <c r="DS462" s="57"/>
      <c r="DT462" s="46">
        <f t="shared" si="332"/>
        <v>0</v>
      </c>
      <c r="DU462" s="57"/>
      <c r="DV462" s="46">
        <f t="shared" si="328"/>
        <v>0</v>
      </c>
      <c r="DW462" s="57"/>
      <c r="DX462" s="47">
        <f t="shared" si="329"/>
        <v>0</v>
      </c>
      <c r="DY462" s="57"/>
      <c r="DZ462" s="57"/>
      <c r="EA462" s="57"/>
      <c r="EB462" s="57"/>
      <c r="EC462" s="57"/>
      <c r="ED462" s="57"/>
      <c r="EE462" s="47">
        <f t="shared" si="310"/>
        <v>0</v>
      </c>
      <c r="EF462" s="57"/>
      <c r="EG462" s="57"/>
      <c r="EH462" s="57"/>
      <c r="EI462" s="57"/>
      <c r="EJ462" s="57"/>
      <c r="EK462" s="47">
        <f t="shared" si="342"/>
        <v>0</v>
      </c>
      <c r="EL462" s="46">
        <f t="shared" si="343"/>
        <v>0</v>
      </c>
      <c r="EM462" s="57"/>
      <c r="EN462" s="46">
        <f t="shared" si="344"/>
        <v>0</v>
      </c>
    </row>
    <row r="463" spans="2:144" s="48" customFormat="1" ht="15" customHeight="1" x14ac:dyDescent="0.25">
      <c r="B463" s="128">
        <v>68</v>
      </c>
      <c r="C463" s="99"/>
      <c r="D463" s="100"/>
      <c r="E463" s="99"/>
      <c r="F463" s="99"/>
      <c r="G463" s="99"/>
      <c r="H463" s="99"/>
      <c r="I463" s="99"/>
      <c r="J463" s="99"/>
      <c r="K463" s="99"/>
      <c r="L463" s="99"/>
      <c r="M463" s="99"/>
      <c r="N463" s="101"/>
      <c r="O463" s="101"/>
      <c r="P463" s="99"/>
      <c r="Q463" s="102"/>
      <c r="R463" s="102"/>
      <c r="S463" s="99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47">
        <f t="shared" si="335"/>
        <v>0</v>
      </c>
      <c r="AO463" s="46">
        <f t="shared" si="336"/>
        <v>0</v>
      </c>
      <c r="AP463" s="57" t="s">
        <v>102</v>
      </c>
      <c r="AQ463" s="46"/>
      <c r="AR463" s="57"/>
      <c r="AS463" s="57"/>
      <c r="AT463" s="57"/>
      <c r="AU463" s="47">
        <f t="shared" si="338"/>
        <v>0</v>
      </c>
      <c r="AV463" s="57"/>
      <c r="AW463" s="47">
        <f t="shared" si="325"/>
        <v>0</v>
      </c>
      <c r="AX463" s="57"/>
      <c r="AY463" s="57"/>
      <c r="AZ463" s="57"/>
      <c r="BA463" s="57"/>
      <c r="BB463" s="57"/>
      <c r="BC463" s="47">
        <f t="shared" si="339"/>
        <v>0</v>
      </c>
      <c r="BD463" s="57"/>
      <c r="BE463" s="47">
        <f t="shared" si="340"/>
        <v>0</v>
      </c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57"/>
      <c r="BS463" s="57"/>
      <c r="BT463" s="57"/>
      <c r="BU463" s="57"/>
      <c r="BV463" s="57"/>
      <c r="BW463" s="57"/>
      <c r="BX463" s="57"/>
      <c r="BY463" s="57"/>
      <c r="BZ463" s="57"/>
      <c r="CA463" s="57"/>
      <c r="CB463" s="57"/>
      <c r="CC463" s="57"/>
      <c r="CD463" s="57"/>
      <c r="CE463" s="57"/>
      <c r="CF463" s="57"/>
      <c r="CG463" s="57"/>
      <c r="CH463" s="57"/>
      <c r="CI463" s="57"/>
      <c r="CJ463" s="57"/>
      <c r="CK463" s="57"/>
      <c r="CL463" s="57"/>
      <c r="CM463" s="57"/>
      <c r="CN463" s="57"/>
      <c r="CO463" s="57"/>
      <c r="CP463" s="57">
        <f t="shared" si="333"/>
        <v>0</v>
      </c>
      <c r="CQ463" s="57"/>
      <c r="CR463" s="47">
        <f t="shared" si="341"/>
        <v>0</v>
      </c>
      <c r="CS463" s="57"/>
      <c r="CT463" s="57"/>
      <c r="CU463" s="57"/>
      <c r="CV463" s="57"/>
      <c r="CW463" s="47">
        <f t="shared" si="330"/>
        <v>0</v>
      </c>
      <c r="CX463" s="46"/>
      <c r="CY463" s="47">
        <f t="shared" si="314"/>
        <v>0</v>
      </c>
      <c r="CZ463" s="57"/>
      <c r="DA463" s="57"/>
      <c r="DB463" s="57"/>
      <c r="DC463" s="57"/>
      <c r="DD463" s="47">
        <f t="shared" si="315"/>
        <v>0</v>
      </c>
      <c r="DE463" s="57"/>
      <c r="DF463" s="46">
        <f t="shared" si="316"/>
        <v>0</v>
      </c>
      <c r="DG463" s="57"/>
      <c r="DH463" s="57">
        <f t="shared" si="337"/>
        <v>0</v>
      </c>
      <c r="DI463" s="57"/>
      <c r="DJ463" s="57"/>
      <c r="DK463" s="64"/>
      <c r="DL463" s="47">
        <f t="shared" si="326"/>
        <v>0</v>
      </c>
      <c r="DM463" s="57"/>
      <c r="DN463" s="46">
        <f t="shared" si="334"/>
        <v>0</v>
      </c>
      <c r="DO463" s="57"/>
      <c r="DP463" s="90">
        <f t="shared" si="327"/>
        <v>0</v>
      </c>
      <c r="DQ463" s="57"/>
      <c r="DR463" s="46">
        <f t="shared" si="331"/>
        <v>0</v>
      </c>
      <c r="DS463" s="57"/>
      <c r="DT463" s="46">
        <f t="shared" si="332"/>
        <v>0</v>
      </c>
      <c r="DU463" s="57"/>
      <c r="DV463" s="46">
        <f t="shared" si="328"/>
        <v>0</v>
      </c>
      <c r="DW463" s="57"/>
      <c r="DX463" s="47">
        <f t="shared" si="329"/>
        <v>0</v>
      </c>
      <c r="DY463" s="57"/>
      <c r="DZ463" s="57"/>
      <c r="EA463" s="57"/>
      <c r="EB463" s="57"/>
      <c r="EC463" s="57"/>
      <c r="ED463" s="57"/>
      <c r="EE463" s="47">
        <f t="shared" si="310"/>
        <v>0</v>
      </c>
      <c r="EF463" s="57"/>
      <c r="EG463" s="57"/>
      <c r="EH463" s="57"/>
      <c r="EI463" s="57"/>
      <c r="EJ463" s="57"/>
      <c r="EK463" s="47">
        <f t="shared" si="342"/>
        <v>0</v>
      </c>
      <c r="EL463" s="46">
        <f t="shared" si="343"/>
        <v>0</v>
      </c>
      <c r="EM463" s="57"/>
      <c r="EN463" s="46">
        <f t="shared" si="344"/>
        <v>0</v>
      </c>
    </row>
    <row r="464" spans="2:144" s="48" customFormat="1" ht="15" customHeight="1" x14ac:dyDescent="0.25">
      <c r="B464" s="128">
        <v>69</v>
      </c>
      <c r="C464" s="99"/>
      <c r="D464" s="100"/>
      <c r="E464" s="99"/>
      <c r="F464" s="99"/>
      <c r="G464" s="99"/>
      <c r="H464" s="99"/>
      <c r="I464" s="99"/>
      <c r="J464" s="99"/>
      <c r="K464" s="99"/>
      <c r="L464" s="99"/>
      <c r="M464" s="99"/>
      <c r="N464" s="101"/>
      <c r="O464" s="101"/>
      <c r="P464" s="99"/>
      <c r="Q464" s="102"/>
      <c r="R464" s="102"/>
      <c r="S464" s="99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47">
        <f t="shared" si="335"/>
        <v>0</v>
      </c>
      <c r="AO464" s="46">
        <f t="shared" si="336"/>
        <v>0</v>
      </c>
      <c r="AP464" s="57" t="s">
        <v>102</v>
      </c>
      <c r="AQ464" s="46"/>
      <c r="AR464" s="57"/>
      <c r="AS464" s="57"/>
      <c r="AT464" s="57"/>
      <c r="AU464" s="47">
        <f t="shared" si="338"/>
        <v>0</v>
      </c>
      <c r="AV464" s="57"/>
      <c r="AW464" s="47">
        <f t="shared" si="325"/>
        <v>0</v>
      </c>
      <c r="AX464" s="57"/>
      <c r="AY464" s="57"/>
      <c r="AZ464" s="57"/>
      <c r="BA464" s="57"/>
      <c r="BB464" s="57"/>
      <c r="BC464" s="47">
        <f t="shared" si="339"/>
        <v>0</v>
      </c>
      <c r="BD464" s="57"/>
      <c r="BE464" s="47">
        <f t="shared" si="340"/>
        <v>0</v>
      </c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  <c r="CD464" s="57"/>
      <c r="CE464" s="57"/>
      <c r="CF464" s="57"/>
      <c r="CG464" s="57"/>
      <c r="CH464" s="57"/>
      <c r="CI464" s="57"/>
      <c r="CJ464" s="57"/>
      <c r="CK464" s="57"/>
      <c r="CL464" s="57"/>
      <c r="CM464" s="57"/>
      <c r="CN464" s="57"/>
      <c r="CO464" s="57"/>
      <c r="CP464" s="57">
        <f t="shared" si="333"/>
        <v>0</v>
      </c>
      <c r="CQ464" s="57"/>
      <c r="CR464" s="47">
        <f>CQ464</f>
        <v>0</v>
      </c>
      <c r="CS464" s="57"/>
      <c r="CT464" s="57"/>
      <c r="CU464" s="57"/>
      <c r="CV464" s="57"/>
      <c r="CW464" s="47">
        <f t="shared" si="330"/>
        <v>0</v>
      </c>
      <c r="CX464" s="46"/>
      <c r="CY464" s="47">
        <f t="shared" si="314"/>
        <v>0</v>
      </c>
      <c r="CZ464" s="57"/>
      <c r="DA464" s="57"/>
      <c r="DB464" s="57"/>
      <c r="DC464" s="57"/>
      <c r="DD464" s="47">
        <f t="shared" si="315"/>
        <v>0</v>
      </c>
      <c r="DE464" s="57"/>
      <c r="DF464" s="46">
        <f t="shared" si="316"/>
        <v>0</v>
      </c>
      <c r="DG464" s="57"/>
      <c r="DH464" s="57"/>
      <c r="DI464" s="57"/>
      <c r="DJ464" s="57"/>
      <c r="DK464" s="64"/>
      <c r="DL464" s="47">
        <f t="shared" si="326"/>
        <v>0</v>
      </c>
      <c r="DM464" s="57"/>
      <c r="DN464" s="46">
        <f t="shared" si="334"/>
        <v>0</v>
      </c>
      <c r="DO464" s="57"/>
      <c r="DP464" s="90">
        <f t="shared" si="327"/>
        <v>0</v>
      </c>
      <c r="DQ464" s="57"/>
      <c r="DR464" s="46">
        <f t="shared" si="331"/>
        <v>0</v>
      </c>
      <c r="DS464" s="57"/>
      <c r="DT464" s="46">
        <f t="shared" si="332"/>
        <v>0</v>
      </c>
      <c r="DU464" s="57"/>
      <c r="DV464" s="46">
        <f t="shared" si="328"/>
        <v>0</v>
      </c>
      <c r="DW464" s="57"/>
      <c r="DX464" s="47">
        <f t="shared" si="329"/>
        <v>0</v>
      </c>
      <c r="DY464" s="57"/>
      <c r="DZ464" s="57"/>
      <c r="EA464" s="57"/>
      <c r="EB464" s="57"/>
      <c r="EC464" s="57"/>
      <c r="ED464" s="57"/>
      <c r="EE464" s="47">
        <f t="shared" si="310"/>
        <v>0</v>
      </c>
      <c r="EF464" s="57"/>
      <c r="EG464" s="57"/>
      <c r="EH464" s="57"/>
      <c r="EI464" s="57"/>
      <c r="EJ464" s="57"/>
      <c r="EK464" s="47">
        <f t="shared" si="342"/>
        <v>0</v>
      </c>
      <c r="EL464" s="46">
        <f t="shared" si="343"/>
        <v>0</v>
      </c>
      <c r="EM464" s="57"/>
      <c r="EN464" s="46">
        <f t="shared" si="344"/>
        <v>0</v>
      </c>
    </row>
    <row r="465" spans="2:144" s="48" customFormat="1" ht="15" customHeight="1" x14ac:dyDescent="0.25">
      <c r="B465" s="128">
        <v>70</v>
      </c>
      <c r="C465" s="99"/>
      <c r="D465" s="100"/>
      <c r="E465" s="99"/>
      <c r="F465" s="99"/>
      <c r="G465" s="99"/>
      <c r="H465" s="99"/>
      <c r="I465" s="99"/>
      <c r="J465" s="99"/>
      <c r="K465" s="99"/>
      <c r="L465" s="99"/>
      <c r="M465" s="99"/>
      <c r="N465" s="101"/>
      <c r="O465" s="101"/>
      <c r="P465" s="99"/>
      <c r="Q465" s="102"/>
      <c r="R465" s="102"/>
      <c r="S465" s="99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47">
        <f t="shared" si="335"/>
        <v>0</v>
      </c>
      <c r="AO465" s="46">
        <f t="shared" si="336"/>
        <v>0</v>
      </c>
      <c r="AP465" s="57" t="s">
        <v>102</v>
      </c>
      <c r="AQ465" s="46"/>
      <c r="AR465" s="57"/>
      <c r="AS465" s="57"/>
      <c r="AT465" s="57"/>
      <c r="AU465" s="47">
        <f t="shared" si="338"/>
        <v>0</v>
      </c>
      <c r="AV465" s="57"/>
      <c r="AW465" s="47">
        <f t="shared" si="325"/>
        <v>0</v>
      </c>
      <c r="AX465" s="57"/>
      <c r="AY465" s="57"/>
      <c r="AZ465" s="57"/>
      <c r="BA465" s="57"/>
      <c r="BB465" s="57"/>
      <c r="BC465" s="47">
        <f t="shared" si="339"/>
        <v>0</v>
      </c>
      <c r="BD465" s="57"/>
      <c r="BE465" s="47">
        <f t="shared" si="340"/>
        <v>0</v>
      </c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57"/>
      <c r="BS465" s="57"/>
      <c r="BT465" s="57"/>
      <c r="BU465" s="57"/>
      <c r="BV465" s="57"/>
      <c r="BW465" s="57"/>
      <c r="BX465" s="57"/>
      <c r="BY465" s="57"/>
      <c r="BZ465" s="57"/>
      <c r="CA465" s="57"/>
      <c r="CB465" s="57"/>
      <c r="CC465" s="57"/>
      <c r="CD465" s="57"/>
      <c r="CE465" s="57"/>
      <c r="CF465" s="57"/>
      <c r="CG465" s="57"/>
      <c r="CH465" s="57"/>
      <c r="CI465" s="57"/>
      <c r="CJ465" s="57"/>
      <c r="CK465" s="57"/>
      <c r="CL465" s="57"/>
      <c r="CM465" s="57"/>
      <c r="CN465" s="57"/>
      <c r="CO465" s="57"/>
      <c r="CP465" s="57"/>
      <c r="CQ465" s="57"/>
      <c r="CR465" s="47">
        <f t="shared" ref="CR465:CR475" si="345">CM465+CP465+CQ465</f>
        <v>0</v>
      </c>
      <c r="CS465" s="57"/>
      <c r="CT465" s="57"/>
      <c r="CU465" s="57"/>
      <c r="CV465" s="57"/>
      <c r="CW465" s="47"/>
      <c r="CX465" s="46"/>
      <c r="CY465" s="47">
        <f t="shared" si="314"/>
        <v>0</v>
      </c>
      <c r="CZ465" s="57"/>
      <c r="DA465" s="57"/>
      <c r="DB465" s="57"/>
      <c r="DC465" s="57"/>
      <c r="DD465" s="47"/>
      <c r="DE465" s="57"/>
      <c r="DF465" s="46"/>
      <c r="DG465" s="57"/>
      <c r="DH465" s="57"/>
      <c r="DI465" s="57"/>
      <c r="DJ465" s="57"/>
      <c r="DK465" s="64"/>
      <c r="DL465" s="47"/>
      <c r="DM465" s="57"/>
      <c r="DN465" s="46"/>
      <c r="DO465" s="57"/>
      <c r="DP465" s="90"/>
      <c r="DQ465" s="57"/>
      <c r="DR465" s="46"/>
      <c r="DS465" s="57"/>
      <c r="DT465" s="46"/>
      <c r="DU465" s="57"/>
      <c r="DV465" s="46"/>
      <c r="DW465" s="57"/>
      <c r="DX465" s="47">
        <f t="shared" si="329"/>
        <v>0</v>
      </c>
      <c r="DY465" s="57"/>
      <c r="DZ465" s="57"/>
      <c r="EA465" s="57"/>
      <c r="EB465" s="57"/>
      <c r="EC465" s="57"/>
      <c r="ED465" s="57"/>
      <c r="EE465" s="47">
        <f t="shared" si="310"/>
        <v>0</v>
      </c>
      <c r="EF465" s="57"/>
      <c r="EG465" s="57"/>
      <c r="EH465" s="57"/>
      <c r="EI465" s="57"/>
      <c r="EJ465" s="57"/>
      <c r="EK465" s="47">
        <f t="shared" si="342"/>
        <v>0</v>
      </c>
      <c r="EL465" s="46">
        <f t="shared" si="343"/>
        <v>0</v>
      </c>
      <c r="EM465" s="57"/>
      <c r="EN465" s="46">
        <f t="shared" si="344"/>
        <v>0</v>
      </c>
    </row>
    <row r="466" spans="2:144" s="48" customFormat="1" ht="15" customHeight="1" x14ac:dyDescent="0.25">
      <c r="B466" s="128">
        <v>71</v>
      </c>
      <c r="C466" s="99"/>
      <c r="D466" s="100"/>
      <c r="E466" s="99"/>
      <c r="F466" s="99"/>
      <c r="G466" s="99"/>
      <c r="H466" s="99"/>
      <c r="I466" s="99"/>
      <c r="J466" s="99"/>
      <c r="K466" s="99"/>
      <c r="L466" s="99"/>
      <c r="M466" s="99"/>
      <c r="N466" s="101"/>
      <c r="O466" s="101"/>
      <c r="P466" s="99"/>
      <c r="Q466" s="102"/>
      <c r="R466" s="102"/>
      <c r="S466" s="99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47">
        <f t="shared" si="335"/>
        <v>0</v>
      </c>
      <c r="AO466" s="46">
        <f t="shared" si="336"/>
        <v>0</v>
      </c>
      <c r="AP466" s="57" t="s">
        <v>102</v>
      </c>
      <c r="AQ466" s="46"/>
      <c r="AR466" s="57"/>
      <c r="AS466" s="57"/>
      <c r="AT466" s="57"/>
      <c r="AU466" s="47">
        <f t="shared" si="338"/>
        <v>0</v>
      </c>
      <c r="AV466" s="57"/>
      <c r="AW466" s="47">
        <f t="shared" si="325"/>
        <v>0</v>
      </c>
      <c r="AX466" s="57"/>
      <c r="AY466" s="57"/>
      <c r="AZ466" s="57"/>
      <c r="BA466" s="57"/>
      <c r="BB466" s="57"/>
      <c r="BC466" s="47">
        <f t="shared" si="339"/>
        <v>0</v>
      </c>
      <c r="BD466" s="57"/>
      <c r="BE466" s="47">
        <f t="shared" si="340"/>
        <v>0</v>
      </c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  <c r="BV466" s="57"/>
      <c r="BW466" s="57"/>
      <c r="BX466" s="57"/>
      <c r="BY466" s="57"/>
      <c r="BZ466" s="57"/>
      <c r="CA466" s="57"/>
      <c r="CB466" s="57"/>
      <c r="CC466" s="57"/>
      <c r="CD466" s="57"/>
      <c r="CE466" s="57"/>
      <c r="CF466" s="57"/>
      <c r="CG466" s="57"/>
      <c r="CH466" s="57"/>
      <c r="CI466" s="57"/>
      <c r="CJ466" s="57"/>
      <c r="CK466" s="57"/>
      <c r="CL466" s="57"/>
      <c r="CM466" s="57"/>
      <c r="CN466" s="57"/>
      <c r="CO466" s="57"/>
      <c r="CP466" s="57"/>
      <c r="CQ466" s="57"/>
      <c r="CR466" s="47">
        <f t="shared" si="345"/>
        <v>0</v>
      </c>
      <c r="CS466" s="57"/>
      <c r="CT466" s="57"/>
      <c r="CU466" s="57"/>
      <c r="CV466" s="57"/>
      <c r="CW466" s="47"/>
      <c r="CX466" s="46"/>
      <c r="CY466" s="47">
        <f t="shared" si="314"/>
        <v>0</v>
      </c>
      <c r="CZ466" s="57"/>
      <c r="DA466" s="57"/>
      <c r="DB466" s="57"/>
      <c r="DC466" s="57"/>
      <c r="DD466" s="47"/>
      <c r="DE466" s="57"/>
      <c r="DF466" s="46"/>
      <c r="DG466" s="57"/>
      <c r="DH466" s="57"/>
      <c r="DI466" s="57"/>
      <c r="DJ466" s="57"/>
      <c r="DK466" s="64"/>
      <c r="DL466" s="47"/>
      <c r="DM466" s="57"/>
      <c r="DN466" s="46"/>
      <c r="DO466" s="57"/>
      <c r="DP466" s="90"/>
      <c r="DQ466" s="57"/>
      <c r="DR466" s="46"/>
      <c r="DS466" s="57"/>
      <c r="DT466" s="46"/>
      <c r="DU466" s="57"/>
      <c r="DV466" s="46"/>
      <c r="DW466" s="57"/>
      <c r="DX466" s="47">
        <f t="shared" si="329"/>
        <v>0</v>
      </c>
      <c r="DY466" s="57"/>
      <c r="DZ466" s="57"/>
      <c r="EA466" s="57"/>
      <c r="EB466" s="57"/>
      <c r="EC466" s="57"/>
      <c r="ED466" s="57"/>
      <c r="EE466" s="47">
        <f t="shared" si="310"/>
        <v>0</v>
      </c>
      <c r="EF466" s="57"/>
      <c r="EG466" s="57"/>
      <c r="EH466" s="57"/>
      <c r="EI466" s="57"/>
      <c r="EJ466" s="57"/>
      <c r="EK466" s="47">
        <f t="shared" si="342"/>
        <v>0</v>
      </c>
      <c r="EL466" s="46">
        <f t="shared" si="343"/>
        <v>0</v>
      </c>
      <c r="EM466" s="57"/>
      <c r="EN466" s="46">
        <f t="shared" si="344"/>
        <v>0</v>
      </c>
    </row>
    <row r="467" spans="2:144" s="48" customFormat="1" ht="15" customHeight="1" x14ac:dyDescent="0.25">
      <c r="B467" s="128">
        <v>72</v>
      </c>
      <c r="C467" s="99"/>
      <c r="D467" s="100"/>
      <c r="E467" s="99"/>
      <c r="F467" s="99"/>
      <c r="G467" s="99"/>
      <c r="H467" s="99"/>
      <c r="I467" s="99"/>
      <c r="J467" s="99"/>
      <c r="K467" s="99"/>
      <c r="L467" s="99"/>
      <c r="M467" s="99"/>
      <c r="N467" s="101"/>
      <c r="O467" s="101"/>
      <c r="P467" s="99"/>
      <c r="Q467" s="102"/>
      <c r="R467" s="102"/>
      <c r="S467" s="99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47">
        <f t="shared" si="335"/>
        <v>0</v>
      </c>
      <c r="AO467" s="46">
        <f t="shared" si="336"/>
        <v>0</v>
      </c>
      <c r="AP467" s="57" t="s">
        <v>102</v>
      </c>
      <c r="AQ467" s="46"/>
      <c r="AR467" s="57"/>
      <c r="AS467" s="57"/>
      <c r="AT467" s="57"/>
      <c r="AU467" s="47">
        <f t="shared" si="338"/>
        <v>0</v>
      </c>
      <c r="AV467" s="57"/>
      <c r="AW467" s="47">
        <f t="shared" si="325"/>
        <v>0</v>
      </c>
      <c r="AX467" s="57"/>
      <c r="AY467" s="57"/>
      <c r="AZ467" s="57"/>
      <c r="BA467" s="57"/>
      <c r="BB467" s="57"/>
      <c r="BC467" s="47">
        <f t="shared" si="339"/>
        <v>0</v>
      </c>
      <c r="BD467" s="57"/>
      <c r="BE467" s="47">
        <f t="shared" si="340"/>
        <v>0</v>
      </c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57"/>
      <c r="BS467" s="57"/>
      <c r="BT467" s="57"/>
      <c r="BU467" s="57"/>
      <c r="BV467" s="57"/>
      <c r="BW467" s="57"/>
      <c r="BX467" s="57"/>
      <c r="BY467" s="57"/>
      <c r="BZ467" s="57"/>
      <c r="CA467" s="57"/>
      <c r="CB467" s="57"/>
      <c r="CC467" s="57"/>
      <c r="CD467" s="57"/>
      <c r="CE467" s="57"/>
      <c r="CF467" s="57"/>
      <c r="CG467" s="57"/>
      <c r="CH467" s="57"/>
      <c r="CI467" s="57"/>
      <c r="CJ467" s="57"/>
      <c r="CK467" s="57"/>
      <c r="CL467" s="57"/>
      <c r="CM467" s="57"/>
      <c r="CN467" s="57"/>
      <c r="CO467" s="57"/>
      <c r="CP467" s="57"/>
      <c r="CQ467" s="57"/>
      <c r="CR467" s="47">
        <f t="shared" si="345"/>
        <v>0</v>
      </c>
      <c r="CS467" s="57"/>
      <c r="CT467" s="57"/>
      <c r="CU467" s="57"/>
      <c r="CV467" s="57"/>
      <c r="CW467" s="47"/>
      <c r="CX467" s="46"/>
      <c r="CY467" s="47">
        <f t="shared" si="314"/>
        <v>0</v>
      </c>
      <c r="CZ467" s="57"/>
      <c r="DA467" s="57"/>
      <c r="DB467" s="57"/>
      <c r="DC467" s="57"/>
      <c r="DD467" s="47"/>
      <c r="DE467" s="57"/>
      <c r="DF467" s="46"/>
      <c r="DG467" s="57"/>
      <c r="DH467" s="57"/>
      <c r="DI467" s="57"/>
      <c r="DJ467" s="57"/>
      <c r="DK467" s="64"/>
      <c r="DL467" s="47"/>
      <c r="DM467" s="57"/>
      <c r="DN467" s="46"/>
      <c r="DO467" s="57"/>
      <c r="DP467" s="90"/>
      <c r="DQ467" s="57"/>
      <c r="DR467" s="46"/>
      <c r="DS467" s="57"/>
      <c r="DT467" s="46"/>
      <c r="DU467" s="57"/>
      <c r="DV467" s="46"/>
      <c r="DW467" s="57"/>
      <c r="DX467" s="47">
        <f t="shared" si="329"/>
        <v>0</v>
      </c>
      <c r="DY467" s="57"/>
      <c r="DZ467" s="57"/>
      <c r="EA467" s="57"/>
      <c r="EB467" s="57"/>
      <c r="EC467" s="57"/>
      <c r="ED467" s="57"/>
      <c r="EE467" s="47">
        <f t="shared" si="310"/>
        <v>0</v>
      </c>
      <c r="EF467" s="57"/>
      <c r="EG467" s="57"/>
      <c r="EH467" s="57"/>
      <c r="EI467" s="57"/>
      <c r="EJ467" s="57"/>
      <c r="EK467" s="47">
        <f t="shared" si="342"/>
        <v>0</v>
      </c>
      <c r="EL467" s="46">
        <f t="shared" si="343"/>
        <v>0</v>
      </c>
      <c r="EM467" s="57"/>
      <c r="EN467" s="46">
        <f t="shared" si="344"/>
        <v>0</v>
      </c>
    </row>
    <row r="468" spans="2:144" s="48" customFormat="1" ht="15" customHeight="1" x14ac:dyDescent="0.25">
      <c r="B468" s="128">
        <v>73</v>
      </c>
      <c r="C468" s="99"/>
      <c r="D468" s="100"/>
      <c r="E468" s="99"/>
      <c r="F468" s="99"/>
      <c r="G468" s="99"/>
      <c r="H468" s="99"/>
      <c r="I468" s="99"/>
      <c r="J468" s="99"/>
      <c r="K468" s="99"/>
      <c r="L468" s="99"/>
      <c r="M468" s="99"/>
      <c r="N468" s="101"/>
      <c r="O468" s="101"/>
      <c r="P468" s="99"/>
      <c r="Q468" s="102"/>
      <c r="R468" s="102"/>
      <c r="S468" s="99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47">
        <f t="shared" si="335"/>
        <v>0</v>
      </c>
      <c r="AO468" s="46">
        <f t="shared" si="336"/>
        <v>0</v>
      </c>
      <c r="AP468" s="57" t="s">
        <v>102</v>
      </c>
      <c r="AQ468" s="46"/>
      <c r="AR468" s="57"/>
      <c r="AS468" s="57"/>
      <c r="AT468" s="57"/>
      <c r="AU468" s="47">
        <f t="shared" si="338"/>
        <v>0</v>
      </c>
      <c r="AV468" s="57"/>
      <c r="AW468" s="47">
        <f t="shared" si="325"/>
        <v>0</v>
      </c>
      <c r="AX468" s="57"/>
      <c r="AY468" s="57"/>
      <c r="AZ468" s="57"/>
      <c r="BA468" s="57"/>
      <c r="BB468" s="57"/>
      <c r="BC468" s="47">
        <f t="shared" si="339"/>
        <v>0</v>
      </c>
      <c r="BD468" s="57"/>
      <c r="BE468" s="47">
        <f t="shared" si="340"/>
        <v>0</v>
      </c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  <c r="BV468" s="57"/>
      <c r="BW468" s="57"/>
      <c r="BX468" s="57"/>
      <c r="BY468" s="57"/>
      <c r="BZ468" s="57"/>
      <c r="CA468" s="57"/>
      <c r="CB468" s="57"/>
      <c r="CC468" s="57"/>
      <c r="CD468" s="57"/>
      <c r="CE468" s="57"/>
      <c r="CF468" s="57"/>
      <c r="CG468" s="57"/>
      <c r="CH468" s="57"/>
      <c r="CI468" s="57"/>
      <c r="CJ468" s="57"/>
      <c r="CK468" s="57"/>
      <c r="CL468" s="57"/>
      <c r="CM468" s="57"/>
      <c r="CN468" s="57"/>
      <c r="CO468" s="57"/>
      <c r="CP468" s="57"/>
      <c r="CQ468" s="57"/>
      <c r="CR468" s="47">
        <f t="shared" si="345"/>
        <v>0</v>
      </c>
      <c r="CS468" s="57"/>
      <c r="CT468" s="57"/>
      <c r="CU468" s="57"/>
      <c r="CV468" s="57"/>
      <c r="CW468" s="47"/>
      <c r="CX468" s="46"/>
      <c r="CY468" s="47">
        <f t="shared" si="314"/>
        <v>0</v>
      </c>
      <c r="CZ468" s="57"/>
      <c r="DA468" s="57"/>
      <c r="DB468" s="57"/>
      <c r="DC468" s="57"/>
      <c r="DD468" s="47"/>
      <c r="DE468" s="57"/>
      <c r="DF468" s="46"/>
      <c r="DG468" s="57"/>
      <c r="DH468" s="57"/>
      <c r="DI468" s="57"/>
      <c r="DJ468" s="57"/>
      <c r="DK468" s="64"/>
      <c r="DL468" s="47"/>
      <c r="DM468" s="57"/>
      <c r="DN468" s="46"/>
      <c r="DO468" s="57"/>
      <c r="DP468" s="90"/>
      <c r="DQ468" s="57"/>
      <c r="DR468" s="46"/>
      <c r="DS468" s="57"/>
      <c r="DT468" s="46"/>
      <c r="DU468" s="57"/>
      <c r="DV468" s="46"/>
      <c r="DW468" s="57"/>
      <c r="DX468" s="47">
        <f t="shared" si="329"/>
        <v>0</v>
      </c>
      <c r="DY468" s="57"/>
      <c r="DZ468" s="57"/>
      <c r="EA468" s="57"/>
      <c r="EB468" s="57"/>
      <c r="EC468" s="57"/>
      <c r="ED468" s="57"/>
      <c r="EE468" s="47">
        <f t="shared" si="310"/>
        <v>0</v>
      </c>
      <c r="EF468" s="57"/>
      <c r="EG468" s="57"/>
      <c r="EH468" s="57"/>
      <c r="EI468" s="57"/>
      <c r="EJ468" s="57"/>
      <c r="EK468" s="47">
        <f t="shared" si="342"/>
        <v>0</v>
      </c>
      <c r="EL468" s="46">
        <f t="shared" si="343"/>
        <v>0</v>
      </c>
      <c r="EM468" s="57"/>
      <c r="EN468" s="46">
        <f t="shared" si="344"/>
        <v>0</v>
      </c>
    </row>
    <row r="469" spans="2:144" s="48" customFormat="1" ht="15" customHeight="1" x14ac:dyDescent="0.25">
      <c r="B469" s="128">
        <v>74</v>
      </c>
      <c r="C469" s="99"/>
      <c r="D469" s="100"/>
      <c r="E469" s="99"/>
      <c r="F469" s="99"/>
      <c r="G469" s="99"/>
      <c r="H469" s="99"/>
      <c r="I469" s="99"/>
      <c r="J469" s="99"/>
      <c r="K469" s="99"/>
      <c r="L469" s="99"/>
      <c r="M469" s="99"/>
      <c r="N469" s="101"/>
      <c r="O469" s="101"/>
      <c r="P469" s="99"/>
      <c r="Q469" s="102"/>
      <c r="R469" s="102"/>
      <c r="S469" s="99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47">
        <f t="shared" si="335"/>
        <v>0</v>
      </c>
      <c r="AO469" s="46">
        <f t="shared" si="336"/>
        <v>0</v>
      </c>
      <c r="AP469" s="57" t="s">
        <v>102</v>
      </c>
      <c r="AQ469" s="46"/>
      <c r="AR469" s="57"/>
      <c r="AS469" s="57"/>
      <c r="AT469" s="57"/>
      <c r="AU469" s="47">
        <f t="shared" si="338"/>
        <v>0</v>
      </c>
      <c r="AV469" s="57"/>
      <c r="AW469" s="47">
        <f t="shared" si="325"/>
        <v>0</v>
      </c>
      <c r="AX469" s="57"/>
      <c r="AY469" s="57"/>
      <c r="AZ469" s="57"/>
      <c r="BA469" s="57"/>
      <c r="BB469" s="57"/>
      <c r="BC469" s="47"/>
      <c r="BD469" s="57"/>
      <c r="BE469" s="4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57"/>
      <c r="BS469" s="57"/>
      <c r="BT469" s="57"/>
      <c r="BU469" s="57"/>
      <c r="BV469" s="57"/>
      <c r="BW469" s="57"/>
      <c r="BX469" s="57"/>
      <c r="BY469" s="57"/>
      <c r="BZ469" s="57"/>
      <c r="CA469" s="57"/>
      <c r="CB469" s="57"/>
      <c r="CC469" s="57"/>
      <c r="CD469" s="57"/>
      <c r="CE469" s="57"/>
      <c r="CF469" s="57"/>
      <c r="CG469" s="57"/>
      <c r="CH469" s="57"/>
      <c r="CI469" s="57"/>
      <c r="CJ469" s="57"/>
      <c r="CK469" s="57"/>
      <c r="CL469" s="57"/>
      <c r="CM469" s="57"/>
      <c r="CN469" s="57"/>
      <c r="CO469" s="57"/>
      <c r="CP469" s="57"/>
      <c r="CQ469" s="57"/>
      <c r="CR469" s="47">
        <f t="shared" si="345"/>
        <v>0</v>
      </c>
      <c r="CS469" s="57"/>
      <c r="CT469" s="57"/>
      <c r="CU469" s="57"/>
      <c r="CV469" s="57"/>
      <c r="CW469" s="47"/>
      <c r="CX469" s="46"/>
      <c r="CY469" s="47">
        <f t="shared" si="314"/>
        <v>0</v>
      </c>
      <c r="CZ469" s="57"/>
      <c r="DA469" s="57"/>
      <c r="DB469" s="57"/>
      <c r="DC469" s="57"/>
      <c r="DD469" s="47"/>
      <c r="DE469" s="57"/>
      <c r="DF469" s="46"/>
      <c r="DG469" s="57"/>
      <c r="DH469" s="57"/>
      <c r="DI469" s="57"/>
      <c r="DJ469" s="57"/>
      <c r="DK469" s="64"/>
      <c r="DL469" s="47"/>
      <c r="DM469" s="57"/>
      <c r="DN469" s="46"/>
      <c r="DO469" s="57"/>
      <c r="DP469" s="90"/>
      <c r="DQ469" s="57"/>
      <c r="DR469" s="46"/>
      <c r="DS469" s="57"/>
      <c r="DT469" s="46"/>
      <c r="DU469" s="57"/>
      <c r="DV469" s="46"/>
      <c r="DW469" s="57"/>
      <c r="DX469" s="47">
        <f t="shared" si="329"/>
        <v>0</v>
      </c>
      <c r="DY469" s="57"/>
      <c r="DZ469" s="57"/>
      <c r="EA469" s="57"/>
      <c r="EB469" s="57"/>
      <c r="EC469" s="57"/>
      <c r="ED469" s="57"/>
      <c r="EE469" s="47">
        <f t="shared" ref="EE469:EE478" si="346">+AW469+BE469+BM469+CR469+CY469+DF469+DL469+DX469+DY469+DZ469+EB469+EC469</f>
        <v>0</v>
      </c>
      <c r="EF469" s="57"/>
      <c r="EG469" s="57"/>
      <c r="EH469" s="57"/>
      <c r="EI469" s="57"/>
      <c r="EJ469" s="57"/>
      <c r="EK469" s="47">
        <f t="shared" si="342"/>
        <v>0</v>
      </c>
      <c r="EL469" s="46">
        <f t="shared" si="343"/>
        <v>0</v>
      </c>
      <c r="EM469" s="57"/>
      <c r="EN469" s="46">
        <f t="shared" si="344"/>
        <v>0</v>
      </c>
    </row>
    <row r="470" spans="2:144" s="48" customFormat="1" ht="15" customHeight="1" x14ac:dyDescent="0.25">
      <c r="B470" s="128">
        <v>75</v>
      </c>
      <c r="C470" s="99"/>
      <c r="D470" s="100"/>
      <c r="E470" s="99"/>
      <c r="F470" s="99"/>
      <c r="G470" s="99"/>
      <c r="H470" s="99"/>
      <c r="I470" s="99"/>
      <c r="J470" s="99"/>
      <c r="K470" s="99"/>
      <c r="L470" s="99"/>
      <c r="M470" s="99"/>
      <c r="N470" s="101"/>
      <c r="O470" s="101"/>
      <c r="P470" s="99"/>
      <c r="Q470" s="102"/>
      <c r="R470" s="102"/>
      <c r="S470" s="99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47">
        <f t="shared" si="335"/>
        <v>0</v>
      </c>
      <c r="AO470" s="46">
        <f t="shared" si="336"/>
        <v>0</v>
      </c>
      <c r="AP470" s="57" t="s">
        <v>102</v>
      </c>
      <c r="AQ470" s="46"/>
      <c r="AR470" s="57"/>
      <c r="AS470" s="57"/>
      <c r="AT470" s="57"/>
      <c r="AU470" s="47">
        <f t="shared" si="338"/>
        <v>0</v>
      </c>
      <c r="AV470" s="57"/>
      <c r="AW470" s="47">
        <f t="shared" si="325"/>
        <v>0</v>
      </c>
      <c r="AX470" s="57"/>
      <c r="AY470" s="57"/>
      <c r="AZ470" s="57"/>
      <c r="BA470" s="57"/>
      <c r="BB470" s="57"/>
      <c r="BC470" s="47"/>
      <c r="BD470" s="57"/>
      <c r="BE470" s="4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47">
        <f t="shared" si="345"/>
        <v>0</v>
      </c>
      <c r="CS470" s="57"/>
      <c r="CT470" s="57"/>
      <c r="CU470" s="57"/>
      <c r="CV470" s="57"/>
      <c r="CW470" s="47"/>
      <c r="CX470" s="46"/>
      <c r="CY470" s="47">
        <f t="shared" si="314"/>
        <v>0</v>
      </c>
      <c r="CZ470" s="57"/>
      <c r="DA470" s="57"/>
      <c r="DB470" s="57"/>
      <c r="DC470" s="57"/>
      <c r="DD470" s="47"/>
      <c r="DE470" s="57"/>
      <c r="DF470" s="46"/>
      <c r="DG470" s="57"/>
      <c r="DH470" s="57"/>
      <c r="DI470" s="57"/>
      <c r="DJ470" s="57"/>
      <c r="DK470" s="64"/>
      <c r="DL470" s="47"/>
      <c r="DM470" s="57"/>
      <c r="DN470" s="46"/>
      <c r="DO470" s="57"/>
      <c r="DP470" s="90"/>
      <c r="DQ470" s="57"/>
      <c r="DR470" s="46"/>
      <c r="DS470" s="57"/>
      <c r="DT470" s="46"/>
      <c r="DU470" s="57"/>
      <c r="DV470" s="46"/>
      <c r="DW470" s="57"/>
      <c r="DX470" s="47">
        <f t="shared" si="329"/>
        <v>0</v>
      </c>
      <c r="DY470" s="57"/>
      <c r="DZ470" s="57"/>
      <c r="EA470" s="57"/>
      <c r="EB470" s="57"/>
      <c r="EC470" s="57"/>
      <c r="ED470" s="57"/>
      <c r="EE470" s="47">
        <f t="shared" si="346"/>
        <v>0</v>
      </c>
      <c r="EF470" s="57"/>
      <c r="EG470" s="57"/>
      <c r="EH470" s="57"/>
      <c r="EI470" s="57"/>
      <c r="EJ470" s="57"/>
      <c r="EK470" s="47">
        <f t="shared" si="342"/>
        <v>0</v>
      </c>
      <c r="EL470" s="46">
        <f t="shared" si="343"/>
        <v>0</v>
      </c>
      <c r="EM470" s="57"/>
      <c r="EN470" s="46">
        <f t="shared" si="344"/>
        <v>0</v>
      </c>
    </row>
    <row r="471" spans="2:144" s="48" customFormat="1" ht="15" customHeight="1" x14ac:dyDescent="0.25">
      <c r="B471" s="128">
        <v>76</v>
      </c>
      <c r="C471" s="99"/>
      <c r="D471" s="100"/>
      <c r="E471" s="99"/>
      <c r="F471" s="99"/>
      <c r="G471" s="99"/>
      <c r="H471" s="99"/>
      <c r="I471" s="99"/>
      <c r="J471" s="99"/>
      <c r="K471" s="99"/>
      <c r="L471" s="99"/>
      <c r="M471" s="99"/>
      <c r="N471" s="101"/>
      <c r="O471" s="101"/>
      <c r="P471" s="99"/>
      <c r="Q471" s="102"/>
      <c r="R471" s="102"/>
      <c r="S471" s="99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47">
        <f t="shared" si="335"/>
        <v>0</v>
      </c>
      <c r="AO471" s="46">
        <f t="shared" si="336"/>
        <v>0</v>
      </c>
      <c r="AP471" s="57" t="s">
        <v>102</v>
      </c>
      <c r="AQ471" s="46"/>
      <c r="AR471" s="57"/>
      <c r="AS471" s="57"/>
      <c r="AT471" s="57"/>
      <c r="AU471" s="47">
        <f t="shared" si="338"/>
        <v>0</v>
      </c>
      <c r="AV471" s="57"/>
      <c r="AW471" s="47">
        <f t="shared" si="325"/>
        <v>0</v>
      </c>
      <c r="AX471" s="57"/>
      <c r="AY471" s="57"/>
      <c r="AZ471" s="57"/>
      <c r="BA471" s="57"/>
      <c r="BB471" s="57"/>
      <c r="BC471" s="47"/>
      <c r="BD471" s="57"/>
      <c r="BE471" s="4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47">
        <f t="shared" si="345"/>
        <v>0</v>
      </c>
      <c r="CS471" s="57"/>
      <c r="CT471" s="57"/>
      <c r="CU471" s="57"/>
      <c r="CV471" s="57"/>
      <c r="CW471" s="47"/>
      <c r="CX471" s="46"/>
      <c r="CY471" s="47">
        <f t="shared" si="314"/>
        <v>0</v>
      </c>
      <c r="CZ471" s="57"/>
      <c r="DA471" s="57"/>
      <c r="DB471" s="57"/>
      <c r="DC471" s="57"/>
      <c r="DD471" s="47"/>
      <c r="DE471" s="57"/>
      <c r="DF471" s="46"/>
      <c r="DG471" s="57"/>
      <c r="DH471" s="57"/>
      <c r="DI471" s="57"/>
      <c r="DJ471" s="57"/>
      <c r="DK471" s="64"/>
      <c r="DL471" s="47"/>
      <c r="DM471" s="57"/>
      <c r="DN471" s="46"/>
      <c r="DO471" s="57"/>
      <c r="DP471" s="90"/>
      <c r="DQ471" s="57"/>
      <c r="DR471" s="46"/>
      <c r="DS471" s="57"/>
      <c r="DT471" s="46"/>
      <c r="DU471" s="57"/>
      <c r="DV471" s="46"/>
      <c r="DW471" s="57"/>
      <c r="DX471" s="47">
        <f t="shared" si="329"/>
        <v>0</v>
      </c>
      <c r="DY471" s="57"/>
      <c r="DZ471" s="57"/>
      <c r="EA471" s="57"/>
      <c r="EB471" s="57"/>
      <c r="EC471" s="57"/>
      <c r="ED471" s="57"/>
      <c r="EE471" s="47">
        <f t="shared" si="346"/>
        <v>0</v>
      </c>
      <c r="EF471" s="57"/>
      <c r="EG471" s="57"/>
      <c r="EH471" s="57"/>
      <c r="EI471" s="57"/>
      <c r="EJ471" s="57"/>
      <c r="EK471" s="47">
        <f t="shared" si="342"/>
        <v>0</v>
      </c>
      <c r="EL471" s="46">
        <f t="shared" si="343"/>
        <v>0</v>
      </c>
      <c r="EM471" s="57"/>
      <c r="EN471" s="46">
        <f t="shared" si="344"/>
        <v>0</v>
      </c>
    </row>
    <row r="472" spans="2:144" s="48" customFormat="1" ht="15" customHeight="1" x14ac:dyDescent="0.25">
      <c r="B472" s="128">
        <v>77</v>
      </c>
      <c r="C472" s="99"/>
      <c r="D472" s="100"/>
      <c r="E472" s="99"/>
      <c r="F472" s="99"/>
      <c r="G472" s="99"/>
      <c r="H472" s="99"/>
      <c r="I472" s="99"/>
      <c r="J472" s="99"/>
      <c r="K472" s="99"/>
      <c r="L472" s="99"/>
      <c r="M472" s="99"/>
      <c r="N472" s="101"/>
      <c r="O472" s="101"/>
      <c r="P472" s="99"/>
      <c r="Q472" s="102"/>
      <c r="R472" s="102"/>
      <c r="S472" s="99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47">
        <f t="shared" si="335"/>
        <v>0</v>
      </c>
      <c r="AO472" s="46">
        <f t="shared" si="336"/>
        <v>0</v>
      </c>
      <c r="AP472" s="57" t="s">
        <v>102</v>
      </c>
      <c r="AQ472" s="46"/>
      <c r="AR472" s="57"/>
      <c r="AS472" s="57"/>
      <c r="AT472" s="57"/>
      <c r="AU472" s="47">
        <f t="shared" si="338"/>
        <v>0</v>
      </c>
      <c r="AV472" s="57"/>
      <c r="AW472" s="47">
        <f t="shared" si="325"/>
        <v>0</v>
      </c>
      <c r="AX472" s="57"/>
      <c r="AY472" s="57"/>
      <c r="AZ472" s="57"/>
      <c r="BA472" s="57"/>
      <c r="BB472" s="57"/>
      <c r="BC472" s="47">
        <f>BA472*BB472</f>
        <v>0</v>
      </c>
      <c r="BD472" s="57"/>
      <c r="BE472" s="47">
        <f>+AY472+AZ472+BC472+BD472</f>
        <v>0</v>
      </c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47">
        <f t="shared" si="345"/>
        <v>0</v>
      </c>
      <c r="CS472" s="57"/>
      <c r="CT472" s="57"/>
      <c r="CU472" s="57"/>
      <c r="CV472" s="57"/>
      <c r="CW472" s="47"/>
      <c r="CX472" s="46"/>
      <c r="CY472" s="47">
        <f t="shared" si="314"/>
        <v>0</v>
      </c>
      <c r="CZ472" s="57"/>
      <c r="DA472" s="57"/>
      <c r="DB472" s="57"/>
      <c r="DC472" s="57"/>
      <c r="DD472" s="47"/>
      <c r="DE472" s="57"/>
      <c r="DF472" s="46"/>
      <c r="DG472" s="57"/>
      <c r="DH472" s="57"/>
      <c r="DI472" s="57"/>
      <c r="DJ472" s="57"/>
      <c r="DK472" s="64"/>
      <c r="DL472" s="47"/>
      <c r="DM472" s="57"/>
      <c r="DN472" s="46"/>
      <c r="DO472" s="57"/>
      <c r="DP472" s="90"/>
      <c r="DQ472" s="57"/>
      <c r="DR472" s="46"/>
      <c r="DS472" s="57"/>
      <c r="DT472" s="46"/>
      <c r="DU472" s="57"/>
      <c r="DV472" s="46"/>
      <c r="DW472" s="57"/>
      <c r="DX472" s="47">
        <f t="shared" si="329"/>
        <v>0</v>
      </c>
      <c r="DY472" s="57"/>
      <c r="DZ472" s="57"/>
      <c r="EA472" s="57"/>
      <c r="EB472" s="57"/>
      <c r="EC472" s="57"/>
      <c r="ED472" s="57"/>
      <c r="EE472" s="47">
        <f t="shared" si="346"/>
        <v>0</v>
      </c>
      <c r="EF472" s="57"/>
      <c r="EG472" s="57"/>
      <c r="EH472" s="57"/>
      <c r="EI472" s="57"/>
      <c r="EJ472" s="57"/>
      <c r="EK472" s="47">
        <f t="shared" si="342"/>
        <v>0</v>
      </c>
      <c r="EL472" s="46">
        <f t="shared" si="343"/>
        <v>0</v>
      </c>
      <c r="EM472" s="57"/>
      <c r="EN472" s="46">
        <f t="shared" si="344"/>
        <v>0</v>
      </c>
    </row>
    <row r="473" spans="2:144" s="48" customFormat="1" ht="15" customHeight="1" x14ac:dyDescent="0.25">
      <c r="B473" s="128">
        <v>78</v>
      </c>
      <c r="C473" s="99"/>
      <c r="D473" s="100"/>
      <c r="E473" s="99"/>
      <c r="F473" s="99"/>
      <c r="G473" s="99"/>
      <c r="H473" s="99"/>
      <c r="I473" s="99"/>
      <c r="J473" s="99"/>
      <c r="K473" s="99"/>
      <c r="L473" s="99"/>
      <c r="M473" s="99"/>
      <c r="N473" s="101"/>
      <c r="O473" s="101"/>
      <c r="P473" s="99"/>
      <c r="Q473" s="102"/>
      <c r="R473" s="102"/>
      <c r="S473" s="99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47">
        <f t="shared" si="335"/>
        <v>0</v>
      </c>
      <c r="AO473" s="46">
        <f t="shared" si="336"/>
        <v>0</v>
      </c>
      <c r="AP473" s="57" t="s">
        <v>102</v>
      </c>
      <c r="AQ473" s="46"/>
      <c r="AR473" s="57"/>
      <c r="AS473" s="57"/>
      <c r="AT473" s="57"/>
      <c r="AU473" s="47">
        <f t="shared" si="338"/>
        <v>0</v>
      </c>
      <c r="AV473" s="57"/>
      <c r="AW473" s="47">
        <f t="shared" si="325"/>
        <v>0</v>
      </c>
      <c r="AX473" s="57"/>
      <c r="AY473" s="57"/>
      <c r="AZ473" s="57"/>
      <c r="BA473" s="57"/>
      <c r="BB473" s="57"/>
      <c r="BC473" s="47">
        <f>BA473*BB473</f>
        <v>0</v>
      </c>
      <c r="BD473" s="57"/>
      <c r="BE473" s="47">
        <f>+AY473+AZ473+BC473+BD473</f>
        <v>0</v>
      </c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47">
        <f t="shared" si="345"/>
        <v>0</v>
      </c>
      <c r="CS473" s="57"/>
      <c r="CT473" s="57"/>
      <c r="CU473" s="57"/>
      <c r="CV473" s="57"/>
      <c r="CW473" s="47"/>
      <c r="CX473" s="46"/>
      <c r="CY473" s="47">
        <f t="shared" si="314"/>
        <v>0</v>
      </c>
      <c r="CZ473" s="57"/>
      <c r="DA473" s="57"/>
      <c r="DB473" s="57"/>
      <c r="DC473" s="57"/>
      <c r="DD473" s="47"/>
      <c r="DE473" s="57"/>
      <c r="DF473" s="46"/>
      <c r="DG473" s="57"/>
      <c r="DH473" s="57"/>
      <c r="DI473" s="57"/>
      <c r="DJ473" s="57"/>
      <c r="DK473" s="64"/>
      <c r="DL473" s="47"/>
      <c r="DM473" s="57"/>
      <c r="DN473" s="46"/>
      <c r="DO473" s="57"/>
      <c r="DP473" s="90"/>
      <c r="DQ473" s="57"/>
      <c r="DR473" s="46"/>
      <c r="DS473" s="57"/>
      <c r="DT473" s="46"/>
      <c r="DU473" s="57"/>
      <c r="DV473" s="46"/>
      <c r="DW473" s="57"/>
      <c r="DX473" s="47">
        <f t="shared" si="329"/>
        <v>0</v>
      </c>
      <c r="DY473" s="57"/>
      <c r="DZ473" s="57"/>
      <c r="EA473" s="57"/>
      <c r="EB473" s="57"/>
      <c r="EC473" s="57"/>
      <c r="ED473" s="57"/>
      <c r="EE473" s="47">
        <f t="shared" si="346"/>
        <v>0</v>
      </c>
      <c r="EF473" s="57"/>
      <c r="EG473" s="57"/>
      <c r="EH473" s="57"/>
      <c r="EI473" s="57"/>
      <c r="EJ473" s="57"/>
      <c r="EK473" s="47">
        <f t="shared" si="342"/>
        <v>0</v>
      </c>
      <c r="EL473" s="46">
        <f t="shared" si="343"/>
        <v>0</v>
      </c>
      <c r="EM473" s="57"/>
      <c r="EN473" s="46">
        <f t="shared" si="344"/>
        <v>0</v>
      </c>
    </row>
    <row r="474" spans="2:144" s="51" customFormat="1" ht="14.25" customHeight="1" x14ac:dyDescent="0.25">
      <c r="B474" s="128">
        <v>79</v>
      </c>
      <c r="C474" s="49"/>
      <c r="D474" s="59"/>
      <c r="E474" s="42"/>
      <c r="F474" s="49"/>
      <c r="G474" s="49"/>
      <c r="H474" s="49"/>
      <c r="I474" s="49"/>
      <c r="J474" s="49"/>
      <c r="K474" s="49"/>
      <c r="L474" s="49"/>
      <c r="M474" s="49"/>
      <c r="N474" s="137"/>
      <c r="O474" s="137"/>
      <c r="P474" s="49"/>
      <c r="Q474" s="138"/>
      <c r="R474" s="138"/>
      <c r="S474" s="138"/>
      <c r="T474" s="50"/>
      <c r="U474" s="50"/>
      <c r="V474" s="50"/>
      <c r="W474" s="50"/>
      <c r="X474" s="50"/>
      <c r="Y474" s="50"/>
      <c r="Z474" s="50"/>
      <c r="AA474" s="50"/>
      <c r="AB474" s="50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47">
        <f t="shared" si="335"/>
        <v>0</v>
      </c>
      <c r="AO474" s="46">
        <f t="shared" si="336"/>
        <v>0</v>
      </c>
      <c r="AP474" s="56" t="s">
        <v>102</v>
      </c>
      <c r="AQ474" s="46"/>
      <c r="AR474" s="56"/>
      <c r="AS474" s="56"/>
      <c r="AT474" s="56"/>
      <c r="AU474" s="60">
        <f t="shared" si="338"/>
        <v>0</v>
      </c>
      <c r="AV474" s="56"/>
      <c r="AW474" s="47">
        <f>AQ474+AU474+AV474+AR474</f>
        <v>0</v>
      </c>
      <c r="AX474" s="56"/>
      <c r="AY474" s="56"/>
      <c r="AZ474" s="56"/>
      <c r="BA474" s="56"/>
      <c r="BB474" s="56"/>
      <c r="BC474" s="47">
        <f>BA474*BB474</f>
        <v>0</v>
      </c>
      <c r="BD474" s="56"/>
      <c r="BE474" s="47">
        <f>+AY474+AZ474+BC474+BD474</f>
        <v>0</v>
      </c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56"/>
      <c r="CP474" s="57"/>
      <c r="CQ474" s="56"/>
      <c r="CR474" s="47">
        <f t="shared" si="345"/>
        <v>0</v>
      </c>
      <c r="CS474" s="56"/>
      <c r="CT474" s="56"/>
      <c r="CU474" s="56"/>
      <c r="CV474" s="56"/>
      <c r="CW474" s="47">
        <f>CU474*CV474</f>
        <v>0</v>
      </c>
      <c r="CX474" s="46"/>
      <c r="CY474" s="47">
        <f t="shared" si="314"/>
        <v>0</v>
      </c>
      <c r="CZ474" s="56"/>
      <c r="DA474" s="56"/>
      <c r="DB474" s="56"/>
      <c r="DC474" s="56"/>
      <c r="DD474" s="47">
        <f>+DB474*DC474</f>
        <v>0</v>
      </c>
      <c r="DE474" s="56"/>
      <c r="DF474" s="46">
        <f>DC474</f>
        <v>0</v>
      </c>
      <c r="DG474" s="56"/>
      <c r="DH474" s="57">
        <f>AQ474/2</f>
        <v>0</v>
      </c>
      <c r="DI474" s="56"/>
      <c r="DJ474" s="56"/>
      <c r="DK474" s="47"/>
      <c r="DL474" s="47"/>
      <c r="DM474" s="56"/>
      <c r="DN474" s="46">
        <f>7.5%*AQ474</f>
        <v>0</v>
      </c>
      <c r="DO474" s="56"/>
      <c r="DP474" s="46">
        <f>DN474</f>
        <v>0</v>
      </c>
      <c r="DQ474" s="56"/>
      <c r="DR474" s="46">
        <f>DP474</f>
        <v>0</v>
      </c>
      <c r="DS474" s="56"/>
      <c r="DT474" s="46">
        <f>75%*DR474</f>
        <v>0</v>
      </c>
      <c r="DU474" s="56"/>
      <c r="DV474" s="46">
        <f>DT474/2</f>
        <v>0</v>
      </c>
      <c r="DW474" s="56"/>
      <c r="DX474" s="47">
        <f t="shared" si="329"/>
        <v>0</v>
      </c>
      <c r="DY474" s="56"/>
      <c r="DZ474" s="56"/>
      <c r="EA474" s="56"/>
      <c r="EB474" s="56"/>
      <c r="EC474" s="56"/>
      <c r="ED474" s="56"/>
      <c r="EE474" s="47">
        <f t="shared" si="346"/>
        <v>0</v>
      </c>
      <c r="EF474" s="56"/>
      <c r="EG474" s="56"/>
      <c r="EH474" s="56"/>
      <c r="EI474" s="56"/>
      <c r="EJ474" s="56"/>
      <c r="EK474" s="47">
        <f t="shared" si="342"/>
        <v>0</v>
      </c>
      <c r="EL474" s="46">
        <f t="shared" si="343"/>
        <v>0</v>
      </c>
      <c r="EM474" s="56"/>
      <c r="EN474" s="61">
        <f t="shared" si="344"/>
        <v>0</v>
      </c>
    </row>
    <row r="475" spans="2:144" s="48" customFormat="1" ht="15" customHeight="1" x14ac:dyDescent="0.25">
      <c r="B475" s="128">
        <v>80</v>
      </c>
      <c r="C475" s="42"/>
      <c r="D475" s="43"/>
      <c r="E475" s="42"/>
      <c r="F475" s="42"/>
      <c r="G475" s="42"/>
      <c r="H475" s="42"/>
      <c r="I475" s="42"/>
      <c r="J475" s="42"/>
      <c r="K475" s="42"/>
      <c r="L475" s="42"/>
      <c r="M475" s="42"/>
      <c r="N475" s="41"/>
      <c r="O475" s="41"/>
      <c r="P475" s="42"/>
      <c r="Q475" s="45"/>
      <c r="R475" s="45"/>
      <c r="S475" s="42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7">
        <f t="shared" si="335"/>
        <v>0</v>
      </c>
      <c r="AO475" s="46">
        <f t="shared" si="336"/>
        <v>0</v>
      </c>
      <c r="AP475" s="46" t="s">
        <v>102</v>
      </c>
      <c r="AQ475" s="46"/>
      <c r="AR475" s="46"/>
      <c r="AS475" s="46"/>
      <c r="AT475" s="46"/>
      <c r="AU475" s="47">
        <f t="shared" si="338"/>
        <v>0</v>
      </c>
      <c r="AV475" s="46"/>
      <c r="AW475" s="47">
        <f>AQ475+AR475+AU475+AV475</f>
        <v>0</v>
      </c>
      <c r="AX475" s="46"/>
      <c r="AY475" s="46"/>
      <c r="AZ475" s="46"/>
      <c r="BA475" s="46"/>
      <c r="BB475" s="46"/>
      <c r="BC475" s="47">
        <f>BA475*BB475</f>
        <v>0</v>
      </c>
      <c r="BD475" s="46"/>
      <c r="BE475" s="47">
        <f>+AY475+AZ475+BC475+BD475</f>
        <v>0</v>
      </c>
      <c r="BF475" s="46"/>
      <c r="BG475" s="46"/>
      <c r="BH475" s="46"/>
      <c r="BI475" s="46"/>
      <c r="BJ475" s="46"/>
      <c r="BK475" s="46">
        <f>BI475*BJ475</f>
        <v>0</v>
      </c>
      <c r="BL475" s="46"/>
      <c r="BM475" s="46">
        <f>BK475</f>
        <v>0</v>
      </c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  <c r="CK475" s="46"/>
      <c r="CL475" s="46"/>
      <c r="CM475" s="46"/>
      <c r="CN475" s="46"/>
      <c r="CO475" s="46"/>
      <c r="CP475" s="47">
        <f>CN475*CO475</f>
        <v>0</v>
      </c>
      <c r="CQ475" s="46"/>
      <c r="CR475" s="47">
        <f t="shared" si="345"/>
        <v>0</v>
      </c>
      <c r="CS475" s="46"/>
      <c r="CT475" s="46"/>
      <c r="CU475" s="46"/>
      <c r="CV475" s="46"/>
      <c r="CW475" s="47">
        <f>CU475*CV475</f>
        <v>0</v>
      </c>
      <c r="CX475" s="46"/>
      <c r="CY475" s="47">
        <f t="shared" si="314"/>
        <v>0</v>
      </c>
      <c r="CZ475" s="46"/>
      <c r="DA475" s="46"/>
      <c r="DB475" s="46"/>
      <c r="DC475" s="46"/>
      <c r="DD475" s="47">
        <f>+DB475*DC475</f>
        <v>0</v>
      </c>
      <c r="DE475" s="46"/>
      <c r="DF475" s="46">
        <f>DC475</f>
        <v>0</v>
      </c>
      <c r="DG475" s="46"/>
      <c r="DH475" s="46"/>
      <c r="DI475" s="46"/>
      <c r="DJ475" s="46"/>
      <c r="DK475" s="47"/>
      <c r="DL475" s="47">
        <f>+DH475+DK475</f>
        <v>0</v>
      </c>
      <c r="DM475" s="46"/>
      <c r="DN475" s="46">
        <f>7.5%*AQ475</f>
        <v>0</v>
      </c>
      <c r="DO475" s="46"/>
      <c r="DP475" s="46">
        <f>DN475</f>
        <v>0</v>
      </c>
      <c r="DQ475" s="46"/>
      <c r="DR475" s="46">
        <f>DP475</f>
        <v>0</v>
      </c>
      <c r="DS475" s="46"/>
      <c r="DT475" s="46">
        <f>75%*DP475</f>
        <v>0</v>
      </c>
      <c r="DU475" s="46"/>
      <c r="DV475" s="46">
        <f>DT475/2</f>
        <v>0</v>
      </c>
      <c r="DW475" s="46"/>
      <c r="DX475" s="47">
        <f t="shared" si="329"/>
        <v>0</v>
      </c>
      <c r="DY475" s="46"/>
      <c r="DZ475" s="46"/>
      <c r="EA475" s="46"/>
      <c r="EB475" s="46"/>
      <c r="EC475" s="46"/>
      <c r="ED475" s="46"/>
      <c r="EE475" s="47">
        <f t="shared" si="346"/>
        <v>0</v>
      </c>
      <c r="EF475" s="46"/>
      <c r="EG475" s="46"/>
      <c r="EH475" s="46"/>
      <c r="EI475" s="46"/>
      <c r="EJ475" s="46"/>
      <c r="EK475" s="47">
        <f t="shared" si="342"/>
        <v>0</v>
      </c>
      <c r="EL475" s="46">
        <f t="shared" si="343"/>
        <v>0</v>
      </c>
      <c r="EM475" s="46"/>
      <c r="EN475" s="46">
        <f t="shared" si="344"/>
        <v>0</v>
      </c>
    </row>
    <row r="476" spans="2:144" s="48" customFormat="1" ht="15" customHeight="1" x14ac:dyDescent="0.25">
      <c r="B476" s="128"/>
      <c r="C476" s="99"/>
      <c r="D476" s="100"/>
      <c r="E476" s="99"/>
      <c r="F476" s="99"/>
      <c r="G476" s="99"/>
      <c r="H476" s="99"/>
      <c r="I476" s="99"/>
      <c r="J476" s="99"/>
      <c r="K476" s="99"/>
      <c r="L476" s="99"/>
      <c r="M476" s="99"/>
      <c r="N476" s="101"/>
      <c r="O476" s="101"/>
      <c r="P476" s="99"/>
      <c r="Q476" s="102"/>
      <c r="R476" s="102"/>
      <c r="S476" s="99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47">
        <f t="shared" si="335"/>
        <v>0</v>
      </c>
      <c r="AO476" s="46">
        <f t="shared" si="336"/>
        <v>0</v>
      </c>
      <c r="AP476" s="57"/>
      <c r="AQ476" s="46"/>
      <c r="AR476" s="57"/>
      <c r="AS476" s="57"/>
      <c r="AT476" s="57"/>
      <c r="AU476" s="47"/>
      <c r="AV476" s="57"/>
      <c r="AW476" s="47"/>
      <c r="AX476" s="57"/>
      <c r="AY476" s="57"/>
      <c r="AZ476" s="57"/>
      <c r="BA476" s="57"/>
      <c r="BB476" s="57"/>
      <c r="BC476" s="47"/>
      <c r="BD476" s="57"/>
      <c r="BE476" s="4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47"/>
      <c r="CS476" s="57"/>
      <c r="CT476" s="57"/>
      <c r="CU476" s="57"/>
      <c r="CV476" s="57"/>
      <c r="CW476" s="47"/>
      <c r="CX476" s="46"/>
      <c r="CY476" s="47">
        <f t="shared" si="314"/>
        <v>0</v>
      </c>
      <c r="CZ476" s="57"/>
      <c r="DA476" s="57"/>
      <c r="DB476" s="57"/>
      <c r="DC476" s="57"/>
      <c r="DD476" s="47"/>
      <c r="DE476" s="57"/>
      <c r="DF476" s="46"/>
      <c r="DG476" s="57"/>
      <c r="DH476" s="57"/>
      <c r="DI476" s="57"/>
      <c r="DJ476" s="57"/>
      <c r="DK476" s="64"/>
      <c r="DL476" s="47"/>
      <c r="DM476" s="57"/>
      <c r="DN476" s="46"/>
      <c r="DO476" s="57"/>
      <c r="DP476" s="90"/>
      <c r="DQ476" s="57"/>
      <c r="DR476" s="46"/>
      <c r="DS476" s="57"/>
      <c r="DT476" s="46"/>
      <c r="DU476" s="57"/>
      <c r="DV476" s="46"/>
      <c r="DW476" s="57"/>
      <c r="DX476" s="47">
        <f t="shared" si="329"/>
        <v>0</v>
      </c>
      <c r="DY476" s="57"/>
      <c r="DZ476" s="57"/>
      <c r="EA476" s="57"/>
      <c r="EB476" s="57"/>
      <c r="EC476" s="57"/>
      <c r="ED476" s="57"/>
      <c r="EE476" s="47">
        <f t="shared" si="346"/>
        <v>0</v>
      </c>
      <c r="EF476" s="57"/>
      <c r="EG476" s="57"/>
      <c r="EH476" s="57"/>
      <c r="EI476" s="57"/>
      <c r="EJ476" s="57"/>
      <c r="EK476" s="47"/>
      <c r="EL476" s="46"/>
      <c r="EM476" s="57"/>
      <c r="EN476" s="46"/>
    </row>
    <row r="477" spans="2:144" s="48" customFormat="1" ht="15" customHeight="1" x14ac:dyDescent="0.25">
      <c r="B477" s="128"/>
      <c r="C477" s="99"/>
      <c r="D477" s="100"/>
      <c r="E477" s="99"/>
      <c r="F477" s="99"/>
      <c r="G477" s="99"/>
      <c r="H477" s="99"/>
      <c r="I477" s="99"/>
      <c r="J477" s="99"/>
      <c r="K477" s="99"/>
      <c r="L477" s="99"/>
      <c r="M477" s="99"/>
      <c r="N477" s="101"/>
      <c r="O477" s="101"/>
      <c r="P477" s="99"/>
      <c r="Q477" s="102"/>
      <c r="R477" s="102"/>
      <c r="S477" s="99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47">
        <f t="shared" si="335"/>
        <v>0</v>
      </c>
      <c r="AO477" s="46">
        <f t="shared" si="336"/>
        <v>0</v>
      </c>
      <c r="AP477" s="57"/>
      <c r="AQ477" s="46"/>
      <c r="AR477" s="57"/>
      <c r="AS477" s="57"/>
      <c r="AT477" s="57"/>
      <c r="AU477" s="47"/>
      <c r="AV477" s="57"/>
      <c r="AW477" s="47"/>
      <c r="AX477" s="57"/>
      <c r="AY477" s="57"/>
      <c r="AZ477" s="57"/>
      <c r="BA477" s="57"/>
      <c r="BB477" s="57"/>
      <c r="BC477" s="47"/>
      <c r="BD477" s="57"/>
      <c r="BE477" s="4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47"/>
      <c r="CS477" s="57"/>
      <c r="CT477" s="57"/>
      <c r="CU477" s="57"/>
      <c r="CV477" s="57"/>
      <c r="CW477" s="47"/>
      <c r="CX477" s="46"/>
      <c r="CY477" s="47"/>
      <c r="CZ477" s="57"/>
      <c r="DA477" s="57"/>
      <c r="DB477" s="57"/>
      <c r="DC477" s="57"/>
      <c r="DD477" s="47"/>
      <c r="DE477" s="57"/>
      <c r="DF477" s="46"/>
      <c r="DG477" s="57"/>
      <c r="DH477" s="57"/>
      <c r="DI477" s="57"/>
      <c r="DJ477" s="57"/>
      <c r="DK477" s="64"/>
      <c r="DL477" s="47"/>
      <c r="DM477" s="57"/>
      <c r="DN477" s="46"/>
      <c r="DO477" s="57"/>
      <c r="DP477" s="90"/>
      <c r="DQ477" s="57"/>
      <c r="DR477" s="46"/>
      <c r="DS477" s="57"/>
      <c r="DT477" s="46"/>
      <c r="DU477" s="57"/>
      <c r="DV477" s="46"/>
      <c r="DW477" s="57"/>
      <c r="DX477" s="47">
        <f t="shared" si="329"/>
        <v>0</v>
      </c>
      <c r="DY477" s="57"/>
      <c r="DZ477" s="57"/>
      <c r="EA477" s="57"/>
      <c r="EB477" s="57"/>
      <c r="EC477" s="57"/>
      <c r="ED477" s="57"/>
      <c r="EE477" s="47">
        <f t="shared" si="346"/>
        <v>0</v>
      </c>
      <c r="EF477" s="57"/>
      <c r="EG477" s="57"/>
      <c r="EH477" s="57"/>
      <c r="EI477" s="57"/>
      <c r="EJ477" s="57"/>
      <c r="EK477" s="47"/>
      <c r="EL477" s="46"/>
      <c r="EM477" s="57"/>
      <c r="EN477" s="46"/>
    </row>
    <row r="478" spans="2:144" s="48" customFormat="1" ht="15" customHeight="1" x14ac:dyDescent="0.25">
      <c r="B478" s="128"/>
      <c r="C478" s="99"/>
      <c r="D478" s="100"/>
      <c r="E478" s="99"/>
      <c r="F478" s="99"/>
      <c r="G478" s="99"/>
      <c r="H478" s="99"/>
      <c r="I478" s="99"/>
      <c r="J478" s="99"/>
      <c r="K478" s="99"/>
      <c r="L478" s="99"/>
      <c r="M478" s="99"/>
      <c r="N478" s="101"/>
      <c r="O478" s="101"/>
      <c r="P478" s="99"/>
      <c r="Q478" s="102"/>
      <c r="R478" s="102"/>
      <c r="S478" s="99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47">
        <f t="shared" si="335"/>
        <v>0</v>
      </c>
      <c r="AO478" s="46">
        <f t="shared" si="336"/>
        <v>0</v>
      </c>
      <c r="AP478" s="57"/>
      <c r="AQ478" s="46"/>
      <c r="AR478" s="57"/>
      <c r="AS478" s="57"/>
      <c r="AT478" s="57"/>
      <c r="AU478" s="47"/>
      <c r="AV478" s="57"/>
      <c r="AW478" s="47"/>
      <c r="AX478" s="57"/>
      <c r="AY478" s="57"/>
      <c r="AZ478" s="57"/>
      <c r="BA478" s="57"/>
      <c r="BB478" s="57"/>
      <c r="BC478" s="47"/>
      <c r="BD478" s="57"/>
      <c r="BE478" s="4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47"/>
      <c r="CS478" s="57"/>
      <c r="CT478" s="57"/>
      <c r="CU478" s="57"/>
      <c r="CV478" s="57"/>
      <c r="CW478" s="47"/>
      <c r="CX478" s="46"/>
      <c r="CY478" s="47"/>
      <c r="CZ478" s="57"/>
      <c r="DA478" s="57"/>
      <c r="DB478" s="57"/>
      <c r="DC478" s="57"/>
      <c r="DD478" s="47"/>
      <c r="DE478" s="57"/>
      <c r="DF478" s="46"/>
      <c r="DG478" s="57"/>
      <c r="DH478" s="57"/>
      <c r="DI478" s="57"/>
      <c r="DJ478" s="57"/>
      <c r="DK478" s="64"/>
      <c r="DL478" s="47"/>
      <c r="DM478" s="57"/>
      <c r="DN478" s="46"/>
      <c r="DO478" s="57"/>
      <c r="DP478" s="90"/>
      <c r="DQ478" s="57"/>
      <c r="DR478" s="46"/>
      <c r="DS478" s="57"/>
      <c r="DT478" s="46"/>
      <c r="DU478" s="57"/>
      <c r="DV478" s="46"/>
      <c r="DW478" s="57"/>
      <c r="DX478" s="47">
        <f t="shared" si="329"/>
        <v>0</v>
      </c>
      <c r="DY478" s="57"/>
      <c r="DZ478" s="57"/>
      <c r="EA478" s="57"/>
      <c r="EB478" s="57"/>
      <c r="EC478" s="57"/>
      <c r="ED478" s="57"/>
      <c r="EE478" s="47">
        <f t="shared" si="346"/>
        <v>0</v>
      </c>
      <c r="EF478" s="57"/>
      <c r="EG478" s="57"/>
      <c r="EH478" s="57"/>
      <c r="EI478" s="57"/>
      <c r="EJ478" s="57"/>
      <c r="EK478" s="47"/>
      <c r="EL478" s="46"/>
      <c r="EM478" s="57"/>
      <c r="EN478" s="46"/>
    </row>
    <row r="479" spans="2:144" s="48" customFormat="1" ht="15" customHeight="1" x14ac:dyDescent="0.25">
      <c r="B479" s="128"/>
      <c r="C479" s="99"/>
      <c r="D479" s="100"/>
      <c r="E479" s="99"/>
      <c r="F479" s="99"/>
      <c r="G479" s="99"/>
      <c r="H479" s="99"/>
      <c r="I479" s="99"/>
      <c r="J479" s="99"/>
      <c r="K479" s="99"/>
      <c r="L479" s="99"/>
      <c r="M479" s="99"/>
      <c r="N479" s="101"/>
      <c r="O479" s="101"/>
      <c r="P479" s="99"/>
      <c r="Q479" s="102"/>
      <c r="R479" s="102"/>
      <c r="S479" s="99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47">
        <f t="shared" si="335"/>
        <v>0</v>
      </c>
      <c r="AO479" s="46">
        <f t="shared" si="336"/>
        <v>0</v>
      </c>
      <c r="AP479" s="57"/>
      <c r="AQ479" s="46"/>
      <c r="AR479" s="57"/>
      <c r="AS479" s="57"/>
      <c r="AT479" s="57"/>
      <c r="AU479" s="47"/>
      <c r="AV479" s="57"/>
      <c r="AW479" s="47"/>
      <c r="AX479" s="57"/>
      <c r="AY479" s="57"/>
      <c r="AZ479" s="57"/>
      <c r="BA479" s="57"/>
      <c r="BB479" s="57"/>
      <c r="BC479" s="47"/>
      <c r="BD479" s="57"/>
      <c r="BE479" s="4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47"/>
      <c r="CS479" s="57"/>
      <c r="CT479" s="57"/>
      <c r="CU479" s="57"/>
      <c r="CV479" s="57"/>
      <c r="CW479" s="47"/>
      <c r="CX479" s="46"/>
      <c r="CY479" s="47"/>
      <c r="CZ479" s="57"/>
      <c r="DA479" s="57"/>
      <c r="DB479" s="57"/>
      <c r="DC479" s="57"/>
      <c r="DD479" s="47"/>
      <c r="DE479" s="57"/>
      <c r="DF479" s="46"/>
      <c r="DG479" s="57"/>
      <c r="DH479" s="57"/>
      <c r="DI479" s="57"/>
      <c r="DJ479" s="57"/>
      <c r="DK479" s="64"/>
      <c r="DL479" s="47"/>
      <c r="DM479" s="57"/>
      <c r="DN479" s="46"/>
      <c r="DO479" s="57"/>
      <c r="DP479" s="90"/>
      <c r="DQ479" s="57"/>
      <c r="DR479" s="46"/>
      <c r="DS479" s="57"/>
      <c r="DT479" s="46"/>
      <c r="DU479" s="57"/>
      <c r="DV479" s="46"/>
      <c r="DW479" s="57"/>
      <c r="DX479" s="47">
        <f t="shared" si="329"/>
        <v>0</v>
      </c>
      <c r="DY479" s="57"/>
      <c r="DZ479" s="57"/>
      <c r="EA479" s="57"/>
      <c r="EB479" s="57"/>
      <c r="EC479" s="57"/>
      <c r="ED479" s="57"/>
      <c r="EE479" s="47"/>
      <c r="EF479" s="57"/>
      <c r="EG479" s="57"/>
      <c r="EH479" s="57"/>
      <c r="EI479" s="57"/>
      <c r="EJ479" s="57"/>
      <c r="EK479" s="47"/>
      <c r="EL479" s="46"/>
      <c r="EM479" s="57"/>
      <c r="EN479" s="46"/>
    </row>
    <row r="480" spans="2:144" s="48" customFormat="1" ht="15" customHeight="1" x14ac:dyDescent="0.25">
      <c r="B480" s="128"/>
      <c r="C480" s="99"/>
      <c r="D480" s="100"/>
      <c r="E480" s="99"/>
      <c r="F480" s="99"/>
      <c r="G480" s="99"/>
      <c r="H480" s="99"/>
      <c r="I480" s="99"/>
      <c r="J480" s="99"/>
      <c r="K480" s="99"/>
      <c r="L480" s="99"/>
      <c r="M480" s="99"/>
      <c r="N480" s="101"/>
      <c r="O480" s="101"/>
      <c r="P480" s="99"/>
      <c r="Q480" s="102"/>
      <c r="R480" s="102"/>
      <c r="S480" s="99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47">
        <f t="shared" si="335"/>
        <v>0</v>
      </c>
      <c r="AO480" s="46">
        <f t="shared" si="336"/>
        <v>0</v>
      </c>
      <c r="AP480" s="57"/>
      <c r="AQ480" s="46"/>
      <c r="AR480" s="57"/>
      <c r="AS480" s="57"/>
      <c r="AT480" s="57"/>
      <c r="AU480" s="47"/>
      <c r="AV480" s="57"/>
      <c r="AW480" s="47"/>
      <c r="AX480" s="57"/>
      <c r="AY480" s="57"/>
      <c r="AZ480" s="57"/>
      <c r="BA480" s="57"/>
      <c r="BB480" s="57"/>
      <c r="BC480" s="47"/>
      <c r="BD480" s="57"/>
      <c r="BE480" s="4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47"/>
      <c r="CS480" s="57"/>
      <c r="CT480" s="57"/>
      <c r="CU480" s="57"/>
      <c r="CV480" s="57"/>
      <c r="CW480" s="47"/>
      <c r="CX480" s="46"/>
      <c r="CY480" s="47"/>
      <c r="CZ480" s="57"/>
      <c r="DA480" s="57"/>
      <c r="DB480" s="57"/>
      <c r="DC480" s="57"/>
      <c r="DD480" s="47"/>
      <c r="DE480" s="57"/>
      <c r="DF480" s="46"/>
      <c r="DG480" s="57"/>
      <c r="DH480" s="57"/>
      <c r="DI480" s="57"/>
      <c r="DJ480" s="57"/>
      <c r="DK480" s="64"/>
      <c r="DL480" s="47"/>
      <c r="DM480" s="57"/>
      <c r="DN480" s="46"/>
      <c r="DO480" s="57"/>
      <c r="DP480" s="90"/>
      <c r="DQ480" s="57"/>
      <c r="DR480" s="46"/>
      <c r="DS480" s="57"/>
      <c r="DT480" s="46"/>
      <c r="DU480" s="57"/>
      <c r="DV480" s="46"/>
      <c r="DW480" s="57"/>
      <c r="DX480" s="47">
        <f t="shared" si="329"/>
        <v>0</v>
      </c>
      <c r="DY480" s="57"/>
      <c r="DZ480" s="57"/>
      <c r="EA480" s="57"/>
      <c r="EB480" s="57"/>
      <c r="EC480" s="57"/>
      <c r="ED480" s="57"/>
      <c r="EE480" s="47"/>
      <c r="EF480" s="57"/>
      <c r="EG480" s="57"/>
      <c r="EH480" s="57"/>
      <c r="EI480" s="57"/>
      <c r="EJ480" s="57"/>
      <c r="EK480" s="47"/>
      <c r="EL480" s="46"/>
      <c r="EM480" s="57"/>
      <c r="EN480" s="46"/>
    </row>
    <row r="481" spans="1:146" s="48" customFormat="1" ht="15" customHeight="1" x14ac:dyDescent="0.25">
      <c r="B481" s="128"/>
      <c r="C481" s="139" t="s">
        <v>134</v>
      </c>
      <c r="D481" s="100"/>
      <c r="E481" s="99"/>
      <c r="F481" s="99"/>
      <c r="G481" s="99"/>
      <c r="H481" s="99"/>
      <c r="I481" s="99"/>
      <c r="J481" s="99"/>
      <c r="K481" s="99"/>
      <c r="L481" s="99"/>
      <c r="M481" s="99"/>
      <c r="N481" s="101"/>
      <c r="O481" s="101"/>
      <c r="P481" s="99"/>
      <c r="Q481" s="102"/>
      <c r="R481" s="102"/>
      <c r="S481" s="99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47">
        <f t="shared" si="335"/>
        <v>0</v>
      </c>
      <c r="AO481" s="46">
        <f t="shared" si="336"/>
        <v>0</v>
      </c>
      <c r="AP481" s="57"/>
      <c r="AQ481" s="46"/>
      <c r="AR481" s="57"/>
      <c r="AS481" s="57"/>
      <c r="AT481" s="57"/>
      <c r="AU481" s="47">
        <f t="shared" ref="AU481:AU544" si="347">AS481*AT481</f>
        <v>0</v>
      </c>
      <c r="AV481" s="57"/>
      <c r="AW481" s="47">
        <f t="shared" ref="AW481:AW490" si="348">AQ481+AR481+AU481+AV481</f>
        <v>0</v>
      </c>
      <c r="AX481" s="57"/>
      <c r="AY481" s="57"/>
      <c r="AZ481" s="57"/>
      <c r="BA481" s="57"/>
      <c r="BB481" s="57"/>
      <c r="BC481" s="47">
        <f t="shared" ref="BC481:BC544" si="349">BA481*BB481</f>
        <v>0</v>
      </c>
      <c r="BD481" s="57"/>
      <c r="BE481" s="47">
        <f t="shared" ref="BE481:BE544" si="350">+AY481+AZ481+BC481+BD481</f>
        <v>0</v>
      </c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  <c r="CD481" s="57"/>
      <c r="CE481" s="57"/>
      <c r="CF481" s="57"/>
      <c r="CG481" s="57"/>
      <c r="CH481" s="57"/>
      <c r="CI481" s="57"/>
      <c r="CJ481" s="57"/>
      <c r="CK481" s="57"/>
      <c r="CL481" s="57"/>
      <c r="CM481" s="57"/>
      <c r="CN481" s="57"/>
      <c r="CO481" s="57"/>
      <c r="CP481" s="57">
        <f t="shared" ref="CP481:CP507" si="351">CN481*CO481</f>
        <v>0</v>
      </c>
      <c r="CQ481" s="57"/>
      <c r="CR481" s="47">
        <f t="shared" ref="CR481:CR544" si="352">CM481+CP481+CQ481</f>
        <v>0</v>
      </c>
      <c r="CS481" s="57"/>
      <c r="CT481" s="57"/>
      <c r="CU481" s="57"/>
      <c r="CV481" s="57"/>
      <c r="CW481" s="47">
        <f t="shared" ref="CW481:CW517" si="353">CU481*CV481</f>
        <v>0</v>
      </c>
      <c r="CX481" s="46"/>
      <c r="CY481" s="47">
        <f t="shared" ref="CY481:CY544" si="354">+CT481+CW481+CX481</f>
        <v>0</v>
      </c>
      <c r="CZ481" s="57"/>
      <c r="DA481" s="57"/>
      <c r="DB481" s="57"/>
      <c r="DC481" s="57"/>
      <c r="DD481" s="47">
        <f t="shared" ref="DD481:DD490" si="355">+DB481*DC481</f>
        <v>0</v>
      </c>
      <c r="DE481" s="57"/>
      <c r="DF481" s="46">
        <f t="shared" ref="DF481:DF490" si="356">DC481</f>
        <v>0</v>
      </c>
      <c r="DG481" s="57"/>
      <c r="DH481" s="57">
        <f t="shared" ref="DH481:DH544" si="357">AQ481/2</f>
        <v>0</v>
      </c>
      <c r="DI481" s="57"/>
      <c r="DJ481" s="57"/>
      <c r="DK481" s="64"/>
      <c r="DL481" s="47">
        <f t="shared" ref="DL481:DL544" si="358">+DH481+DK481</f>
        <v>0</v>
      </c>
      <c r="DM481" s="57"/>
      <c r="DN481" s="46">
        <f t="shared" ref="DN481:DN544" si="359">7.5%*AQ481</f>
        <v>0</v>
      </c>
      <c r="DO481" s="57"/>
      <c r="DP481" s="90">
        <f>DN481</f>
        <v>0</v>
      </c>
      <c r="DQ481" s="57"/>
      <c r="DR481" s="46">
        <f t="shared" ref="DR481:DR544" si="360">DP481</f>
        <v>0</v>
      </c>
      <c r="DS481" s="57"/>
      <c r="DT481" s="46">
        <f t="shared" ref="DT481:DT490" si="361">75%*DR481</f>
        <v>0</v>
      </c>
      <c r="DU481" s="57"/>
      <c r="DV481" s="46">
        <f t="shared" ref="DV481:DV490" si="362">DT481/2</f>
        <v>0</v>
      </c>
      <c r="DW481" s="57"/>
      <c r="DX481" s="47">
        <f t="shared" si="329"/>
        <v>0</v>
      </c>
      <c r="DY481" s="57"/>
      <c r="DZ481" s="57"/>
      <c r="EA481" s="57"/>
      <c r="EB481" s="57"/>
      <c r="EC481" s="57"/>
      <c r="ED481" s="57"/>
      <c r="EE481" s="47">
        <f>+AW481+BE481+BM481+CR481+CY481+DF481+DL481+DX481+DY481+DZ481+EB481+EC481</f>
        <v>0</v>
      </c>
      <c r="EF481" s="57"/>
      <c r="EG481" s="57"/>
      <c r="EH481" s="57"/>
      <c r="EI481" s="57"/>
      <c r="EJ481" s="57"/>
      <c r="EK481" s="47">
        <f t="shared" ref="EK481:EK544" si="363">+EG481+EH481+EI481+EJ481</f>
        <v>0</v>
      </c>
      <c r="EL481" s="46">
        <f t="shared" ref="EL481:EL544" si="364">+AO481-EE481-EK481</f>
        <v>0</v>
      </c>
      <c r="EM481" s="57"/>
      <c r="EN481" s="46">
        <f t="shared" ref="EN481:EN544" si="365">EL481+EM481</f>
        <v>0</v>
      </c>
    </row>
    <row r="482" spans="1:146" s="48" customFormat="1" ht="15" customHeight="1" x14ac:dyDescent="0.25">
      <c r="B482" s="41">
        <v>1</v>
      </c>
      <c r="C482" s="99"/>
      <c r="D482" s="100"/>
      <c r="E482" s="99"/>
      <c r="F482" s="99"/>
      <c r="G482" s="99"/>
      <c r="H482" s="99"/>
      <c r="I482" s="99"/>
      <c r="J482" s="99"/>
      <c r="K482" s="99"/>
      <c r="L482" s="99"/>
      <c r="M482" s="99"/>
      <c r="N482" s="101"/>
      <c r="O482" s="101"/>
      <c r="P482" s="99"/>
      <c r="Q482" s="102"/>
      <c r="R482" s="102"/>
      <c r="S482" s="99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47">
        <f t="shared" si="335"/>
        <v>0</v>
      </c>
      <c r="AO482" s="46">
        <f t="shared" si="336"/>
        <v>0</v>
      </c>
      <c r="AP482" s="57" t="s">
        <v>135</v>
      </c>
      <c r="AQ482" s="46">
        <f t="shared" ref="AQ482:AQ487" si="366">20%*AO482</f>
        <v>0</v>
      </c>
      <c r="AR482" s="57"/>
      <c r="AS482" s="57"/>
      <c r="AT482" s="57"/>
      <c r="AU482" s="47">
        <f t="shared" si="347"/>
        <v>0</v>
      </c>
      <c r="AV482" s="57"/>
      <c r="AW482" s="47">
        <f t="shared" si="348"/>
        <v>0</v>
      </c>
      <c r="AX482" s="57"/>
      <c r="AY482" s="57"/>
      <c r="AZ482" s="57"/>
      <c r="BA482" s="57"/>
      <c r="BB482" s="57"/>
      <c r="BC482" s="47">
        <f t="shared" si="349"/>
        <v>0</v>
      </c>
      <c r="BD482" s="57"/>
      <c r="BE482" s="47">
        <f t="shared" si="350"/>
        <v>0</v>
      </c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>
        <f t="shared" si="351"/>
        <v>0</v>
      </c>
      <c r="CQ482" s="57"/>
      <c r="CR482" s="47">
        <f t="shared" si="352"/>
        <v>0</v>
      </c>
      <c r="CS482" s="57"/>
      <c r="CT482" s="57"/>
      <c r="CU482" s="57"/>
      <c r="CV482" s="57"/>
      <c r="CW482" s="47">
        <f t="shared" si="353"/>
        <v>0</v>
      </c>
      <c r="CX482" s="46"/>
      <c r="CY482" s="47">
        <f t="shared" si="354"/>
        <v>0</v>
      </c>
      <c r="CZ482" s="57"/>
      <c r="DA482" s="57"/>
      <c r="DB482" s="57"/>
      <c r="DC482" s="57"/>
      <c r="DD482" s="47">
        <f t="shared" si="355"/>
        <v>0</v>
      </c>
      <c r="DE482" s="57"/>
      <c r="DF482" s="46">
        <f t="shared" si="356"/>
        <v>0</v>
      </c>
      <c r="DG482" s="57"/>
      <c r="DH482" s="57">
        <f t="shared" si="357"/>
        <v>0</v>
      </c>
      <c r="DI482" s="57"/>
      <c r="DJ482" s="57"/>
      <c r="DK482" s="47">
        <f t="shared" ref="DK482:DK545" si="367">DI482*DJ482</f>
        <v>0</v>
      </c>
      <c r="DL482" s="47">
        <f t="shared" si="358"/>
        <v>0</v>
      </c>
      <c r="DM482" s="57"/>
      <c r="DN482" s="46">
        <f t="shared" si="359"/>
        <v>0</v>
      </c>
      <c r="DO482" s="57"/>
      <c r="DP482" s="46">
        <f t="shared" ref="DP482:DP501" si="368">10%*AQ482</f>
        <v>0</v>
      </c>
      <c r="DQ482" s="57" t="s">
        <v>99</v>
      </c>
      <c r="DR482" s="46">
        <f t="shared" si="360"/>
        <v>0</v>
      </c>
      <c r="DS482" s="57"/>
      <c r="DT482" s="46">
        <f t="shared" si="361"/>
        <v>0</v>
      </c>
      <c r="DU482" s="57"/>
      <c r="DV482" s="46">
        <f t="shared" si="362"/>
        <v>0</v>
      </c>
      <c r="DW482" s="57"/>
      <c r="DX482" s="47">
        <f t="shared" si="329"/>
        <v>0</v>
      </c>
      <c r="DY482" s="57"/>
      <c r="DZ482" s="57"/>
      <c r="EA482" s="57"/>
      <c r="EB482" s="57"/>
      <c r="EC482" s="57"/>
      <c r="ED482" s="57"/>
      <c r="EE482" s="47">
        <f t="shared" ref="EE482:EE545" si="369">+AW482+BE482+BM482+CR482+CY482+DF482+DL482+DX482+DY482+DZ482+EB482+EC482+ED482</f>
        <v>0</v>
      </c>
      <c r="EF482" s="57"/>
      <c r="EG482" s="57"/>
      <c r="EH482" s="57"/>
      <c r="EI482" s="57"/>
      <c r="EJ482" s="57"/>
      <c r="EK482" s="47">
        <f t="shared" si="363"/>
        <v>0</v>
      </c>
      <c r="EL482" s="46">
        <f t="shared" si="364"/>
        <v>0</v>
      </c>
      <c r="EM482" s="57"/>
      <c r="EN482" s="46">
        <f t="shared" si="365"/>
        <v>0</v>
      </c>
    </row>
    <row r="483" spans="1:146" s="49" customFormat="1" x14ac:dyDescent="0.25">
      <c r="A483" s="140"/>
      <c r="B483" s="41">
        <v>2</v>
      </c>
      <c r="D483" s="59"/>
      <c r="E483" s="99"/>
      <c r="N483" s="137"/>
      <c r="O483" s="137"/>
      <c r="Q483" s="138"/>
      <c r="R483" s="138"/>
      <c r="S483" s="138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47">
        <f t="shared" si="335"/>
        <v>0</v>
      </c>
      <c r="AO483" s="46">
        <f t="shared" si="336"/>
        <v>0</v>
      </c>
      <c r="AP483" s="50" t="s">
        <v>104</v>
      </c>
      <c r="AQ483" s="46">
        <f t="shared" si="366"/>
        <v>0</v>
      </c>
      <c r="AR483" s="50"/>
      <c r="AS483" s="50"/>
      <c r="AT483" s="50"/>
      <c r="AU483" s="47">
        <f t="shared" si="347"/>
        <v>0</v>
      </c>
      <c r="AV483" s="50"/>
      <c r="AW483" s="47">
        <f t="shared" si="348"/>
        <v>0</v>
      </c>
      <c r="AX483" s="50"/>
      <c r="AY483" s="50"/>
      <c r="AZ483" s="50"/>
      <c r="BA483" s="50"/>
      <c r="BB483" s="50"/>
      <c r="BC483" s="47">
        <f t="shared" si="349"/>
        <v>0</v>
      </c>
      <c r="BD483" s="50"/>
      <c r="BE483" s="47">
        <f t="shared" si="350"/>
        <v>0</v>
      </c>
      <c r="BF483" s="50">
        <f>SUM(BF396:BF450)</f>
        <v>0</v>
      </c>
      <c r="BG483" s="50">
        <f>SUM(BG396:BG450)</f>
        <v>0</v>
      </c>
      <c r="BH483" s="50">
        <f>SUM(BH396:BH450)</f>
        <v>0</v>
      </c>
      <c r="BI483" s="50"/>
      <c r="BJ483" s="50"/>
      <c r="BK483" s="50"/>
      <c r="BL483" s="50"/>
      <c r="BM483" s="50"/>
      <c r="BN483" s="50">
        <f>SUM(BN396:BN450)</f>
        <v>0</v>
      </c>
      <c r="BO483" s="50">
        <f>SUM(BO396:BO450)</f>
        <v>0</v>
      </c>
      <c r="BP483" s="50">
        <f>SUM(BP396:BP450)</f>
        <v>0</v>
      </c>
      <c r="BQ483" s="50"/>
      <c r="BR483" s="50"/>
      <c r="BS483" s="50"/>
      <c r="BT483" s="50">
        <f>SUM(BT396:BT450)</f>
        <v>0</v>
      </c>
      <c r="BU483" s="50"/>
      <c r="BV483" s="50">
        <f>SUM(BV396:BV450)</f>
        <v>0</v>
      </c>
      <c r="BW483" s="50">
        <f>SUM(BW396:BW450)</f>
        <v>0</v>
      </c>
      <c r="BX483" s="50">
        <f>SUM(BX396:BX450)</f>
        <v>0</v>
      </c>
      <c r="BY483" s="50"/>
      <c r="BZ483" s="50"/>
      <c r="CA483" s="50"/>
      <c r="CB483" s="50">
        <f>SUM(CB396:CB450)</f>
        <v>0</v>
      </c>
      <c r="CC483" s="50"/>
      <c r="CD483" s="50">
        <f>SUM(CD396:CD450)</f>
        <v>0</v>
      </c>
      <c r="CE483" s="50">
        <f>SUM(CE396:CE450)</f>
        <v>0</v>
      </c>
      <c r="CF483" s="50">
        <f>SUM(CF396:CF450)</f>
        <v>0</v>
      </c>
      <c r="CG483" s="50"/>
      <c r="CH483" s="50"/>
      <c r="CI483" s="50"/>
      <c r="CJ483" s="50">
        <f>SUM(CJ396:CJ450)</f>
        <v>0</v>
      </c>
      <c r="CK483" s="50"/>
      <c r="CL483" s="50"/>
      <c r="CM483" s="50"/>
      <c r="CN483" s="50"/>
      <c r="CO483" s="50"/>
      <c r="CP483" s="57">
        <f t="shared" si="351"/>
        <v>0</v>
      </c>
      <c r="CQ483" s="57"/>
      <c r="CR483" s="47">
        <f t="shared" si="352"/>
        <v>0</v>
      </c>
      <c r="CS483" s="50"/>
      <c r="CT483" s="50"/>
      <c r="CU483" s="50"/>
      <c r="CV483" s="50"/>
      <c r="CW483" s="47">
        <f t="shared" si="353"/>
        <v>0</v>
      </c>
      <c r="CX483" s="46"/>
      <c r="CY483" s="47">
        <f t="shared" si="354"/>
        <v>0</v>
      </c>
      <c r="CZ483" s="50">
        <f>SUM(CZ396:CZ450)</f>
        <v>0</v>
      </c>
      <c r="DA483" s="50">
        <f>SUM(DA396:DA450)</f>
        <v>0</v>
      </c>
      <c r="DB483" s="50"/>
      <c r="DC483" s="50"/>
      <c r="DD483" s="47">
        <f t="shared" si="355"/>
        <v>0</v>
      </c>
      <c r="DE483" s="50"/>
      <c r="DF483" s="46">
        <f t="shared" si="356"/>
        <v>0</v>
      </c>
      <c r="DG483" s="50"/>
      <c r="DH483" s="57">
        <f t="shared" si="357"/>
        <v>0</v>
      </c>
      <c r="DI483" s="50"/>
      <c r="DJ483" s="50"/>
      <c r="DK483" s="47">
        <f t="shared" si="367"/>
        <v>0</v>
      </c>
      <c r="DL483" s="47">
        <f t="shared" si="358"/>
        <v>0</v>
      </c>
      <c r="DM483" s="57"/>
      <c r="DN483" s="46">
        <f t="shared" si="359"/>
        <v>0</v>
      </c>
      <c r="DO483" s="50"/>
      <c r="DP483" s="46">
        <f t="shared" si="368"/>
        <v>0</v>
      </c>
      <c r="DQ483" s="50" t="s">
        <v>99</v>
      </c>
      <c r="DR483" s="46">
        <f t="shared" si="360"/>
        <v>0</v>
      </c>
      <c r="DS483" s="50"/>
      <c r="DT483" s="46">
        <f t="shared" si="361"/>
        <v>0</v>
      </c>
      <c r="DU483" s="50"/>
      <c r="DV483" s="46">
        <f t="shared" si="362"/>
        <v>0</v>
      </c>
      <c r="DW483" s="50"/>
      <c r="DX483" s="47">
        <f t="shared" si="329"/>
        <v>0</v>
      </c>
      <c r="DY483" s="50"/>
      <c r="DZ483" s="50"/>
      <c r="EA483" s="50"/>
      <c r="EB483" s="50"/>
      <c r="EC483" s="50"/>
      <c r="ED483" s="50"/>
      <c r="EE483" s="47">
        <f t="shared" si="369"/>
        <v>0</v>
      </c>
      <c r="EF483" s="50"/>
      <c r="EG483" s="50"/>
      <c r="EH483" s="57"/>
      <c r="EI483" s="50"/>
      <c r="EJ483" s="50"/>
      <c r="EK483" s="47">
        <f t="shared" si="363"/>
        <v>0</v>
      </c>
      <c r="EL483" s="46">
        <f t="shared" si="364"/>
        <v>0</v>
      </c>
      <c r="EM483" s="50"/>
      <c r="EN483" s="46">
        <f t="shared" si="365"/>
        <v>0</v>
      </c>
    </row>
    <row r="484" spans="1:146" s="51" customFormat="1" x14ac:dyDescent="0.25">
      <c r="B484" s="41">
        <v>3</v>
      </c>
      <c r="C484" s="52"/>
      <c r="D484" s="53"/>
      <c r="E484" s="99"/>
      <c r="F484" s="52"/>
      <c r="G484" s="52"/>
      <c r="H484" s="52"/>
      <c r="I484" s="52"/>
      <c r="J484" s="52"/>
      <c r="K484" s="52"/>
      <c r="L484" s="52"/>
      <c r="M484" s="52"/>
      <c r="N484" s="54"/>
      <c r="O484" s="54"/>
      <c r="P484" s="52"/>
      <c r="Q484" s="55"/>
      <c r="R484" s="55"/>
      <c r="S484" s="55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47">
        <f t="shared" si="335"/>
        <v>0</v>
      </c>
      <c r="AO484" s="46">
        <f t="shared" si="336"/>
        <v>0</v>
      </c>
      <c r="AP484" s="56" t="s">
        <v>135</v>
      </c>
      <c r="AQ484" s="46">
        <f t="shared" si="366"/>
        <v>0</v>
      </c>
      <c r="AR484" s="56"/>
      <c r="AS484" s="56"/>
      <c r="AT484" s="56"/>
      <c r="AU484" s="47">
        <f t="shared" si="347"/>
        <v>0</v>
      </c>
      <c r="AV484" s="56"/>
      <c r="AW484" s="47">
        <f t="shared" si="348"/>
        <v>0</v>
      </c>
      <c r="AX484" s="56"/>
      <c r="AY484" s="56"/>
      <c r="AZ484" s="56"/>
      <c r="BA484" s="56"/>
      <c r="BB484" s="56"/>
      <c r="BC484" s="47">
        <f t="shared" si="349"/>
        <v>0</v>
      </c>
      <c r="BD484" s="56"/>
      <c r="BE484" s="47">
        <f t="shared" si="350"/>
        <v>0</v>
      </c>
      <c r="BF484" s="56"/>
      <c r="BG484" s="56"/>
      <c r="BH484" s="56"/>
      <c r="BI484" s="56"/>
      <c r="BJ484" s="56"/>
      <c r="BK484" s="56"/>
      <c r="BL484" s="50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56"/>
      <c r="CP484" s="57">
        <f t="shared" si="351"/>
        <v>0</v>
      </c>
      <c r="CQ484" s="57"/>
      <c r="CR484" s="47">
        <f t="shared" si="352"/>
        <v>0</v>
      </c>
      <c r="CS484" s="56"/>
      <c r="CT484" s="56"/>
      <c r="CU484" s="56"/>
      <c r="CV484" s="56"/>
      <c r="CW484" s="47">
        <f t="shared" si="353"/>
        <v>0</v>
      </c>
      <c r="CX484" s="46"/>
      <c r="CY484" s="47">
        <f t="shared" si="354"/>
        <v>0</v>
      </c>
      <c r="CZ484" s="56"/>
      <c r="DA484" s="56"/>
      <c r="DB484" s="56"/>
      <c r="DC484" s="56"/>
      <c r="DD484" s="47">
        <f t="shared" si="355"/>
        <v>0</v>
      </c>
      <c r="DE484" s="56"/>
      <c r="DF484" s="46">
        <f t="shared" si="356"/>
        <v>0</v>
      </c>
      <c r="DG484" s="56"/>
      <c r="DH484" s="57">
        <f t="shared" si="357"/>
        <v>0</v>
      </c>
      <c r="DI484" s="56"/>
      <c r="DJ484" s="56"/>
      <c r="DK484" s="47">
        <f t="shared" si="367"/>
        <v>0</v>
      </c>
      <c r="DL484" s="47">
        <f t="shared" si="358"/>
        <v>0</v>
      </c>
      <c r="DM484" s="57"/>
      <c r="DN484" s="46">
        <f t="shared" si="359"/>
        <v>0</v>
      </c>
      <c r="DO484" s="56"/>
      <c r="DP484" s="46">
        <f t="shared" si="368"/>
        <v>0</v>
      </c>
      <c r="DQ484" s="56" t="s">
        <v>99</v>
      </c>
      <c r="DR484" s="46">
        <f t="shared" si="360"/>
        <v>0</v>
      </c>
      <c r="DS484" s="56"/>
      <c r="DT484" s="46">
        <f t="shared" si="361"/>
        <v>0</v>
      </c>
      <c r="DU484" s="56"/>
      <c r="DV484" s="46">
        <f t="shared" si="362"/>
        <v>0</v>
      </c>
      <c r="DW484" s="56"/>
      <c r="DX484" s="47">
        <f t="shared" si="329"/>
        <v>0</v>
      </c>
      <c r="DY484" s="56"/>
      <c r="DZ484" s="56"/>
      <c r="EA484" s="56"/>
      <c r="EB484" s="56"/>
      <c r="EC484" s="56"/>
      <c r="ED484" s="56"/>
      <c r="EE484" s="47">
        <f t="shared" si="369"/>
        <v>0</v>
      </c>
      <c r="EF484" s="56"/>
      <c r="EG484" s="56"/>
      <c r="EH484" s="57"/>
      <c r="EI484" s="56"/>
      <c r="EJ484" s="56"/>
      <c r="EK484" s="47">
        <f t="shared" si="363"/>
        <v>0</v>
      </c>
      <c r="EL484" s="46">
        <f t="shared" si="364"/>
        <v>0</v>
      </c>
      <c r="EM484" s="56"/>
      <c r="EN484" s="46">
        <f t="shared" si="365"/>
        <v>0</v>
      </c>
    </row>
    <row r="485" spans="1:146" s="51" customFormat="1" ht="15" customHeight="1" x14ac:dyDescent="0.25">
      <c r="B485" s="41">
        <v>4</v>
      </c>
      <c r="C485" s="141"/>
      <c r="D485" s="53"/>
      <c r="E485" s="49"/>
      <c r="F485" s="52"/>
      <c r="G485" s="52"/>
      <c r="H485" s="52"/>
      <c r="I485" s="52"/>
      <c r="J485" s="52"/>
      <c r="K485" s="52"/>
      <c r="L485" s="52"/>
      <c r="M485" s="52"/>
      <c r="N485" s="54"/>
      <c r="O485" s="54"/>
      <c r="P485" s="52"/>
      <c r="Q485" s="55"/>
      <c r="R485" s="55"/>
      <c r="S485" s="55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47">
        <f t="shared" si="335"/>
        <v>0</v>
      </c>
      <c r="AO485" s="46">
        <f t="shared" si="336"/>
        <v>0</v>
      </c>
      <c r="AP485" s="56" t="s">
        <v>135</v>
      </c>
      <c r="AQ485" s="46">
        <f t="shared" si="366"/>
        <v>0</v>
      </c>
      <c r="AR485" s="56"/>
      <c r="AS485" s="56"/>
      <c r="AT485" s="56"/>
      <c r="AU485" s="47">
        <f t="shared" si="347"/>
        <v>0</v>
      </c>
      <c r="AV485" s="56"/>
      <c r="AW485" s="47">
        <f t="shared" si="348"/>
        <v>0</v>
      </c>
      <c r="AX485" s="56"/>
      <c r="AY485" s="56"/>
      <c r="AZ485" s="56"/>
      <c r="BA485" s="56"/>
      <c r="BB485" s="56"/>
      <c r="BC485" s="47">
        <f t="shared" si="349"/>
        <v>0</v>
      </c>
      <c r="BD485" s="56"/>
      <c r="BE485" s="47">
        <f t="shared" si="350"/>
        <v>0</v>
      </c>
      <c r="BF485" s="56"/>
      <c r="BG485" s="56"/>
      <c r="BH485" s="56"/>
      <c r="BI485" s="56"/>
      <c r="BJ485" s="56"/>
      <c r="BK485" s="56"/>
      <c r="BL485" s="50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56"/>
      <c r="CP485" s="57">
        <f t="shared" si="351"/>
        <v>0</v>
      </c>
      <c r="CQ485" s="57"/>
      <c r="CR485" s="47">
        <f t="shared" si="352"/>
        <v>0</v>
      </c>
      <c r="CS485" s="56"/>
      <c r="CT485" s="56"/>
      <c r="CU485" s="56"/>
      <c r="CV485" s="56"/>
      <c r="CW485" s="47">
        <f t="shared" si="353"/>
        <v>0</v>
      </c>
      <c r="CX485" s="46"/>
      <c r="CY485" s="47">
        <f t="shared" si="354"/>
        <v>0</v>
      </c>
      <c r="CZ485" s="56"/>
      <c r="DA485" s="56"/>
      <c r="DB485" s="56"/>
      <c r="DC485" s="56"/>
      <c r="DD485" s="47">
        <f t="shared" si="355"/>
        <v>0</v>
      </c>
      <c r="DE485" s="56"/>
      <c r="DF485" s="46">
        <f t="shared" si="356"/>
        <v>0</v>
      </c>
      <c r="DG485" s="56"/>
      <c r="DH485" s="57">
        <f t="shared" si="357"/>
        <v>0</v>
      </c>
      <c r="DI485" s="56"/>
      <c r="DJ485" s="56"/>
      <c r="DK485" s="47">
        <f t="shared" si="367"/>
        <v>0</v>
      </c>
      <c r="DL485" s="47">
        <f t="shared" si="358"/>
        <v>0</v>
      </c>
      <c r="DM485" s="56"/>
      <c r="DN485" s="46">
        <f t="shared" si="359"/>
        <v>0</v>
      </c>
      <c r="DO485" s="56"/>
      <c r="DP485" s="46">
        <f t="shared" si="368"/>
        <v>0</v>
      </c>
      <c r="DQ485" s="56" t="s">
        <v>99</v>
      </c>
      <c r="DR485" s="46">
        <f t="shared" si="360"/>
        <v>0</v>
      </c>
      <c r="DS485" s="56"/>
      <c r="DT485" s="46">
        <f t="shared" si="361"/>
        <v>0</v>
      </c>
      <c r="DU485" s="56"/>
      <c r="DV485" s="46">
        <f t="shared" si="362"/>
        <v>0</v>
      </c>
      <c r="DW485" s="56"/>
      <c r="DX485" s="47">
        <f t="shared" si="329"/>
        <v>0</v>
      </c>
      <c r="DY485" s="56"/>
      <c r="DZ485" s="56"/>
      <c r="EA485" s="56"/>
      <c r="EB485" s="56"/>
      <c r="EC485" s="56"/>
      <c r="ED485" s="56"/>
      <c r="EE485" s="47">
        <f t="shared" si="369"/>
        <v>0</v>
      </c>
      <c r="EF485" s="56"/>
      <c r="EG485" s="56"/>
      <c r="EH485" s="57"/>
      <c r="EI485" s="56"/>
      <c r="EJ485" s="56"/>
      <c r="EK485" s="47">
        <f t="shared" si="363"/>
        <v>0</v>
      </c>
      <c r="EL485" s="46">
        <f t="shared" si="364"/>
        <v>0</v>
      </c>
      <c r="EM485" s="56"/>
      <c r="EN485" s="46">
        <f t="shared" si="365"/>
        <v>0</v>
      </c>
    </row>
    <row r="486" spans="1:146" s="51" customFormat="1" ht="15" customHeight="1" x14ac:dyDescent="0.25">
      <c r="B486" s="41">
        <v>5</v>
      </c>
      <c r="C486" s="52"/>
      <c r="D486" s="53"/>
      <c r="E486" s="52"/>
      <c r="F486" s="52"/>
      <c r="G486" s="52"/>
      <c r="H486" s="52"/>
      <c r="I486" s="52"/>
      <c r="J486" s="52"/>
      <c r="K486" s="52"/>
      <c r="L486" s="52"/>
      <c r="M486" s="52"/>
      <c r="N486" s="54"/>
      <c r="O486" s="54"/>
      <c r="P486" s="52"/>
      <c r="Q486" s="55"/>
      <c r="R486" s="55"/>
      <c r="S486" s="55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47">
        <f t="shared" si="335"/>
        <v>0</v>
      </c>
      <c r="AO486" s="46">
        <f t="shared" si="336"/>
        <v>0</v>
      </c>
      <c r="AP486" s="56" t="s">
        <v>135</v>
      </c>
      <c r="AQ486" s="46">
        <f t="shared" si="366"/>
        <v>0</v>
      </c>
      <c r="AR486" s="56"/>
      <c r="AS486" s="56"/>
      <c r="AT486" s="56"/>
      <c r="AU486" s="47">
        <f t="shared" si="347"/>
        <v>0</v>
      </c>
      <c r="AV486" s="56"/>
      <c r="AW486" s="47">
        <f t="shared" si="348"/>
        <v>0</v>
      </c>
      <c r="AX486" s="56"/>
      <c r="AY486" s="56"/>
      <c r="AZ486" s="56"/>
      <c r="BA486" s="56"/>
      <c r="BB486" s="56"/>
      <c r="BC486" s="47">
        <f t="shared" si="349"/>
        <v>0</v>
      </c>
      <c r="BD486" s="56"/>
      <c r="BE486" s="47">
        <f t="shared" si="350"/>
        <v>0</v>
      </c>
      <c r="BF486" s="56"/>
      <c r="BG486" s="56"/>
      <c r="BH486" s="56"/>
      <c r="BI486" s="56"/>
      <c r="BJ486" s="56"/>
      <c r="BK486" s="56"/>
      <c r="BL486" s="50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  <c r="CL486" s="56"/>
      <c r="CM486" s="56"/>
      <c r="CN486" s="56"/>
      <c r="CO486" s="56"/>
      <c r="CP486" s="57">
        <f t="shared" si="351"/>
        <v>0</v>
      </c>
      <c r="CQ486" s="57"/>
      <c r="CR486" s="47">
        <f t="shared" si="352"/>
        <v>0</v>
      </c>
      <c r="CS486" s="56"/>
      <c r="CT486" s="56"/>
      <c r="CU486" s="56"/>
      <c r="CV486" s="56"/>
      <c r="CW486" s="47">
        <f t="shared" si="353"/>
        <v>0</v>
      </c>
      <c r="CX486" s="46"/>
      <c r="CY486" s="47">
        <f t="shared" si="354"/>
        <v>0</v>
      </c>
      <c r="CZ486" s="56"/>
      <c r="DA486" s="56"/>
      <c r="DB486" s="56"/>
      <c r="DC486" s="56"/>
      <c r="DD486" s="47">
        <f t="shared" si="355"/>
        <v>0</v>
      </c>
      <c r="DE486" s="56"/>
      <c r="DF486" s="46">
        <f t="shared" si="356"/>
        <v>0</v>
      </c>
      <c r="DG486" s="56"/>
      <c r="DH486" s="57">
        <f t="shared" si="357"/>
        <v>0</v>
      </c>
      <c r="DI486" s="56"/>
      <c r="DJ486" s="56"/>
      <c r="DK486" s="47">
        <f t="shared" si="367"/>
        <v>0</v>
      </c>
      <c r="DL486" s="47">
        <f t="shared" si="358"/>
        <v>0</v>
      </c>
      <c r="DM486" s="56"/>
      <c r="DN486" s="46">
        <f t="shared" si="359"/>
        <v>0</v>
      </c>
      <c r="DO486" s="56"/>
      <c r="DP486" s="46">
        <f t="shared" si="368"/>
        <v>0</v>
      </c>
      <c r="DQ486" s="56" t="s">
        <v>99</v>
      </c>
      <c r="DR486" s="46">
        <f t="shared" si="360"/>
        <v>0</v>
      </c>
      <c r="DS486" s="56"/>
      <c r="DT486" s="46">
        <f t="shared" si="361"/>
        <v>0</v>
      </c>
      <c r="DU486" s="56"/>
      <c r="DV486" s="46">
        <f t="shared" si="362"/>
        <v>0</v>
      </c>
      <c r="DW486" s="56"/>
      <c r="DX486" s="47">
        <f t="shared" si="329"/>
        <v>0</v>
      </c>
      <c r="DY486" s="56"/>
      <c r="DZ486" s="56"/>
      <c r="EA486" s="56"/>
      <c r="EB486" s="56"/>
      <c r="EC486" s="56"/>
      <c r="ED486" s="56"/>
      <c r="EE486" s="47">
        <f t="shared" si="369"/>
        <v>0</v>
      </c>
      <c r="EF486" s="56"/>
      <c r="EG486" s="56"/>
      <c r="EH486" s="57"/>
      <c r="EI486" s="56"/>
      <c r="EJ486" s="56"/>
      <c r="EK486" s="47">
        <f t="shared" si="363"/>
        <v>0</v>
      </c>
      <c r="EL486" s="46">
        <f t="shared" si="364"/>
        <v>0</v>
      </c>
      <c r="EM486" s="56"/>
      <c r="EN486" s="46">
        <f t="shared" si="365"/>
        <v>0</v>
      </c>
      <c r="EP486" s="51" t="s">
        <v>117</v>
      </c>
    </row>
    <row r="487" spans="1:146" s="51" customFormat="1" ht="15" customHeight="1" x14ac:dyDescent="0.25">
      <c r="B487" s="41">
        <v>6</v>
      </c>
      <c r="C487" s="52"/>
      <c r="D487" s="53"/>
      <c r="E487" s="52"/>
      <c r="F487" s="52"/>
      <c r="G487" s="52"/>
      <c r="H487" s="52"/>
      <c r="I487" s="52"/>
      <c r="J487" s="52"/>
      <c r="K487" s="52"/>
      <c r="L487" s="52"/>
      <c r="M487" s="52"/>
      <c r="N487" s="54"/>
      <c r="O487" s="54"/>
      <c r="P487" s="52"/>
      <c r="Q487" s="55"/>
      <c r="R487" s="55"/>
      <c r="S487" s="55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47">
        <f t="shared" si="335"/>
        <v>0</v>
      </c>
      <c r="AO487" s="46">
        <f t="shared" si="336"/>
        <v>0</v>
      </c>
      <c r="AP487" s="56" t="s">
        <v>135</v>
      </c>
      <c r="AQ487" s="46">
        <f t="shared" si="366"/>
        <v>0</v>
      </c>
      <c r="AR487" s="56"/>
      <c r="AS487" s="56"/>
      <c r="AT487" s="56"/>
      <c r="AU487" s="47">
        <f t="shared" si="347"/>
        <v>0</v>
      </c>
      <c r="AV487" s="56"/>
      <c r="AW487" s="47">
        <f t="shared" si="348"/>
        <v>0</v>
      </c>
      <c r="AX487" s="56"/>
      <c r="AY487" s="56"/>
      <c r="AZ487" s="56"/>
      <c r="BA487" s="56"/>
      <c r="BB487" s="56"/>
      <c r="BC487" s="47">
        <f t="shared" si="349"/>
        <v>0</v>
      </c>
      <c r="BD487" s="56"/>
      <c r="BE487" s="47">
        <f t="shared" si="350"/>
        <v>0</v>
      </c>
      <c r="BF487" s="56"/>
      <c r="BG487" s="56"/>
      <c r="BH487" s="56"/>
      <c r="BI487" s="56"/>
      <c r="BJ487" s="56"/>
      <c r="BK487" s="56"/>
      <c r="BL487" s="50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  <c r="CL487" s="56"/>
      <c r="CM487" s="56"/>
      <c r="CN487" s="56"/>
      <c r="CO487" s="56"/>
      <c r="CP487" s="57">
        <f t="shared" si="351"/>
        <v>0</v>
      </c>
      <c r="CQ487" s="56"/>
      <c r="CR487" s="47">
        <f t="shared" si="352"/>
        <v>0</v>
      </c>
      <c r="CS487" s="56"/>
      <c r="CT487" s="56"/>
      <c r="CU487" s="56"/>
      <c r="CV487" s="56"/>
      <c r="CW487" s="47">
        <f t="shared" si="353"/>
        <v>0</v>
      </c>
      <c r="CX487" s="46"/>
      <c r="CY487" s="47">
        <f t="shared" si="354"/>
        <v>0</v>
      </c>
      <c r="CZ487" s="56"/>
      <c r="DA487" s="56"/>
      <c r="DB487" s="56"/>
      <c r="DC487" s="56"/>
      <c r="DD487" s="47">
        <f t="shared" si="355"/>
        <v>0</v>
      </c>
      <c r="DE487" s="56"/>
      <c r="DF487" s="46">
        <f t="shared" si="356"/>
        <v>0</v>
      </c>
      <c r="DG487" s="56"/>
      <c r="DH487" s="57">
        <f t="shared" si="357"/>
        <v>0</v>
      </c>
      <c r="DI487" s="56"/>
      <c r="DJ487" s="56"/>
      <c r="DK487" s="47">
        <f t="shared" si="367"/>
        <v>0</v>
      </c>
      <c r="DL487" s="47">
        <f t="shared" si="358"/>
        <v>0</v>
      </c>
      <c r="DM487" s="56"/>
      <c r="DN487" s="46">
        <f t="shared" si="359"/>
        <v>0</v>
      </c>
      <c r="DO487" s="56"/>
      <c r="DP487" s="46">
        <f t="shared" si="368"/>
        <v>0</v>
      </c>
      <c r="DQ487" s="56" t="s">
        <v>99</v>
      </c>
      <c r="DR487" s="46">
        <f t="shared" si="360"/>
        <v>0</v>
      </c>
      <c r="DS487" s="56"/>
      <c r="DT487" s="46">
        <f t="shared" si="361"/>
        <v>0</v>
      </c>
      <c r="DU487" s="56"/>
      <c r="DV487" s="46">
        <f t="shared" si="362"/>
        <v>0</v>
      </c>
      <c r="DW487" s="56"/>
      <c r="DX487" s="47">
        <f t="shared" si="329"/>
        <v>0</v>
      </c>
      <c r="DY487" s="56"/>
      <c r="DZ487" s="56"/>
      <c r="EA487" s="56"/>
      <c r="EB487" s="56"/>
      <c r="EC487" s="56"/>
      <c r="ED487" s="56"/>
      <c r="EE487" s="47">
        <f t="shared" si="369"/>
        <v>0</v>
      </c>
      <c r="EF487" s="56"/>
      <c r="EG487" s="56"/>
      <c r="EH487" s="57"/>
      <c r="EI487" s="56"/>
      <c r="EJ487" s="56"/>
      <c r="EK487" s="47">
        <f t="shared" si="363"/>
        <v>0</v>
      </c>
      <c r="EL487" s="46">
        <f t="shared" si="364"/>
        <v>0</v>
      </c>
      <c r="EM487" s="56"/>
      <c r="EN487" s="46">
        <f t="shared" si="365"/>
        <v>0</v>
      </c>
    </row>
    <row r="488" spans="1:146" s="51" customFormat="1" ht="15" customHeight="1" x14ac:dyDescent="0.25">
      <c r="B488" s="41">
        <v>7</v>
      </c>
      <c r="C488" s="52"/>
      <c r="D488" s="53"/>
      <c r="E488" s="52"/>
      <c r="F488" s="52"/>
      <c r="G488" s="52"/>
      <c r="H488" s="52"/>
      <c r="I488" s="52"/>
      <c r="J488" s="52"/>
      <c r="K488" s="52"/>
      <c r="L488" s="52"/>
      <c r="M488" s="52"/>
      <c r="N488" s="54"/>
      <c r="O488" s="54"/>
      <c r="P488" s="52"/>
      <c r="Q488" s="55"/>
      <c r="R488" s="55"/>
      <c r="S488" s="55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47">
        <f t="shared" si="335"/>
        <v>0</v>
      </c>
      <c r="AO488" s="46">
        <f t="shared" si="336"/>
        <v>0</v>
      </c>
      <c r="AP488" s="56" t="s">
        <v>136</v>
      </c>
      <c r="AQ488" s="46">
        <f>23%*AO488</f>
        <v>0</v>
      </c>
      <c r="AR488" s="56"/>
      <c r="AS488" s="56"/>
      <c r="AT488" s="56"/>
      <c r="AU488" s="47">
        <f t="shared" si="347"/>
        <v>0</v>
      </c>
      <c r="AV488" s="56"/>
      <c r="AW488" s="47">
        <f t="shared" si="348"/>
        <v>0</v>
      </c>
      <c r="AX488" s="56"/>
      <c r="AY488" s="56"/>
      <c r="AZ488" s="56"/>
      <c r="BA488" s="56"/>
      <c r="BB488" s="56"/>
      <c r="BC488" s="47">
        <f t="shared" si="349"/>
        <v>0</v>
      </c>
      <c r="BD488" s="56"/>
      <c r="BE488" s="47">
        <f t="shared" si="350"/>
        <v>0</v>
      </c>
      <c r="BF488" s="56"/>
      <c r="BG488" s="56"/>
      <c r="BH488" s="56"/>
      <c r="BI488" s="56"/>
      <c r="BJ488" s="56"/>
      <c r="BK488" s="56"/>
      <c r="BL488" s="50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  <c r="CL488" s="56"/>
      <c r="CM488" s="56"/>
      <c r="CN488" s="56"/>
      <c r="CO488" s="56"/>
      <c r="CP488" s="57">
        <f t="shared" si="351"/>
        <v>0</v>
      </c>
      <c r="CQ488" s="56"/>
      <c r="CR488" s="47">
        <f t="shared" si="352"/>
        <v>0</v>
      </c>
      <c r="CS488" s="56"/>
      <c r="CT488" s="56"/>
      <c r="CU488" s="56"/>
      <c r="CV488" s="56"/>
      <c r="CW488" s="47">
        <f t="shared" si="353"/>
        <v>0</v>
      </c>
      <c r="CX488" s="46"/>
      <c r="CY488" s="47">
        <f t="shared" si="354"/>
        <v>0</v>
      </c>
      <c r="CZ488" s="56"/>
      <c r="DA488" s="56"/>
      <c r="DB488" s="56"/>
      <c r="DC488" s="56"/>
      <c r="DD488" s="47">
        <f t="shared" si="355"/>
        <v>0</v>
      </c>
      <c r="DE488" s="56"/>
      <c r="DF488" s="46">
        <f t="shared" si="356"/>
        <v>0</v>
      </c>
      <c r="DG488" s="56"/>
      <c r="DH488" s="57">
        <f t="shared" si="357"/>
        <v>0</v>
      </c>
      <c r="DI488" s="56"/>
      <c r="DJ488" s="56"/>
      <c r="DK488" s="47">
        <f t="shared" si="367"/>
        <v>0</v>
      </c>
      <c r="DL488" s="47">
        <f t="shared" si="358"/>
        <v>0</v>
      </c>
      <c r="DM488" s="56"/>
      <c r="DN488" s="46">
        <f t="shared" si="359"/>
        <v>0</v>
      </c>
      <c r="DO488" s="56"/>
      <c r="DP488" s="46">
        <f t="shared" si="368"/>
        <v>0</v>
      </c>
      <c r="DQ488" s="56" t="s">
        <v>99</v>
      </c>
      <c r="DR488" s="46">
        <f t="shared" si="360"/>
        <v>0</v>
      </c>
      <c r="DS488" s="56"/>
      <c r="DT488" s="46">
        <f t="shared" si="361"/>
        <v>0</v>
      </c>
      <c r="DU488" s="56"/>
      <c r="DV488" s="46">
        <f t="shared" si="362"/>
        <v>0</v>
      </c>
      <c r="DW488" s="56"/>
      <c r="DX488" s="47">
        <f t="shared" si="329"/>
        <v>0</v>
      </c>
      <c r="DY488" s="56"/>
      <c r="DZ488" s="56"/>
      <c r="EA488" s="56"/>
      <c r="EB488" s="56"/>
      <c r="EC488" s="56"/>
      <c r="ED488" s="56"/>
      <c r="EE488" s="47">
        <f t="shared" si="369"/>
        <v>0</v>
      </c>
      <c r="EF488" s="56"/>
      <c r="EG488" s="56"/>
      <c r="EH488" s="57"/>
      <c r="EI488" s="56"/>
      <c r="EJ488" s="56"/>
      <c r="EK488" s="47">
        <f t="shared" si="363"/>
        <v>0</v>
      </c>
      <c r="EL488" s="46">
        <f t="shared" si="364"/>
        <v>0</v>
      </c>
      <c r="EM488" s="56"/>
      <c r="EN488" s="46">
        <f t="shared" si="365"/>
        <v>0</v>
      </c>
    </row>
    <row r="489" spans="1:146" s="51" customFormat="1" ht="15" customHeight="1" x14ac:dyDescent="0.25">
      <c r="B489" s="41">
        <v>8</v>
      </c>
      <c r="C489" s="52"/>
      <c r="D489" s="53"/>
      <c r="E489" s="52"/>
      <c r="F489" s="52"/>
      <c r="G489" s="52"/>
      <c r="H489" s="52"/>
      <c r="I489" s="52"/>
      <c r="J489" s="52"/>
      <c r="K489" s="52"/>
      <c r="L489" s="52"/>
      <c r="M489" s="52"/>
      <c r="N489" s="54"/>
      <c r="O489" s="54"/>
      <c r="P489" s="52"/>
      <c r="Q489" s="55"/>
      <c r="R489" s="55"/>
      <c r="S489" s="55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47">
        <f t="shared" si="335"/>
        <v>0</v>
      </c>
      <c r="AO489" s="46">
        <f t="shared" si="336"/>
        <v>0</v>
      </c>
      <c r="AP489" s="56" t="s">
        <v>136</v>
      </c>
      <c r="AQ489" s="46">
        <f>23%*AO489</f>
        <v>0</v>
      </c>
      <c r="AR489" s="56"/>
      <c r="AS489" s="56"/>
      <c r="AT489" s="56"/>
      <c r="AU489" s="47">
        <f t="shared" si="347"/>
        <v>0</v>
      </c>
      <c r="AV489" s="56"/>
      <c r="AW489" s="47">
        <f t="shared" si="348"/>
        <v>0</v>
      </c>
      <c r="AX489" s="56"/>
      <c r="AY489" s="56"/>
      <c r="AZ489" s="56"/>
      <c r="BA489" s="56"/>
      <c r="BB489" s="56"/>
      <c r="BC489" s="47">
        <f t="shared" si="349"/>
        <v>0</v>
      </c>
      <c r="BD489" s="56"/>
      <c r="BE489" s="47">
        <f t="shared" si="350"/>
        <v>0</v>
      </c>
      <c r="BF489" s="56"/>
      <c r="BG489" s="56"/>
      <c r="BH489" s="56"/>
      <c r="BI489" s="56"/>
      <c r="BJ489" s="56"/>
      <c r="BK489" s="56"/>
      <c r="BL489" s="50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56"/>
      <c r="CP489" s="57">
        <f t="shared" si="351"/>
        <v>0</v>
      </c>
      <c r="CQ489" s="56"/>
      <c r="CR489" s="47">
        <f t="shared" si="352"/>
        <v>0</v>
      </c>
      <c r="CS489" s="56"/>
      <c r="CT489" s="56"/>
      <c r="CU489" s="56"/>
      <c r="CV489" s="56"/>
      <c r="CW489" s="47">
        <f t="shared" si="353"/>
        <v>0</v>
      </c>
      <c r="CX489" s="46"/>
      <c r="CY489" s="47">
        <f t="shared" si="354"/>
        <v>0</v>
      </c>
      <c r="CZ489" s="56"/>
      <c r="DA489" s="56"/>
      <c r="DB489" s="56"/>
      <c r="DC489" s="56"/>
      <c r="DD489" s="47">
        <f t="shared" si="355"/>
        <v>0</v>
      </c>
      <c r="DE489" s="56"/>
      <c r="DF489" s="46">
        <f t="shared" si="356"/>
        <v>0</v>
      </c>
      <c r="DG489" s="56"/>
      <c r="DH489" s="57">
        <f t="shared" si="357"/>
        <v>0</v>
      </c>
      <c r="DI489" s="56"/>
      <c r="DJ489" s="56"/>
      <c r="DK489" s="47">
        <f t="shared" si="367"/>
        <v>0</v>
      </c>
      <c r="DL489" s="47">
        <f t="shared" si="358"/>
        <v>0</v>
      </c>
      <c r="DM489" s="56"/>
      <c r="DN489" s="46">
        <f t="shared" si="359"/>
        <v>0</v>
      </c>
      <c r="DO489" s="56"/>
      <c r="DP489" s="46">
        <f t="shared" si="368"/>
        <v>0</v>
      </c>
      <c r="DQ489" s="56" t="s">
        <v>99</v>
      </c>
      <c r="DR489" s="46">
        <f t="shared" si="360"/>
        <v>0</v>
      </c>
      <c r="DS489" s="56"/>
      <c r="DT489" s="46">
        <f t="shared" si="361"/>
        <v>0</v>
      </c>
      <c r="DU489" s="56"/>
      <c r="DV489" s="46">
        <f t="shared" si="362"/>
        <v>0</v>
      </c>
      <c r="DW489" s="56"/>
      <c r="DX489" s="47">
        <f t="shared" si="329"/>
        <v>0</v>
      </c>
      <c r="DY489" s="56"/>
      <c r="DZ489" s="56"/>
      <c r="EA489" s="56"/>
      <c r="EB489" s="56"/>
      <c r="EC489" s="56"/>
      <c r="ED489" s="56"/>
      <c r="EE489" s="47">
        <f t="shared" si="369"/>
        <v>0</v>
      </c>
      <c r="EF489" s="56"/>
      <c r="EG489" s="56"/>
      <c r="EH489" s="57"/>
      <c r="EI489" s="56"/>
      <c r="EJ489" s="56"/>
      <c r="EK489" s="47">
        <f t="shared" si="363"/>
        <v>0</v>
      </c>
      <c r="EL489" s="46">
        <f t="shared" si="364"/>
        <v>0</v>
      </c>
      <c r="EM489" s="56"/>
      <c r="EN489" s="46">
        <f t="shared" si="365"/>
        <v>0</v>
      </c>
    </row>
    <row r="490" spans="1:146" s="51" customFormat="1" ht="15" customHeight="1" x14ac:dyDescent="0.25">
      <c r="B490" s="41">
        <v>9</v>
      </c>
      <c r="C490" s="52"/>
      <c r="D490" s="53"/>
      <c r="E490" s="52"/>
      <c r="F490" s="52"/>
      <c r="G490" s="52"/>
      <c r="H490" s="52"/>
      <c r="I490" s="52"/>
      <c r="J490" s="52"/>
      <c r="K490" s="52"/>
      <c r="L490" s="52"/>
      <c r="M490" s="52"/>
      <c r="N490" s="54"/>
      <c r="O490" s="54"/>
      <c r="P490" s="52"/>
      <c r="Q490" s="55"/>
      <c r="R490" s="55"/>
      <c r="S490" s="55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47">
        <f t="shared" si="335"/>
        <v>0</v>
      </c>
      <c r="AO490" s="46">
        <f t="shared" si="336"/>
        <v>0</v>
      </c>
      <c r="AP490" s="56" t="s">
        <v>137</v>
      </c>
      <c r="AQ490" s="46">
        <f>20%*AO490</f>
        <v>0</v>
      </c>
      <c r="AR490" s="56"/>
      <c r="AS490" s="56"/>
      <c r="AT490" s="56"/>
      <c r="AU490" s="47">
        <f t="shared" si="347"/>
        <v>0</v>
      </c>
      <c r="AV490" s="56"/>
      <c r="AW490" s="47">
        <f t="shared" si="348"/>
        <v>0</v>
      </c>
      <c r="AX490" s="56"/>
      <c r="AY490" s="56"/>
      <c r="AZ490" s="56"/>
      <c r="BA490" s="56"/>
      <c r="BB490" s="56"/>
      <c r="BC490" s="47">
        <f t="shared" si="349"/>
        <v>0</v>
      </c>
      <c r="BD490" s="56"/>
      <c r="BE490" s="47">
        <f t="shared" si="350"/>
        <v>0</v>
      </c>
      <c r="BF490" s="56"/>
      <c r="BG490" s="56"/>
      <c r="BH490" s="56"/>
      <c r="BI490" s="56"/>
      <c r="BJ490" s="56"/>
      <c r="BK490" s="56"/>
      <c r="BL490" s="50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  <c r="CL490" s="56"/>
      <c r="CM490" s="56"/>
      <c r="CN490" s="56"/>
      <c r="CO490" s="56"/>
      <c r="CP490" s="57">
        <f t="shared" si="351"/>
        <v>0</v>
      </c>
      <c r="CQ490" s="56"/>
      <c r="CR490" s="47">
        <f t="shared" si="352"/>
        <v>0</v>
      </c>
      <c r="CS490" s="56"/>
      <c r="CT490" s="56"/>
      <c r="CU490" s="56"/>
      <c r="CV490" s="56"/>
      <c r="CW490" s="47">
        <f t="shared" si="353"/>
        <v>0</v>
      </c>
      <c r="CX490" s="46"/>
      <c r="CY490" s="47">
        <f t="shared" si="354"/>
        <v>0</v>
      </c>
      <c r="CZ490" s="56"/>
      <c r="DA490" s="56"/>
      <c r="DB490" s="56"/>
      <c r="DC490" s="56"/>
      <c r="DD490" s="47">
        <f t="shared" si="355"/>
        <v>0</v>
      </c>
      <c r="DE490" s="56"/>
      <c r="DF490" s="46">
        <f t="shared" si="356"/>
        <v>0</v>
      </c>
      <c r="DG490" s="56"/>
      <c r="DH490" s="57">
        <f t="shared" si="357"/>
        <v>0</v>
      </c>
      <c r="DI490" s="56"/>
      <c r="DJ490" s="56"/>
      <c r="DK490" s="47">
        <f t="shared" si="367"/>
        <v>0</v>
      </c>
      <c r="DL490" s="47">
        <f t="shared" si="358"/>
        <v>0</v>
      </c>
      <c r="DM490" s="56"/>
      <c r="DN490" s="46">
        <f t="shared" si="359"/>
        <v>0</v>
      </c>
      <c r="DO490" s="56"/>
      <c r="DP490" s="46">
        <f t="shared" si="368"/>
        <v>0</v>
      </c>
      <c r="DQ490" s="56" t="s">
        <v>100</v>
      </c>
      <c r="DR490" s="46">
        <f t="shared" si="360"/>
        <v>0</v>
      </c>
      <c r="DS490" s="56"/>
      <c r="DT490" s="46">
        <f t="shared" si="361"/>
        <v>0</v>
      </c>
      <c r="DU490" s="56"/>
      <c r="DV490" s="46">
        <f t="shared" si="362"/>
        <v>0</v>
      </c>
      <c r="DW490" s="56"/>
      <c r="DX490" s="47">
        <f t="shared" si="329"/>
        <v>0</v>
      </c>
      <c r="DY490" s="56"/>
      <c r="DZ490" s="56"/>
      <c r="EA490" s="56"/>
      <c r="EB490" s="56"/>
      <c r="EC490" s="56"/>
      <c r="ED490" s="56"/>
      <c r="EE490" s="47">
        <f t="shared" si="369"/>
        <v>0</v>
      </c>
      <c r="EF490" s="56"/>
      <c r="EG490" s="56"/>
      <c r="EH490" s="57"/>
      <c r="EI490" s="56"/>
      <c r="EJ490" s="56"/>
      <c r="EK490" s="47">
        <f t="shared" si="363"/>
        <v>0</v>
      </c>
      <c r="EL490" s="46">
        <f t="shared" si="364"/>
        <v>0</v>
      </c>
      <c r="EM490" s="56"/>
      <c r="EN490" s="46">
        <f t="shared" si="365"/>
        <v>0</v>
      </c>
    </row>
    <row r="491" spans="1:146" s="48" customFormat="1" ht="15" customHeight="1" x14ac:dyDescent="0.25">
      <c r="B491" s="41">
        <v>10</v>
      </c>
      <c r="C491" s="42"/>
      <c r="D491" s="43"/>
      <c r="E491" s="52"/>
      <c r="F491" s="42"/>
      <c r="G491" s="42"/>
      <c r="H491" s="42"/>
      <c r="I491" s="42"/>
      <c r="J491" s="42"/>
      <c r="K491" s="42"/>
      <c r="L491" s="42"/>
      <c r="M491" s="42"/>
      <c r="N491" s="41"/>
      <c r="O491" s="41"/>
      <c r="P491" s="42"/>
      <c r="Q491" s="45"/>
      <c r="R491" s="45"/>
      <c r="S491" s="42"/>
      <c r="T491" s="46"/>
      <c r="U491" s="46"/>
      <c r="V491" s="42"/>
      <c r="W491" s="42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7">
        <f t="shared" si="335"/>
        <v>0</v>
      </c>
      <c r="AO491" s="47">
        <f t="shared" si="336"/>
        <v>0</v>
      </c>
      <c r="AP491" s="46" t="s">
        <v>101</v>
      </c>
      <c r="AQ491" s="46">
        <f>18%*AO491</f>
        <v>0</v>
      </c>
      <c r="AR491" s="46"/>
      <c r="AS491" s="46"/>
      <c r="AT491" s="46"/>
      <c r="AU491" s="47">
        <f t="shared" si="347"/>
        <v>0</v>
      </c>
      <c r="AV491" s="46"/>
      <c r="AW491" s="47">
        <f>AQ491+AU491+AV491+AR491</f>
        <v>0</v>
      </c>
      <c r="AX491" s="46"/>
      <c r="AY491" s="46"/>
      <c r="AZ491" s="46"/>
      <c r="BA491" s="46"/>
      <c r="BB491" s="46"/>
      <c r="BC491" s="47">
        <f t="shared" si="349"/>
        <v>0</v>
      </c>
      <c r="BD491" s="46"/>
      <c r="BE491" s="47">
        <f t="shared" si="350"/>
        <v>0</v>
      </c>
      <c r="BF491" s="46"/>
      <c r="BG491" s="46"/>
      <c r="BH491" s="46"/>
      <c r="BI491" s="46"/>
      <c r="BJ491" s="46"/>
      <c r="BK491" s="46">
        <f>BI491*BJ491</f>
        <v>0</v>
      </c>
      <c r="BL491" s="46"/>
      <c r="BM491" s="46">
        <f>BK491</f>
        <v>0</v>
      </c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>
        <f t="shared" si="351"/>
        <v>0</v>
      </c>
      <c r="CQ491" s="46"/>
      <c r="CR491" s="47">
        <f t="shared" si="352"/>
        <v>0</v>
      </c>
      <c r="CS491" s="46"/>
      <c r="CT491" s="46"/>
      <c r="CU491" s="46"/>
      <c r="CV491" s="46"/>
      <c r="CW491" s="47">
        <f t="shared" si="353"/>
        <v>0</v>
      </c>
      <c r="CX491" s="46"/>
      <c r="CY491" s="47">
        <f t="shared" si="354"/>
        <v>0</v>
      </c>
      <c r="CZ491" s="46"/>
      <c r="DA491" s="46"/>
      <c r="DB491" s="46"/>
      <c r="DC491" s="46"/>
      <c r="DD491" s="47">
        <f>DB491*DC491</f>
        <v>0</v>
      </c>
      <c r="DE491" s="46"/>
      <c r="DF491" s="46"/>
      <c r="DG491" s="46"/>
      <c r="DH491" s="46">
        <f t="shared" si="357"/>
        <v>0</v>
      </c>
      <c r="DI491" s="46"/>
      <c r="DJ491" s="46"/>
      <c r="DK491" s="47">
        <f t="shared" si="367"/>
        <v>0</v>
      </c>
      <c r="DL491" s="47">
        <f t="shared" si="358"/>
        <v>0</v>
      </c>
      <c r="DM491" s="46"/>
      <c r="DN491" s="46">
        <f t="shared" si="359"/>
        <v>0</v>
      </c>
      <c r="DO491" s="46"/>
      <c r="DP491" s="46">
        <f t="shared" si="368"/>
        <v>0</v>
      </c>
      <c r="DQ491" s="46" t="s">
        <v>99</v>
      </c>
      <c r="DR491" s="46">
        <f t="shared" si="360"/>
        <v>0</v>
      </c>
      <c r="DS491" s="46"/>
      <c r="DT491" s="46">
        <f>75%*DP491</f>
        <v>0</v>
      </c>
      <c r="DU491" s="46"/>
      <c r="DV491" s="46"/>
      <c r="DW491" s="46"/>
      <c r="DX491" s="47">
        <f t="shared" si="329"/>
        <v>0</v>
      </c>
      <c r="DY491" s="46"/>
      <c r="DZ491" s="46"/>
      <c r="EA491" s="46"/>
      <c r="EB491" s="46"/>
      <c r="EC491" s="46"/>
      <c r="ED491" s="46"/>
      <c r="EE491" s="47">
        <f t="shared" si="369"/>
        <v>0</v>
      </c>
      <c r="EF491" s="46"/>
      <c r="EG491" s="46"/>
      <c r="EH491" s="46"/>
      <c r="EI491" s="46"/>
      <c r="EJ491" s="46"/>
      <c r="EK491" s="47">
        <f t="shared" si="363"/>
        <v>0</v>
      </c>
      <c r="EL491" s="46">
        <f t="shared" si="364"/>
        <v>0</v>
      </c>
      <c r="EM491" s="46"/>
      <c r="EN491" s="46">
        <f t="shared" si="365"/>
        <v>0</v>
      </c>
    </row>
    <row r="492" spans="1:146" s="51" customFormat="1" x14ac:dyDescent="0.25">
      <c r="B492" s="41">
        <v>11</v>
      </c>
      <c r="C492" s="52"/>
      <c r="D492" s="53"/>
      <c r="E492" s="52"/>
      <c r="F492" s="52"/>
      <c r="G492" s="52"/>
      <c r="H492" s="52"/>
      <c r="I492" s="52"/>
      <c r="J492" s="52"/>
      <c r="K492" s="52"/>
      <c r="L492" s="52"/>
      <c r="M492" s="52"/>
      <c r="N492" s="54"/>
      <c r="O492" s="54"/>
      <c r="P492" s="52"/>
      <c r="Q492" s="55"/>
      <c r="R492" s="55"/>
      <c r="S492" s="55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47">
        <f t="shared" si="335"/>
        <v>0</v>
      </c>
      <c r="AO492" s="46">
        <f t="shared" si="336"/>
        <v>0</v>
      </c>
      <c r="AP492" s="56" t="s">
        <v>135</v>
      </c>
      <c r="AQ492" s="46">
        <f t="shared" ref="AQ492:AQ505" si="370">20%*AO492</f>
        <v>0</v>
      </c>
      <c r="AR492" s="56"/>
      <c r="AS492" s="56"/>
      <c r="AT492" s="56"/>
      <c r="AU492" s="47">
        <f t="shared" si="347"/>
        <v>0</v>
      </c>
      <c r="AV492" s="56"/>
      <c r="AW492" s="47">
        <f t="shared" ref="AW492:AW514" si="371">AQ492+AR492+AU492+AV492</f>
        <v>0</v>
      </c>
      <c r="AX492" s="56"/>
      <c r="AY492" s="56"/>
      <c r="AZ492" s="56"/>
      <c r="BA492" s="56"/>
      <c r="BB492" s="56"/>
      <c r="BC492" s="47">
        <f t="shared" si="349"/>
        <v>0</v>
      </c>
      <c r="BD492" s="56"/>
      <c r="BE492" s="47">
        <f t="shared" si="350"/>
        <v>0</v>
      </c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  <c r="CL492" s="56"/>
      <c r="CM492" s="56"/>
      <c r="CN492" s="56"/>
      <c r="CO492" s="56"/>
      <c r="CP492" s="57">
        <f t="shared" si="351"/>
        <v>0</v>
      </c>
      <c r="CQ492" s="56"/>
      <c r="CR492" s="47">
        <f t="shared" si="352"/>
        <v>0</v>
      </c>
      <c r="CS492" s="56"/>
      <c r="CT492" s="56"/>
      <c r="CU492" s="56"/>
      <c r="CV492" s="56"/>
      <c r="CW492" s="47">
        <f t="shared" si="353"/>
        <v>0</v>
      </c>
      <c r="CX492" s="46"/>
      <c r="CY492" s="47">
        <f t="shared" si="354"/>
        <v>0</v>
      </c>
      <c r="CZ492" s="56"/>
      <c r="DA492" s="56"/>
      <c r="DB492" s="56"/>
      <c r="DC492" s="56"/>
      <c r="DD492" s="47">
        <f t="shared" ref="DD492:DD540" si="372">+DB492*DC492</f>
        <v>0</v>
      </c>
      <c r="DE492" s="56"/>
      <c r="DF492" s="46">
        <f t="shared" ref="DF492:DF540" si="373">DC492</f>
        <v>0</v>
      </c>
      <c r="DG492" s="56"/>
      <c r="DH492" s="57">
        <f t="shared" si="357"/>
        <v>0</v>
      </c>
      <c r="DI492" s="56"/>
      <c r="DJ492" s="56"/>
      <c r="DK492" s="47">
        <f t="shared" si="367"/>
        <v>0</v>
      </c>
      <c r="DL492" s="47">
        <f t="shared" si="358"/>
        <v>0</v>
      </c>
      <c r="DM492" s="56"/>
      <c r="DN492" s="46">
        <f t="shared" si="359"/>
        <v>0</v>
      </c>
      <c r="DO492" s="56"/>
      <c r="DP492" s="46">
        <f t="shared" si="368"/>
        <v>0</v>
      </c>
      <c r="DQ492" s="56" t="s">
        <v>100</v>
      </c>
      <c r="DR492" s="46">
        <f t="shared" si="360"/>
        <v>0</v>
      </c>
      <c r="DS492" s="56"/>
      <c r="DT492" s="46">
        <f t="shared" ref="DT492:DT514" si="374">75%*DR492</f>
        <v>0</v>
      </c>
      <c r="DU492" s="56"/>
      <c r="DV492" s="46">
        <f t="shared" ref="DV492:DV533" si="375">DT492/2</f>
        <v>0</v>
      </c>
      <c r="DW492" s="56"/>
      <c r="DX492" s="47">
        <f t="shared" si="329"/>
        <v>0</v>
      </c>
      <c r="DY492" s="56"/>
      <c r="DZ492" s="56"/>
      <c r="EA492" s="56"/>
      <c r="EB492" s="56"/>
      <c r="EC492" s="56"/>
      <c r="ED492" s="56"/>
      <c r="EE492" s="47">
        <f t="shared" si="369"/>
        <v>0</v>
      </c>
      <c r="EF492" s="56"/>
      <c r="EG492" s="56"/>
      <c r="EH492" s="57"/>
      <c r="EI492" s="56"/>
      <c r="EJ492" s="56"/>
      <c r="EK492" s="47">
        <f t="shared" si="363"/>
        <v>0</v>
      </c>
      <c r="EL492" s="46">
        <f t="shared" si="364"/>
        <v>0</v>
      </c>
      <c r="EM492" s="56"/>
      <c r="EN492" s="46">
        <f t="shared" si="365"/>
        <v>0</v>
      </c>
    </row>
    <row r="493" spans="1:146" s="51" customFormat="1" ht="15" customHeight="1" x14ac:dyDescent="0.25">
      <c r="B493" s="41">
        <v>12</v>
      </c>
      <c r="C493" s="52"/>
      <c r="D493" s="53"/>
      <c r="E493" s="52"/>
      <c r="F493" s="52"/>
      <c r="G493" s="52"/>
      <c r="H493" s="52"/>
      <c r="I493" s="52"/>
      <c r="J493" s="52"/>
      <c r="K493" s="52"/>
      <c r="L493" s="52"/>
      <c r="M493" s="52"/>
      <c r="N493" s="54"/>
      <c r="O493" s="54"/>
      <c r="P493" s="52"/>
      <c r="Q493" s="55"/>
      <c r="R493" s="55"/>
      <c r="S493" s="55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47">
        <f t="shared" si="335"/>
        <v>0</v>
      </c>
      <c r="AO493" s="46">
        <f t="shared" si="336"/>
        <v>0</v>
      </c>
      <c r="AP493" s="56" t="s">
        <v>135</v>
      </c>
      <c r="AQ493" s="46">
        <f t="shared" si="370"/>
        <v>0</v>
      </c>
      <c r="AR493" s="56"/>
      <c r="AS493" s="56"/>
      <c r="AT493" s="56"/>
      <c r="AU493" s="47">
        <f t="shared" si="347"/>
        <v>0</v>
      </c>
      <c r="AV493" s="56"/>
      <c r="AW493" s="47">
        <f t="shared" si="371"/>
        <v>0</v>
      </c>
      <c r="AX493" s="56"/>
      <c r="AY493" s="56"/>
      <c r="AZ493" s="56"/>
      <c r="BA493" s="56"/>
      <c r="BB493" s="56"/>
      <c r="BC493" s="47">
        <f t="shared" si="349"/>
        <v>0</v>
      </c>
      <c r="BD493" s="56"/>
      <c r="BE493" s="47">
        <f t="shared" si="350"/>
        <v>0</v>
      </c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  <c r="CL493" s="56"/>
      <c r="CM493" s="56"/>
      <c r="CN493" s="56"/>
      <c r="CO493" s="56"/>
      <c r="CP493" s="57">
        <f t="shared" si="351"/>
        <v>0</v>
      </c>
      <c r="CQ493" s="56"/>
      <c r="CR493" s="47">
        <f t="shared" si="352"/>
        <v>0</v>
      </c>
      <c r="CS493" s="56"/>
      <c r="CT493" s="56"/>
      <c r="CU493" s="56"/>
      <c r="CV493" s="56"/>
      <c r="CW493" s="47">
        <f t="shared" si="353"/>
        <v>0</v>
      </c>
      <c r="CX493" s="46"/>
      <c r="CY493" s="47">
        <f t="shared" si="354"/>
        <v>0</v>
      </c>
      <c r="CZ493" s="56"/>
      <c r="DA493" s="56"/>
      <c r="DB493" s="56"/>
      <c r="DC493" s="56"/>
      <c r="DD493" s="47">
        <f t="shared" si="372"/>
        <v>0</v>
      </c>
      <c r="DE493" s="56"/>
      <c r="DF493" s="46">
        <f t="shared" si="373"/>
        <v>0</v>
      </c>
      <c r="DG493" s="56"/>
      <c r="DH493" s="57">
        <f t="shared" si="357"/>
        <v>0</v>
      </c>
      <c r="DI493" s="56"/>
      <c r="DJ493" s="56"/>
      <c r="DK493" s="47">
        <f t="shared" si="367"/>
        <v>0</v>
      </c>
      <c r="DL493" s="47">
        <f t="shared" si="358"/>
        <v>0</v>
      </c>
      <c r="DM493" s="56"/>
      <c r="DN493" s="46">
        <f t="shared" si="359"/>
        <v>0</v>
      </c>
      <c r="DO493" s="56"/>
      <c r="DP493" s="46">
        <f t="shared" si="368"/>
        <v>0</v>
      </c>
      <c r="DQ493" s="56" t="s">
        <v>99</v>
      </c>
      <c r="DR493" s="46">
        <f t="shared" si="360"/>
        <v>0</v>
      </c>
      <c r="DS493" s="56"/>
      <c r="DT493" s="46">
        <f t="shared" si="374"/>
        <v>0</v>
      </c>
      <c r="DU493" s="56"/>
      <c r="DV493" s="46">
        <f t="shared" si="375"/>
        <v>0</v>
      </c>
      <c r="DW493" s="56"/>
      <c r="DX493" s="47">
        <f t="shared" si="329"/>
        <v>0</v>
      </c>
      <c r="DY493" s="56"/>
      <c r="DZ493" s="56"/>
      <c r="EA493" s="56"/>
      <c r="EB493" s="56"/>
      <c r="EC493" s="56"/>
      <c r="ED493" s="56"/>
      <c r="EE493" s="47">
        <f t="shared" si="369"/>
        <v>0</v>
      </c>
      <c r="EF493" s="56"/>
      <c r="EG493" s="56"/>
      <c r="EH493" s="56"/>
      <c r="EI493" s="56"/>
      <c r="EJ493" s="56"/>
      <c r="EK493" s="47">
        <f t="shared" si="363"/>
        <v>0</v>
      </c>
      <c r="EL493" s="46">
        <f t="shared" si="364"/>
        <v>0</v>
      </c>
      <c r="EM493" s="56"/>
      <c r="EN493" s="46">
        <f t="shared" si="365"/>
        <v>0</v>
      </c>
    </row>
    <row r="494" spans="1:146" s="51" customFormat="1" ht="15" customHeight="1" x14ac:dyDescent="0.25">
      <c r="B494" s="41">
        <v>13</v>
      </c>
      <c r="C494" s="52"/>
      <c r="D494" s="53"/>
      <c r="E494" s="52"/>
      <c r="F494" s="52"/>
      <c r="G494" s="52"/>
      <c r="H494" s="52"/>
      <c r="I494" s="52"/>
      <c r="J494" s="52"/>
      <c r="K494" s="52"/>
      <c r="L494" s="52"/>
      <c r="M494" s="52"/>
      <c r="N494" s="54"/>
      <c r="O494" s="54"/>
      <c r="P494" s="52"/>
      <c r="Q494" s="55"/>
      <c r="R494" s="55"/>
      <c r="S494" s="55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47">
        <f t="shared" si="335"/>
        <v>0</v>
      </c>
      <c r="AO494" s="46">
        <f t="shared" si="336"/>
        <v>0</v>
      </c>
      <c r="AP494" s="56" t="s">
        <v>135</v>
      </c>
      <c r="AQ494" s="46">
        <f t="shared" si="370"/>
        <v>0</v>
      </c>
      <c r="AR494" s="56"/>
      <c r="AS494" s="56"/>
      <c r="AT494" s="56"/>
      <c r="AU494" s="47">
        <f t="shared" si="347"/>
        <v>0</v>
      </c>
      <c r="AV494" s="56"/>
      <c r="AW494" s="47">
        <f t="shared" si="371"/>
        <v>0</v>
      </c>
      <c r="AX494" s="56"/>
      <c r="AY494" s="56"/>
      <c r="AZ494" s="56"/>
      <c r="BA494" s="56"/>
      <c r="BB494" s="56"/>
      <c r="BC494" s="47">
        <f t="shared" si="349"/>
        <v>0</v>
      </c>
      <c r="BD494" s="56"/>
      <c r="BE494" s="47">
        <f t="shared" si="350"/>
        <v>0</v>
      </c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56"/>
      <c r="CP494" s="57">
        <f t="shared" si="351"/>
        <v>0</v>
      </c>
      <c r="CQ494" s="56"/>
      <c r="CR494" s="47">
        <f t="shared" si="352"/>
        <v>0</v>
      </c>
      <c r="CS494" s="56"/>
      <c r="CT494" s="56"/>
      <c r="CU494" s="56"/>
      <c r="CV494" s="56"/>
      <c r="CW494" s="47">
        <f t="shared" si="353"/>
        <v>0</v>
      </c>
      <c r="CX494" s="46"/>
      <c r="CY494" s="47">
        <f t="shared" si="354"/>
        <v>0</v>
      </c>
      <c r="CZ494" s="56"/>
      <c r="DA494" s="56"/>
      <c r="DB494" s="56"/>
      <c r="DC494" s="56"/>
      <c r="DD494" s="47">
        <f t="shared" si="372"/>
        <v>0</v>
      </c>
      <c r="DE494" s="56"/>
      <c r="DF494" s="46">
        <f t="shared" si="373"/>
        <v>0</v>
      </c>
      <c r="DG494" s="56"/>
      <c r="DH494" s="57">
        <f t="shared" si="357"/>
        <v>0</v>
      </c>
      <c r="DI494" s="56"/>
      <c r="DJ494" s="56"/>
      <c r="DK494" s="47">
        <f t="shared" si="367"/>
        <v>0</v>
      </c>
      <c r="DL494" s="47">
        <f t="shared" si="358"/>
        <v>0</v>
      </c>
      <c r="DM494" s="56"/>
      <c r="DN494" s="46">
        <f t="shared" si="359"/>
        <v>0</v>
      </c>
      <c r="DO494" s="56"/>
      <c r="DP494" s="46">
        <f t="shared" si="368"/>
        <v>0</v>
      </c>
      <c r="DQ494" s="56" t="s">
        <v>99</v>
      </c>
      <c r="DR494" s="46">
        <f t="shared" si="360"/>
        <v>0</v>
      </c>
      <c r="DS494" s="56"/>
      <c r="DT494" s="46">
        <f t="shared" si="374"/>
        <v>0</v>
      </c>
      <c r="DU494" s="56"/>
      <c r="DV494" s="46">
        <f t="shared" si="375"/>
        <v>0</v>
      </c>
      <c r="DW494" s="56"/>
      <c r="DX494" s="47">
        <f t="shared" si="329"/>
        <v>0</v>
      </c>
      <c r="DY494" s="56"/>
      <c r="DZ494" s="56"/>
      <c r="EA494" s="56"/>
      <c r="EB494" s="56"/>
      <c r="EC494" s="56"/>
      <c r="ED494" s="56"/>
      <c r="EE494" s="47">
        <f t="shared" si="369"/>
        <v>0</v>
      </c>
      <c r="EF494" s="56"/>
      <c r="EG494" s="56"/>
      <c r="EH494" s="56"/>
      <c r="EI494" s="56"/>
      <c r="EJ494" s="56"/>
      <c r="EK494" s="47">
        <f t="shared" si="363"/>
        <v>0</v>
      </c>
      <c r="EL494" s="46">
        <f t="shared" si="364"/>
        <v>0</v>
      </c>
      <c r="EM494" s="56"/>
      <c r="EN494" s="46">
        <f t="shared" si="365"/>
        <v>0</v>
      </c>
    </row>
    <row r="495" spans="1:146" s="51" customFormat="1" x14ac:dyDescent="0.25">
      <c r="B495" s="41">
        <v>14</v>
      </c>
      <c r="C495" s="52"/>
      <c r="D495" s="53"/>
      <c r="E495" s="52"/>
      <c r="F495" s="52"/>
      <c r="G495" s="52"/>
      <c r="H495" s="52"/>
      <c r="I495" s="52"/>
      <c r="J495" s="52"/>
      <c r="K495" s="52"/>
      <c r="L495" s="52"/>
      <c r="M495" s="52"/>
      <c r="N495" s="54"/>
      <c r="O495" s="54"/>
      <c r="P495" s="52"/>
      <c r="Q495" s="55"/>
      <c r="R495" s="55"/>
      <c r="S495" s="55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47">
        <f t="shared" si="335"/>
        <v>0</v>
      </c>
      <c r="AO495" s="46">
        <f t="shared" si="336"/>
        <v>0</v>
      </c>
      <c r="AP495" s="56" t="s">
        <v>135</v>
      </c>
      <c r="AQ495" s="46">
        <f t="shared" si="370"/>
        <v>0</v>
      </c>
      <c r="AR495" s="56"/>
      <c r="AS495" s="56"/>
      <c r="AT495" s="56"/>
      <c r="AU495" s="47">
        <f t="shared" si="347"/>
        <v>0</v>
      </c>
      <c r="AV495" s="56"/>
      <c r="AW495" s="47">
        <f t="shared" si="371"/>
        <v>0</v>
      </c>
      <c r="AX495" s="56"/>
      <c r="AY495" s="56"/>
      <c r="AZ495" s="56"/>
      <c r="BA495" s="56"/>
      <c r="BB495" s="56"/>
      <c r="BC495" s="47">
        <f t="shared" si="349"/>
        <v>0</v>
      </c>
      <c r="BD495" s="56"/>
      <c r="BE495" s="47">
        <f t="shared" si="350"/>
        <v>0</v>
      </c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  <c r="CL495" s="56"/>
      <c r="CM495" s="56"/>
      <c r="CN495" s="56"/>
      <c r="CO495" s="56"/>
      <c r="CP495" s="57">
        <f t="shared" si="351"/>
        <v>0</v>
      </c>
      <c r="CQ495" s="56"/>
      <c r="CR495" s="47">
        <f t="shared" si="352"/>
        <v>0</v>
      </c>
      <c r="CS495" s="56"/>
      <c r="CT495" s="56"/>
      <c r="CU495" s="56"/>
      <c r="CV495" s="56"/>
      <c r="CW495" s="47">
        <f t="shared" si="353"/>
        <v>0</v>
      </c>
      <c r="CX495" s="46"/>
      <c r="CY495" s="47">
        <f t="shared" si="354"/>
        <v>0</v>
      </c>
      <c r="CZ495" s="56"/>
      <c r="DA495" s="56"/>
      <c r="DB495" s="56"/>
      <c r="DC495" s="56"/>
      <c r="DD495" s="47">
        <f t="shared" si="372"/>
        <v>0</v>
      </c>
      <c r="DE495" s="56"/>
      <c r="DF495" s="46">
        <f t="shared" si="373"/>
        <v>0</v>
      </c>
      <c r="DG495" s="56"/>
      <c r="DH495" s="57">
        <f t="shared" si="357"/>
        <v>0</v>
      </c>
      <c r="DI495" s="56"/>
      <c r="DJ495" s="56"/>
      <c r="DK495" s="47">
        <f t="shared" si="367"/>
        <v>0</v>
      </c>
      <c r="DL495" s="47">
        <f t="shared" si="358"/>
        <v>0</v>
      </c>
      <c r="DM495" s="56"/>
      <c r="DN495" s="46">
        <f t="shared" si="359"/>
        <v>0</v>
      </c>
      <c r="DO495" s="56"/>
      <c r="DP495" s="46">
        <f t="shared" si="368"/>
        <v>0</v>
      </c>
      <c r="DQ495" s="56" t="s">
        <v>100</v>
      </c>
      <c r="DR495" s="46">
        <f t="shared" si="360"/>
        <v>0</v>
      </c>
      <c r="DS495" s="56"/>
      <c r="DT495" s="46">
        <f t="shared" si="374"/>
        <v>0</v>
      </c>
      <c r="DU495" s="56"/>
      <c r="DV495" s="46">
        <f t="shared" si="375"/>
        <v>0</v>
      </c>
      <c r="DW495" s="56"/>
      <c r="DX495" s="47">
        <f t="shared" si="329"/>
        <v>0</v>
      </c>
      <c r="DY495" s="56"/>
      <c r="DZ495" s="56"/>
      <c r="EA495" s="56"/>
      <c r="EB495" s="56"/>
      <c r="EC495" s="56"/>
      <c r="ED495" s="56"/>
      <c r="EE495" s="47">
        <f t="shared" si="369"/>
        <v>0</v>
      </c>
      <c r="EF495" s="56"/>
      <c r="EG495" s="56"/>
      <c r="EH495" s="56"/>
      <c r="EI495" s="56"/>
      <c r="EJ495" s="56"/>
      <c r="EK495" s="47">
        <f t="shared" si="363"/>
        <v>0</v>
      </c>
      <c r="EL495" s="46">
        <f t="shared" si="364"/>
        <v>0</v>
      </c>
      <c r="EM495" s="56"/>
      <c r="EN495" s="46">
        <f t="shared" si="365"/>
        <v>0</v>
      </c>
    </row>
    <row r="496" spans="1:146" s="51" customFormat="1" ht="15" customHeight="1" x14ac:dyDescent="0.25">
      <c r="B496" s="41">
        <v>15</v>
      </c>
      <c r="C496" s="52"/>
      <c r="D496" s="53"/>
      <c r="E496" s="52"/>
      <c r="F496" s="52"/>
      <c r="G496" s="52"/>
      <c r="H496" s="52"/>
      <c r="I496" s="52"/>
      <c r="J496" s="52"/>
      <c r="K496" s="52"/>
      <c r="L496" s="52"/>
      <c r="M496" s="52"/>
      <c r="N496" s="54"/>
      <c r="O496" s="54"/>
      <c r="P496" s="52"/>
      <c r="Q496" s="55"/>
      <c r="R496" s="55"/>
      <c r="S496" s="55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47">
        <f t="shared" si="335"/>
        <v>0</v>
      </c>
      <c r="AO496" s="46">
        <f t="shared" si="336"/>
        <v>0</v>
      </c>
      <c r="AP496" s="56" t="s">
        <v>104</v>
      </c>
      <c r="AQ496" s="46">
        <f t="shared" si="370"/>
        <v>0</v>
      </c>
      <c r="AR496" s="56"/>
      <c r="AS496" s="56"/>
      <c r="AT496" s="56"/>
      <c r="AU496" s="47">
        <f t="shared" si="347"/>
        <v>0</v>
      </c>
      <c r="AV496" s="56"/>
      <c r="AW496" s="47">
        <f t="shared" si="371"/>
        <v>0</v>
      </c>
      <c r="AX496" s="56"/>
      <c r="AY496" s="56"/>
      <c r="AZ496" s="56"/>
      <c r="BA496" s="56"/>
      <c r="BB496" s="56"/>
      <c r="BC496" s="47">
        <f t="shared" si="349"/>
        <v>0</v>
      </c>
      <c r="BD496" s="56"/>
      <c r="BE496" s="47">
        <f t="shared" si="350"/>
        <v>0</v>
      </c>
      <c r="BF496" s="56"/>
      <c r="BG496" s="56"/>
      <c r="BH496" s="56"/>
      <c r="BI496" s="56"/>
      <c r="BJ496" s="56"/>
      <c r="BK496" s="56"/>
      <c r="BL496" s="56"/>
      <c r="BM496" s="46">
        <f t="shared" ref="BM496:BM519" si="376">BK496</f>
        <v>0</v>
      </c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  <c r="CL496" s="56"/>
      <c r="CM496" s="56"/>
      <c r="CN496" s="56"/>
      <c r="CO496" s="56"/>
      <c r="CP496" s="57">
        <f t="shared" si="351"/>
        <v>0</v>
      </c>
      <c r="CQ496" s="56"/>
      <c r="CR496" s="47">
        <f t="shared" si="352"/>
        <v>0</v>
      </c>
      <c r="CS496" s="56"/>
      <c r="CT496" s="56"/>
      <c r="CU496" s="56"/>
      <c r="CV496" s="56"/>
      <c r="CW496" s="47">
        <f t="shared" si="353"/>
        <v>0</v>
      </c>
      <c r="CX496" s="46"/>
      <c r="CY496" s="47">
        <f t="shared" si="354"/>
        <v>0</v>
      </c>
      <c r="CZ496" s="56"/>
      <c r="DA496" s="56"/>
      <c r="DB496" s="56"/>
      <c r="DC496" s="56"/>
      <c r="DD496" s="47">
        <f t="shared" si="372"/>
        <v>0</v>
      </c>
      <c r="DE496" s="56"/>
      <c r="DF496" s="46">
        <f t="shared" si="373"/>
        <v>0</v>
      </c>
      <c r="DG496" s="56"/>
      <c r="DH496" s="57">
        <f t="shared" si="357"/>
        <v>0</v>
      </c>
      <c r="DI496" s="56"/>
      <c r="DJ496" s="56"/>
      <c r="DK496" s="47">
        <f t="shared" si="367"/>
        <v>0</v>
      </c>
      <c r="DL496" s="47">
        <f t="shared" si="358"/>
        <v>0</v>
      </c>
      <c r="DM496" s="56"/>
      <c r="DN496" s="46">
        <f t="shared" si="359"/>
        <v>0</v>
      </c>
      <c r="DO496" s="56"/>
      <c r="DP496" s="46">
        <f t="shared" si="368"/>
        <v>0</v>
      </c>
      <c r="DQ496" s="56" t="s">
        <v>99</v>
      </c>
      <c r="DR496" s="46">
        <f t="shared" si="360"/>
        <v>0</v>
      </c>
      <c r="DS496" s="56"/>
      <c r="DT496" s="46">
        <f t="shared" si="374"/>
        <v>0</v>
      </c>
      <c r="DU496" s="56"/>
      <c r="DV496" s="46">
        <f t="shared" si="375"/>
        <v>0</v>
      </c>
      <c r="DW496" s="56"/>
      <c r="DX496" s="47">
        <f t="shared" si="329"/>
        <v>0</v>
      </c>
      <c r="DY496" s="56"/>
      <c r="DZ496" s="56"/>
      <c r="EA496" s="56"/>
      <c r="EB496" s="56"/>
      <c r="EC496" s="56"/>
      <c r="ED496" s="56"/>
      <c r="EE496" s="47">
        <f t="shared" si="369"/>
        <v>0</v>
      </c>
      <c r="EF496" s="56"/>
      <c r="EG496" s="56"/>
      <c r="EH496" s="56"/>
      <c r="EI496" s="56"/>
      <c r="EJ496" s="56"/>
      <c r="EK496" s="47">
        <f t="shared" si="363"/>
        <v>0</v>
      </c>
      <c r="EL496" s="46">
        <f t="shared" si="364"/>
        <v>0</v>
      </c>
      <c r="EM496" s="56"/>
      <c r="EN496" s="61">
        <f t="shared" si="365"/>
        <v>0</v>
      </c>
    </row>
    <row r="497" spans="2:144" s="51" customFormat="1" ht="15" customHeight="1" x14ac:dyDescent="0.25">
      <c r="B497" s="41">
        <v>16</v>
      </c>
      <c r="C497" s="52"/>
      <c r="D497" s="53"/>
      <c r="E497" s="52"/>
      <c r="F497" s="52"/>
      <c r="G497" s="52"/>
      <c r="H497" s="52"/>
      <c r="I497" s="52"/>
      <c r="J497" s="52"/>
      <c r="K497" s="52"/>
      <c r="L497" s="52"/>
      <c r="M497" s="52"/>
      <c r="N497" s="54"/>
      <c r="O497" s="54"/>
      <c r="P497" s="52"/>
      <c r="Q497" s="55"/>
      <c r="R497" s="55"/>
      <c r="S497" s="55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47">
        <f t="shared" si="335"/>
        <v>0</v>
      </c>
      <c r="AO497" s="46">
        <f t="shared" si="336"/>
        <v>0</v>
      </c>
      <c r="AP497" s="56" t="s">
        <v>135</v>
      </c>
      <c r="AQ497" s="46">
        <f t="shared" si="370"/>
        <v>0</v>
      </c>
      <c r="AR497" s="56"/>
      <c r="AS497" s="56"/>
      <c r="AT497" s="56"/>
      <c r="AU497" s="47">
        <f t="shared" si="347"/>
        <v>0</v>
      </c>
      <c r="AV497" s="56"/>
      <c r="AW497" s="47">
        <f t="shared" si="371"/>
        <v>0</v>
      </c>
      <c r="AX497" s="56"/>
      <c r="AY497" s="56"/>
      <c r="AZ497" s="56"/>
      <c r="BA497" s="56"/>
      <c r="BB497" s="56"/>
      <c r="BC497" s="47">
        <f t="shared" si="349"/>
        <v>0</v>
      </c>
      <c r="BD497" s="56"/>
      <c r="BE497" s="47">
        <f t="shared" si="350"/>
        <v>0</v>
      </c>
      <c r="BF497" s="56"/>
      <c r="BG497" s="56"/>
      <c r="BH497" s="56"/>
      <c r="BI497" s="56"/>
      <c r="BJ497" s="56"/>
      <c r="BK497" s="56"/>
      <c r="BL497" s="56"/>
      <c r="BM497" s="46">
        <f t="shared" si="376"/>
        <v>0</v>
      </c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56"/>
      <c r="CP497" s="57">
        <f t="shared" si="351"/>
        <v>0</v>
      </c>
      <c r="CQ497" s="56"/>
      <c r="CR497" s="47">
        <f t="shared" si="352"/>
        <v>0</v>
      </c>
      <c r="CS497" s="56"/>
      <c r="CT497" s="56"/>
      <c r="CU497" s="56"/>
      <c r="CV497" s="56"/>
      <c r="CW497" s="47">
        <f t="shared" si="353"/>
        <v>0</v>
      </c>
      <c r="CX497" s="46"/>
      <c r="CY497" s="47">
        <f t="shared" si="354"/>
        <v>0</v>
      </c>
      <c r="CZ497" s="56"/>
      <c r="DA497" s="56"/>
      <c r="DB497" s="56"/>
      <c r="DC497" s="56"/>
      <c r="DD497" s="47">
        <f t="shared" si="372"/>
        <v>0</v>
      </c>
      <c r="DE497" s="56"/>
      <c r="DF497" s="46">
        <f t="shared" si="373"/>
        <v>0</v>
      </c>
      <c r="DG497" s="56"/>
      <c r="DH497" s="57">
        <f t="shared" si="357"/>
        <v>0</v>
      </c>
      <c r="DI497" s="56"/>
      <c r="DJ497" s="56"/>
      <c r="DK497" s="47">
        <f t="shared" si="367"/>
        <v>0</v>
      </c>
      <c r="DL497" s="47">
        <f t="shared" si="358"/>
        <v>0</v>
      </c>
      <c r="DM497" s="56"/>
      <c r="DN497" s="46">
        <f t="shared" si="359"/>
        <v>0</v>
      </c>
      <c r="DO497" s="56"/>
      <c r="DP497" s="46">
        <f t="shared" si="368"/>
        <v>0</v>
      </c>
      <c r="DQ497" s="56" t="s">
        <v>100</v>
      </c>
      <c r="DR497" s="46">
        <f t="shared" si="360"/>
        <v>0</v>
      </c>
      <c r="DS497" s="56"/>
      <c r="DT497" s="46">
        <f t="shared" si="374"/>
        <v>0</v>
      </c>
      <c r="DU497" s="56"/>
      <c r="DV497" s="46">
        <f t="shared" si="375"/>
        <v>0</v>
      </c>
      <c r="DW497" s="56"/>
      <c r="DX497" s="47">
        <f t="shared" si="329"/>
        <v>0</v>
      </c>
      <c r="DY497" s="56"/>
      <c r="DZ497" s="56"/>
      <c r="EA497" s="56"/>
      <c r="EB497" s="56"/>
      <c r="EC497" s="56"/>
      <c r="ED497" s="56"/>
      <c r="EE497" s="47">
        <f t="shared" si="369"/>
        <v>0</v>
      </c>
      <c r="EF497" s="56"/>
      <c r="EG497" s="56"/>
      <c r="EH497" s="56"/>
      <c r="EI497" s="56"/>
      <c r="EJ497" s="56"/>
      <c r="EK497" s="47">
        <f t="shared" si="363"/>
        <v>0</v>
      </c>
      <c r="EL497" s="46">
        <f t="shared" si="364"/>
        <v>0</v>
      </c>
      <c r="EM497" s="56"/>
      <c r="EN497" s="61">
        <f t="shared" si="365"/>
        <v>0</v>
      </c>
    </row>
    <row r="498" spans="2:144" s="51" customFormat="1" ht="15" customHeight="1" x14ac:dyDescent="0.25">
      <c r="B498" s="41">
        <v>17</v>
      </c>
      <c r="C498" s="52"/>
      <c r="D498" s="53"/>
      <c r="E498" s="52"/>
      <c r="F498" s="52"/>
      <c r="G498" s="52"/>
      <c r="H498" s="52"/>
      <c r="I498" s="52"/>
      <c r="J498" s="52"/>
      <c r="K498" s="52"/>
      <c r="L498" s="52"/>
      <c r="M498" s="52"/>
      <c r="N498" s="54"/>
      <c r="O498" s="54"/>
      <c r="P498" s="52"/>
      <c r="Q498" s="55"/>
      <c r="R498" s="55"/>
      <c r="S498" s="55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47">
        <f t="shared" si="335"/>
        <v>0</v>
      </c>
      <c r="AO498" s="46">
        <f t="shared" si="336"/>
        <v>0</v>
      </c>
      <c r="AP498" s="56" t="s">
        <v>104</v>
      </c>
      <c r="AQ498" s="46">
        <f t="shared" si="370"/>
        <v>0</v>
      </c>
      <c r="AR498" s="56"/>
      <c r="AS498" s="56"/>
      <c r="AT498" s="56"/>
      <c r="AU498" s="47">
        <f t="shared" si="347"/>
        <v>0</v>
      </c>
      <c r="AV498" s="56"/>
      <c r="AW498" s="47">
        <f t="shared" si="371"/>
        <v>0</v>
      </c>
      <c r="AX498" s="56"/>
      <c r="AY498" s="56"/>
      <c r="AZ498" s="56"/>
      <c r="BA498" s="56"/>
      <c r="BB498" s="56"/>
      <c r="BC498" s="47">
        <f t="shared" si="349"/>
        <v>0</v>
      </c>
      <c r="BD498" s="56"/>
      <c r="BE498" s="47">
        <f t="shared" si="350"/>
        <v>0</v>
      </c>
      <c r="BF498" s="56"/>
      <c r="BG498" s="56"/>
      <c r="BH498" s="56"/>
      <c r="BI498" s="56"/>
      <c r="BJ498" s="56"/>
      <c r="BK498" s="56"/>
      <c r="BL498" s="56"/>
      <c r="BM498" s="46">
        <f t="shared" si="376"/>
        <v>0</v>
      </c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  <c r="CL498" s="56"/>
      <c r="CM498" s="56"/>
      <c r="CN498" s="56"/>
      <c r="CO498" s="56"/>
      <c r="CP498" s="57">
        <f t="shared" si="351"/>
        <v>0</v>
      </c>
      <c r="CQ498" s="56"/>
      <c r="CR498" s="47">
        <f t="shared" si="352"/>
        <v>0</v>
      </c>
      <c r="CS498" s="56"/>
      <c r="CT498" s="56"/>
      <c r="CU498" s="56"/>
      <c r="CV498" s="56"/>
      <c r="CW498" s="47">
        <f t="shared" si="353"/>
        <v>0</v>
      </c>
      <c r="CX498" s="46"/>
      <c r="CY498" s="47">
        <f t="shared" si="354"/>
        <v>0</v>
      </c>
      <c r="CZ498" s="56"/>
      <c r="DA498" s="56"/>
      <c r="DB498" s="56"/>
      <c r="DC498" s="56"/>
      <c r="DD498" s="47">
        <f t="shared" si="372"/>
        <v>0</v>
      </c>
      <c r="DE498" s="56"/>
      <c r="DF498" s="46">
        <f t="shared" si="373"/>
        <v>0</v>
      </c>
      <c r="DG498" s="56"/>
      <c r="DH498" s="57">
        <f t="shared" si="357"/>
        <v>0</v>
      </c>
      <c r="DI498" s="56"/>
      <c r="DJ498" s="56"/>
      <c r="DK498" s="47">
        <f t="shared" si="367"/>
        <v>0</v>
      </c>
      <c r="DL498" s="47">
        <f t="shared" si="358"/>
        <v>0</v>
      </c>
      <c r="DM498" s="56"/>
      <c r="DN498" s="46">
        <f t="shared" si="359"/>
        <v>0</v>
      </c>
      <c r="DO498" s="56"/>
      <c r="DP498" s="46">
        <f t="shared" si="368"/>
        <v>0</v>
      </c>
      <c r="DQ498" s="56" t="s">
        <v>100</v>
      </c>
      <c r="DR498" s="46">
        <f t="shared" si="360"/>
        <v>0</v>
      </c>
      <c r="DS498" s="56"/>
      <c r="DT498" s="46">
        <f t="shared" si="374"/>
        <v>0</v>
      </c>
      <c r="DU498" s="56"/>
      <c r="DV498" s="46">
        <f t="shared" si="375"/>
        <v>0</v>
      </c>
      <c r="DW498" s="56"/>
      <c r="DX498" s="47">
        <f t="shared" si="329"/>
        <v>0</v>
      </c>
      <c r="DY498" s="56"/>
      <c r="DZ498" s="56"/>
      <c r="EA498" s="56"/>
      <c r="EB498" s="56"/>
      <c r="EC498" s="56"/>
      <c r="ED498" s="56"/>
      <c r="EE498" s="47">
        <f t="shared" si="369"/>
        <v>0</v>
      </c>
      <c r="EF498" s="56"/>
      <c r="EG498" s="56"/>
      <c r="EH498" s="56"/>
      <c r="EI498" s="56"/>
      <c r="EJ498" s="56"/>
      <c r="EK498" s="47">
        <f t="shared" si="363"/>
        <v>0</v>
      </c>
      <c r="EL498" s="46">
        <f t="shared" si="364"/>
        <v>0</v>
      </c>
      <c r="EM498" s="56"/>
      <c r="EN498" s="61">
        <f t="shared" si="365"/>
        <v>0</v>
      </c>
    </row>
    <row r="499" spans="2:144" s="51" customFormat="1" ht="15" customHeight="1" x14ac:dyDescent="0.25">
      <c r="B499" s="41">
        <v>18</v>
      </c>
      <c r="C499" s="52"/>
      <c r="D499" s="53"/>
      <c r="E499" s="52"/>
      <c r="F499" s="52"/>
      <c r="G499" s="52"/>
      <c r="H499" s="52"/>
      <c r="I499" s="52"/>
      <c r="J499" s="52"/>
      <c r="K499" s="52"/>
      <c r="L499" s="52"/>
      <c r="M499" s="52"/>
      <c r="N499" s="54"/>
      <c r="O499" s="54"/>
      <c r="P499" s="52"/>
      <c r="Q499" s="55"/>
      <c r="R499" s="55"/>
      <c r="S499" s="55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47">
        <f t="shared" si="335"/>
        <v>0</v>
      </c>
      <c r="AO499" s="46">
        <f t="shared" si="336"/>
        <v>0</v>
      </c>
      <c r="AP499" s="56" t="s">
        <v>135</v>
      </c>
      <c r="AQ499" s="46">
        <f t="shared" si="370"/>
        <v>0</v>
      </c>
      <c r="AR499" s="56"/>
      <c r="AS499" s="56"/>
      <c r="AT499" s="56"/>
      <c r="AU499" s="47">
        <f t="shared" si="347"/>
        <v>0</v>
      </c>
      <c r="AV499" s="56"/>
      <c r="AW499" s="47">
        <f t="shared" si="371"/>
        <v>0</v>
      </c>
      <c r="AX499" s="56"/>
      <c r="AY499" s="56"/>
      <c r="AZ499" s="56"/>
      <c r="BA499" s="56"/>
      <c r="BB499" s="56"/>
      <c r="BC499" s="47">
        <f t="shared" si="349"/>
        <v>0</v>
      </c>
      <c r="BD499" s="56"/>
      <c r="BE499" s="47">
        <f t="shared" si="350"/>
        <v>0</v>
      </c>
      <c r="BF499" s="56"/>
      <c r="BG499" s="56"/>
      <c r="BH499" s="56"/>
      <c r="BI499" s="56"/>
      <c r="BJ499" s="56"/>
      <c r="BK499" s="56"/>
      <c r="BL499" s="56"/>
      <c r="BM499" s="46">
        <f t="shared" si="376"/>
        <v>0</v>
      </c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  <c r="CL499" s="56"/>
      <c r="CM499" s="56"/>
      <c r="CN499" s="56"/>
      <c r="CO499" s="56"/>
      <c r="CP499" s="57">
        <f t="shared" si="351"/>
        <v>0</v>
      </c>
      <c r="CQ499" s="56"/>
      <c r="CR499" s="47">
        <f t="shared" si="352"/>
        <v>0</v>
      </c>
      <c r="CS499" s="56"/>
      <c r="CT499" s="56"/>
      <c r="CU499" s="56"/>
      <c r="CV499" s="56"/>
      <c r="CW499" s="47">
        <f t="shared" si="353"/>
        <v>0</v>
      </c>
      <c r="CX499" s="46"/>
      <c r="CY499" s="47">
        <f t="shared" si="354"/>
        <v>0</v>
      </c>
      <c r="CZ499" s="56"/>
      <c r="DA499" s="56"/>
      <c r="DB499" s="56"/>
      <c r="DC499" s="56"/>
      <c r="DD499" s="47">
        <f t="shared" si="372"/>
        <v>0</v>
      </c>
      <c r="DE499" s="56"/>
      <c r="DF499" s="46">
        <f t="shared" si="373"/>
        <v>0</v>
      </c>
      <c r="DG499" s="56"/>
      <c r="DH499" s="57">
        <f t="shared" si="357"/>
        <v>0</v>
      </c>
      <c r="DI499" s="56"/>
      <c r="DJ499" s="56"/>
      <c r="DK499" s="47">
        <f t="shared" si="367"/>
        <v>0</v>
      </c>
      <c r="DL499" s="47">
        <f t="shared" si="358"/>
        <v>0</v>
      </c>
      <c r="DM499" s="56"/>
      <c r="DN499" s="46">
        <f t="shared" si="359"/>
        <v>0</v>
      </c>
      <c r="DO499" s="56"/>
      <c r="DP499" s="46">
        <f t="shared" si="368"/>
        <v>0</v>
      </c>
      <c r="DQ499" s="56" t="s">
        <v>99</v>
      </c>
      <c r="DR499" s="46">
        <f t="shared" si="360"/>
        <v>0</v>
      </c>
      <c r="DS499" s="56"/>
      <c r="DT499" s="46">
        <f t="shared" si="374"/>
        <v>0</v>
      </c>
      <c r="DU499" s="56"/>
      <c r="DV499" s="46">
        <f t="shared" si="375"/>
        <v>0</v>
      </c>
      <c r="DW499" s="56"/>
      <c r="DX499" s="47">
        <f t="shared" si="329"/>
        <v>0</v>
      </c>
      <c r="DY499" s="56"/>
      <c r="DZ499" s="56"/>
      <c r="EA499" s="56"/>
      <c r="EB499" s="56"/>
      <c r="EC499" s="56"/>
      <c r="ED499" s="56"/>
      <c r="EE499" s="47">
        <f t="shared" si="369"/>
        <v>0</v>
      </c>
      <c r="EF499" s="56"/>
      <c r="EG499" s="56"/>
      <c r="EH499" s="56"/>
      <c r="EI499" s="56"/>
      <c r="EJ499" s="56"/>
      <c r="EK499" s="47">
        <f t="shared" si="363"/>
        <v>0</v>
      </c>
      <c r="EL499" s="46">
        <f t="shared" si="364"/>
        <v>0</v>
      </c>
      <c r="EM499" s="56"/>
      <c r="EN499" s="61">
        <f t="shared" si="365"/>
        <v>0</v>
      </c>
    </row>
    <row r="500" spans="2:144" s="51" customFormat="1" ht="15" customHeight="1" x14ac:dyDescent="0.25">
      <c r="B500" s="41">
        <v>19</v>
      </c>
      <c r="C500" s="52"/>
      <c r="D500" s="53"/>
      <c r="E500" s="52"/>
      <c r="F500" s="52"/>
      <c r="G500" s="52"/>
      <c r="H500" s="52"/>
      <c r="I500" s="52"/>
      <c r="J500" s="52"/>
      <c r="K500" s="52"/>
      <c r="L500" s="52"/>
      <c r="M500" s="52"/>
      <c r="N500" s="54"/>
      <c r="O500" s="54"/>
      <c r="P500" s="52"/>
      <c r="Q500" s="55"/>
      <c r="R500" s="55"/>
      <c r="S500" s="55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47">
        <f t="shared" si="335"/>
        <v>0</v>
      </c>
      <c r="AO500" s="46">
        <f t="shared" si="336"/>
        <v>0</v>
      </c>
      <c r="AP500" s="56" t="s">
        <v>138</v>
      </c>
      <c r="AQ500" s="46">
        <f t="shared" si="370"/>
        <v>0</v>
      </c>
      <c r="AR500" s="56"/>
      <c r="AS500" s="56"/>
      <c r="AT500" s="56"/>
      <c r="AU500" s="47">
        <f t="shared" si="347"/>
        <v>0</v>
      </c>
      <c r="AV500" s="56"/>
      <c r="AW500" s="47">
        <f t="shared" si="371"/>
        <v>0</v>
      </c>
      <c r="AX500" s="56"/>
      <c r="AY500" s="56"/>
      <c r="AZ500" s="56"/>
      <c r="BA500" s="56"/>
      <c r="BB500" s="56"/>
      <c r="BC500" s="47">
        <f t="shared" si="349"/>
        <v>0</v>
      </c>
      <c r="BD500" s="56"/>
      <c r="BE500" s="47">
        <f t="shared" si="350"/>
        <v>0</v>
      </c>
      <c r="BF500" s="56"/>
      <c r="BG500" s="56"/>
      <c r="BH500" s="56"/>
      <c r="BI500" s="56"/>
      <c r="BJ500" s="56"/>
      <c r="BK500" s="56"/>
      <c r="BL500" s="56"/>
      <c r="BM500" s="46">
        <f t="shared" si="376"/>
        <v>0</v>
      </c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56"/>
      <c r="CP500" s="57">
        <f t="shared" si="351"/>
        <v>0</v>
      </c>
      <c r="CQ500" s="56"/>
      <c r="CR500" s="47">
        <f t="shared" si="352"/>
        <v>0</v>
      </c>
      <c r="CS500" s="56"/>
      <c r="CT500" s="56"/>
      <c r="CU500" s="56"/>
      <c r="CV500" s="56"/>
      <c r="CW500" s="47">
        <f t="shared" si="353"/>
        <v>0</v>
      </c>
      <c r="CX500" s="46"/>
      <c r="CY500" s="47">
        <f t="shared" si="354"/>
        <v>0</v>
      </c>
      <c r="CZ500" s="56"/>
      <c r="DA500" s="56"/>
      <c r="DB500" s="56"/>
      <c r="DC500" s="56"/>
      <c r="DD500" s="47">
        <f t="shared" si="372"/>
        <v>0</v>
      </c>
      <c r="DE500" s="56"/>
      <c r="DF500" s="46">
        <f t="shared" si="373"/>
        <v>0</v>
      </c>
      <c r="DG500" s="56"/>
      <c r="DH500" s="57">
        <f t="shared" si="357"/>
        <v>0</v>
      </c>
      <c r="DI500" s="56"/>
      <c r="DJ500" s="56"/>
      <c r="DK500" s="47">
        <f t="shared" si="367"/>
        <v>0</v>
      </c>
      <c r="DL500" s="47">
        <f t="shared" si="358"/>
        <v>0</v>
      </c>
      <c r="DM500" s="56"/>
      <c r="DN500" s="46">
        <f t="shared" si="359"/>
        <v>0</v>
      </c>
      <c r="DO500" s="56"/>
      <c r="DP500" s="46">
        <f t="shared" si="368"/>
        <v>0</v>
      </c>
      <c r="DQ500" s="56" t="s">
        <v>99</v>
      </c>
      <c r="DR500" s="46">
        <f t="shared" si="360"/>
        <v>0</v>
      </c>
      <c r="DS500" s="56"/>
      <c r="DT500" s="46">
        <f t="shared" si="374"/>
        <v>0</v>
      </c>
      <c r="DU500" s="56"/>
      <c r="DV500" s="46">
        <f t="shared" si="375"/>
        <v>0</v>
      </c>
      <c r="DW500" s="56"/>
      <c r="DX500" s="47">
        <f t="shared" si="329"/>
        <v>0</v>
      </c>
      <c r="DY500" s="56"/>
      <c r="DZ500" s="56"/>
      <c r="EA500" s="56"/>
      <c r="EB500" s="56"/>
      <c r="EC500" s="56"/>
      <c r="ED500" s="56"/>
      <c r="EE500" s="47">
        <f t="shared" si="369"/>
        <v>0</v>
      </c>
      <c r="EF500" s="56"/>
      <c r="EG500" s="56"/>
      <c r="EH500" s="56"/>
      <c r="EI500" s="56"/>
      <c r="EJ500" s="56"/>
      <c r="EK500" s="47">
        <f t="shared" si="363"/>
        <v>0</v>
      </c>
      <c r="EL500" s="46">
        <f t="shared" si="364"/>
        <v>0</v>
      </c>
      <c r="EM500" s="56"/>
      <c r="EN500" s="61">
        <f t="shared" si="365"/>
        <v>0</v>
      </c>
    </row>
    <row r="501" spans="2:144" s="51" customFormat="1" ht="15" customHeight="1" x14ac:dyDescent="0.25">
      <c r="B501" s="41">
        <v>20</v>
      </c>
      <c r="C501" s="52"/>
      <c r="D501" s="53"/>
      <c r="E501" s="52"/>
      <c r="F501" s="52"/>
      <c r="G501" s="52"/>
      <c r="H501" s="52"/>
      <c r="I501" s="52"/>
      <c r="J501" s="52"/>
      <c r="K501" s="52"/>
      <c r="L501" s="52"/>
      <c r="M501" s="52"/>
      <c r="N501" s="54"/>
      <c r="O501" s="54"/>
      <c r="P501" s="52"/>
      <c r="Q501" s="55"/>
      <c r="R501" s="55"/>
      <c r="S501" s="55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47">
        <f t="shared" si="335"/>
        <v>0</v>
      </c>
      <c r="AO501" s="57">
        <f t="shared" si="336"/>
        <v>0</v>
      </c>
      <c r="AP501" s="56" t="s">
        <v>135</v>
      </c>
      <c r="AQ501" s="46">
        <f t="shared" si="370"/>
        <v>0</v>
      </c>
      <c r="AR501" s="56"/>
      <c r="AS501" s="56"/>
      <c r="AT501" s="56"/>
      <c r="AU501" s="47">
        <f t="shared" si="347"/>
        <v>0</v>
      </c>
      <c r="AV501" s="56"/>
      <c r="AW501" s="47">
        <f t="shared" si="371"/>
        <v>0</v>
      </c>
      <c r="AX501" s="56"/>
      <c r="AY501" s="56"/>
      <c r="AZ501" s="56"/>
      <c r="BA501" s="56"/>
      <c r="BB501" s="56"/>
      <c r="BC501" s="47">
        <f t="shared" si="349"/>
        <v>0</v>
      </c>
      <c r="BD501" s="56"/>
      <c r="BE501" s="47">
        <f t="shared" si="350"/>
        <v>0</v>
      </c>
      <c r="BF501" s="56"/>
      <c r="BG501" s="56"/>
      <c r="BH501" s="56"/>
      <c r="BI501" s="56"/>
      <c r="BJ501" s="56"/>
      <c r="BK501" s="56"/>
      <c r="BL501" s="56"/>
      <c r="BM501" s="46">
        <f t="shared" si="376"/>
        <v>0</v>
      </c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  <c r="CL501" s="56"/>
      <c r="CM501" s="56"/>
      <c r="CN501" s="56"/>
      <c r="CO501" s="56"/>
      <c r="CP501" s="57">
        <f t="shared" si="351"/>
        <v>0</v>
      </c>
      <c r="CQ501" s="56"/>
      <c r="CR501" s="47">
        <f t="shared" si="352"/>
        <v>0</v>
      </c>
      <c r="CS501" s="56"/>
      <c r="CT501" s="56"/>
      <c r="CU501" s="56"/>
      <c r="CV501" s="56"/>
      <c r="CW501" s="47">
        <f t="shared" si="353"/>
        <v>0</v>
      </c>
      <c r="CX501" s="46"/>
      <c r="CY501" s="47">
        <f t="shared" si="354"/>
        <v>0</v>
      </c>
      <c r="CZ501" s="56"/>
      <c r="DA501" s="56"/>
      <c r="DB501" s="56"/>
      <c r="DC501" s="56"/>
      <c r="DD501" s="47">
        <f t="shared" si="372"/>
        <v>0</v>
      </c>
      <c r="DE501" s="56"/>
      <c r="DF501" s="46">
        <f t="shared" si="373"/>
        <v>0</v>
      </c>
      <c r="DG501" s="56"/>
      <c r="DH501" s="57">
        <f t="shared" si="357"/>
        <v>0</v>
      </c>
      <c r="DI501" s="56"/>
      <c r="DJ501" s="56"/>
      <c r="DK501" s="47">
        <f t="shared" si="367"/>
        <v>0</v>
      </c>
      <c r="DL501" s="47">
        <f t="shared" si="358"/>
        <v>0</v>
      </c>
      <c r="DM501" s="56"/>
      <c r="DN501" s="46">
        <f t="shared" si="359"/>
        <v>0</v>
      </c>
      <c r="DO501" s="56"/>
      <c r="DP501" s="46">
        <f t="shared" si="368"/>
        <v>0</v>
      </c>
      <c r="DQ501" s="56" t="s">
        <v>99</v>
      </c>
      <c r="DR501" s="46">
        <f t="shared" si="360"/>
        <v>0</v>
      </c>
      <c r="DS501" s="56"/>
      <c r="DT501" s="46">
        <f t="shared" si="374"/>
        <v>0</v>
      </c>
      <c r="DU501" s="56"/>
      <c r="DV501" s="46">
        <f t="shared" si="375"/>
        <v>0</v>
      </c>
      <c r="DW501" s="56"/>
      <c r="DX501" s="47">
        <f t="shared" ref="DX501:DX564" si="377">+DN501+DP501+DR501+DT501+DV501</f>
        <v>0</v>
      </c>
      <c r="DY501" s="56"/>
      <c r="DZ501" s="56"/>
      <c r="EA501" s="56"/>
      <c r="EB501" s="56"/>
      <c r="EC501" s="56"/>
      <c r="ED501" s="56"/>
      <c r="EE501" s="47">
        <f t="shared" si="369"/>
        <v>0</v>
      </c>
      <c r="EF501" s="56"/>
      <c r="EG501" s="56"/>
      <c r="EH501" s="56"/>
      <c r="EI501" s="56"/>
      <c r="EJ501" s="56"/>
      <c r="EK501" s="47">
        <f t="shared" si="363"/>
        <v>0</v>
      </c>
      <c r="EL501" s="46">
        <f t="shared" si="364"/>
        <v>0</v>
      </c>
      <c r="EM501" s="56"/>
      <c r="EN501" s="61">
        <f t="shared" si="365"/>
        <v>0</v>
      </c>
    </row>
    <row r="502" spans="2:144" s="51" customFormat="1" ht="15" customHeight="1" x14ac:dyDescent="0.25">
      <c r="B502" s="41">
        <v>21</v>
      </c>
      <c r="C502" s="52"/>
      <c r="D502" s="53"/>
      <c r="E502" s="52"/>
      <c r="F502" s="52"/>
      <c r="G502" s="52"/>
      <c r="H502" s="52"/>
      <c r="I502" s="52"/>
      <c r="J502" s="52"/>
      <c r="K502" s="52"/>
      <c r="L502" s="52"/>
      <c r="M502" s="52"/>
      <c r="N502" s="54"/>
      <c r="O502" s="54"/>
      <c r="P502" s="52"/>
      <c r="Q502" s="55"/>
      <c r="R502" s="55"/>
      <c r="S502" s="55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47">
        <f t="shared" si="335"/>
        <v>0</v>
      </c>
      <c r="AO502" s="57">
        <f t="shared" si="336"/>
        <v>0</v>
      </c>
      <c r="AP502" s="56" t="s">
        <v>135</v>
      </c>
      <c r="AQ502" s="46">
        <f t="shared" si="370"/>
        <v>0</v>
      </c>
      <c r="AR502" s="56"/>
      <c r="AS502" s="56"/>
      <c r="AT502" s="56"/>
      <c r="AU502" s="47">
        <f t="shared" si="347"/>
        <v>0</v>
      </c>
      <c r="AV502" s="56"/>
      <c r="AW502" s="47">
        <f t="shared" si="371"/>
        <v>0</v>
      </c>
      <c r="AX502" s="56"/>
      <c r="AY502" s="56"/>
      <c r="AZ502" s="56"/>
      <c r="BA502" s="56"/>
      <c r="BB502" s="56"/>
      <c r="BC502" s="47">
        <f t="shared" si="349"/>
        <v>0</v>
      </c>
      <c r="BD502" s="56"/>
      <c r="BE502" s="47">
        <f t="shared" si="350"/>
        <v>0</v>
      </c>
      <c r="BF502" s="56"/>
      <c r="BG502" s="56"/>
      <c r="BH502" s="56"/>
      <c r="BI502" s="56"/>
      <c r="BJ502" s="56"/>
      <c r="BK502" s="56"/>
      <c r="BL502" s="56"/>
      <c r="BM502" s="46">
        <f t="shared" si="376"/>
        <v>0</v>
      </c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  <c r="CL502" s="56"/>
      <c r="CM502" s="56"/>
      <c r="CN502" s="56"/>
      <c r="CO502" s="56"/>
      <c r="CP502" s="57">
        <f t="shared" si="351"/>
        <v>0</v>
      </c>
      <c r="CQ502" s="56"/>
      <c r="CR502" s="47">
        <f t="shared" si="352"/>
        <v>0</v>
      </c>
      <c r="CS502" s="56"/>
      <c r="CT502" s="56"/>
      <c r="CU502" s="56"/>
      <c r="CV502" s="56"/>
      <c r="CW502" s="47">
        <f t="shared" si="353"/>
        <v>0</v>
      </c>
      <c r="CX502" s="46"/>
      <c r="CY502" s="47">
        <f t="shared" si="354"/>
        <v>0</v>
      </c>
      <c r="CZ502" s="56"/>
      <c r="DA502" s="56"/>
      <c r="DB502" s="56"/>
      <c r="DC502" s="56"/>
      <c r="DD502" s="47">
        <f t="shared" si="372"/>
        <v>0</v>
      </c>
      <c r="DE502" s="56"/>
      <c r="DF502" s="46">
        <f t="shared" si="373"/>
        <v>0</v>
      </c>
      <c r="DG502" s="56"/>
      <c r="DH502" s="57">
        <f t="shared" si="357"/>
        <v>0</v>
      </c>
      <c r="DI502" s="56"/>
      <c r="DJ502" s="56"/>
      <c r="DK502" s="47">
        <f t="shared" si="367"/>
        <v>0</v>
      </c>
      <c r="DL502" s="47">
        <f t="shared" si="358"/>
        <v>0</v>
      </c>
      <c r="DM502" s="56"/>
      <c r="DN502" s="46">
        <f t="shared" si="359"/>
        <v>0</v>
      </c>
      <c r="DO502" s="56"/>
      <c r="DP502" s="46">
        <f>7%*AQ502</f>
        <v>0</v>
      </c>
      <c r="DQ502" s="56" t="s">
        <v>100</v>
      </c>
      <c r="DR502" s="46">
        <f t="shared" si="360"/>
        <v>0</v>
      </c>
      <c r="DS502" s="56"/>
      <c r="DT502" s="46">
        <f t="shared" si="374"/>
        <v>0</v>
      </c>
      <c r="DU502" s="56"/>
      <c r="DV502" s="46">
        <f t="shared" si="375"/>
        <v>0</v>
      </c>
      <c r="DW502" s="56"/>
      <c r="DX502" s="47">
        <f t="shared" si="377"/>
        <v>0</v>
      </c>
      <c r="DY502" s="56"/>
      <c r="DZ502" s="56"/>
      <c r="EA502" s="56"/>
      <c r="EB502" s="56"/>
      <c r="EC502" s="56"/>
      <c r="ED502" s="56"/>
      <c r="EE502" s="47">
        <f t="shared" si="369"/>
        <v>0</v>
      </c>
      <c r="EF502" s="56"/>
      <c r="EG502" s="56"/>
      <c r="EH502" s="56"/>
      <c r="EI502" s="56"/>
      <c r="EJ502" s="56"/>
      <c r="EK502" s="47">
        <f t="shared" si="363"/>
        <v>0</v>
      </c>
      <c r="EL502" s="46">
        <f t="shared" si="364"/>
        <v>0</v>
      </c>
      <c r="EM502" s="56"/>
      <c r="EN502" s="61">
        <f t="shared" si="365"/>
        <v>0</v>
      </c>
    </row>
    <row r="503" spans="2:144" s="51" customFormat="1" ht="15" customHeight="1" x14ac:dyDescent="0.25">
      <c r="B503" s="41">
        <v>22</v>
      </c>
      <c r="C503" s="52"/>
      <c r="D503" s="53"/>
      <c r="E503" s="52"/>
      <c r="F503" s="52"/>
      <c r="G503" s="52"/>
      <c r="H503" s="52"/>
      <c r="I503" s="52"/>
      <c r="J503" s="52"/>
      <c r="K503" s="52"/>
      <c r="L503" s="52"/>
      <c r="M503" s="52"/>
      <c r="N503" s="54"/>
      <c r="O503" s="54"/>
      <c r="P503" s="52"/>
      <c r="Q503" s="55"/>
      <c r="R503" s="55"/>
      <c r="S503" s="55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47">
        <f t="shared" si="335"/>
        <v>0</v>
      </c>
      <c r="AO503" s="57">
        <f t="shared" si="336"/>
        <v>0</v>
      </c>
      <c r="AP503" s="56" t="s">
        <v>135</v>
      </c>
      <c r="AQ503" s="46">
        <f t="shared" si="370"/>
        <v>0</v>
      </c>
      <c r="AR503" s="56"/>
      <c r="AS503" s="56"/>
      <c r="AT503" s="56"/>
      <c r="AU503" s="47">
        <f t="shared" si="347"/>
        <v>0</v>
      </c>
      <c r="AV503" s="56"/>
      <c r="AW503" s="47">
        <f t="shared" si="371"/>
        <v>0</v>
      </c>
      <c r="AX503" s="56"/>
      <c r="AY503" s="56"/>
      <c r="AZ503" s="56"/>
      <c r="BA503" s="56"/>
      <c r="BB503" s="56"/>
      <c r="BC503" s="47">
        <f t="shared" si="349"/>
        <v>0</v>
      </c>
      <c r="BD503" s="56"/>
      <c r="BE503" s="47">
        <f t="shared" si="350"/>
        <v>0</v>
      </c>
      <c r="BF503" s="56"/>
      <c r="BG503" s="56"/>
      <c r="BH503" s="56"/>
      <c r="BI503" s="56"/>
      <c r="BJ503" s="56"/>
      <c r="BK503" s="56"/>
      <c r="BL503" s="56"/>
      <c r="BM503" s="46">
        <f t="shared" si="376"/>
        <v>0</v>
      </c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  <c r="CL503" s="56"/>
      <c r="CM503" s="56"/>
      <c r="CN503" s="56"/>
      <c r="CO503" s="56"/>
      <c r="CP503" s="57">
        <f t="shared" si="351"/>
        <v>0</v>
      </c>
      <c r="CQ503" s="56"/>
      <c r="CR503" s="47">
        <f t="shared" si="352"/>
        <v>0</v>
      </c>
      <c r="CS503" s="56"/>
      <c r="CT503" s="56"/>
      <c r="CU503" s="56"/>
      <c r="CV503" s="56"/>
      <c r="CW503" s="47">
        <f t="shared" si="353"/>
        <v>0</v>
      </c>
      <c r="CX503" s="46"/>
      <c r="CY503" s="47">
        <f t="shared" si="354"/>
        <v>0</v>
      </c>
      <c r="CZ503" s="56"/>
      <c r="DA503" s="56"/>
      <c r="DB503" s="56"/>
      <c r="DC503" s="56"/>
      <c r="DD503" s="47">
        <f t="shared" si="372"/>
        <v>0</v>
      </c>
      <c r="DE503" s="56"/>
      <c r="DF503" s="46">
        <f t="shared" si="373"/>
        <v>0</v>
      </c>
      <c r="DG503" s="56"/>
      <c r="DH503" s="57">
        <f t="shared" si="357"/>
        <v>0</v>
      </c>
      <c r="DI503" s="56"/>
      <c r="DJ503" s="56"/>
      <c r="DK503" s="47">
        <f t="shared" si="367"/>
        <v>0</v>
      </c>
      <c r="DL503" s="47">
        <f t="shared" si="358"/>
        <v>0</v>
      </c>
      <c r="DM503" s="56"/>
      <c r="DN503" s="46">
        <f t="shared" si="359"/>
        <v>0</v>
      </c>
      <c r="DO503" s="56"/>
      <c r="DP503" s="46">
        <f>10%*AQ503</f>
        <v>0</v>
      </c>
      <c r="DQ503" s="56" t="s">
        <v>99</v>
      </c>
      <c r="DR503" s="46">
        <f t="shared" si="360"/>
        <v>0</v>
      </c>
      <c r="DS503" s="56"/>
      <c r="DT503" s="46">
        <f t="shared" si="374"/>
        <v>0</v>
      </c>
      <c r="DU503" s="56"/>
      <c r="DV503" s="46">
        <f t="shared" si="375"/>
        <v>0</v>
      </c>
      <c r="DW503" s="56"/>
      <c r="DX503" s="47">
        <f t="shared" si="377"/>
        <v>0</v>
      </c>
      <c r="DY503" s="56"/>
      <c r="DZ503" s="56"/>
      <c r="EA503" s="56"/>
      <c r="EB503" s="56"/>
      <c r="EC503" s="56"/>
      <c r="ED503" s="56"/>
      <c r="EE503" s="47">
        <f t="shared" si="369"/>
        <v>0</v>
      </c>
      <c r="EF503" s="56"/>
      <c r="EG503" s="56"/>
      <c r="EH503" s="56"/>
      <c r="EI503" s="56"/>
      <c r="EJ503" s="56"/>
      <c r="EK503" s="47">
        <f t="shared" si="363"/>
        <v>0</v>
      </c>
      <c r="EL503" s="46">
        <f t="shared" si="364"/>
        <v>0</v>
      </c>
      <c r="EM503" s="56"/>
      <c r="EN503" s="61">
        <f t="shared" si="365"/>
        <v>0</v>
      </c>
    </row>
    <row r="504" spans="2:144" s="48" customFormat="1" ht="15" customHeight="1" x14ac:dyDescent="0.25">
      <c r="B504" s="41">
        <v>23</v>
      </c>
      <c r="C504" s="42"/>
      <c r="D504" s="43"/>
      <c r="E504" s="52"/>
      <c r="F504" s="42"/>
      <c r="G504" s="42"/>
      <c r="H504" s="42"/>
      <c r="I504" s="42"/>
      <c r="J504" s="42"/>
      <c r="K504" s="42"/>
      <c r="L504" s="42"/>
      <c r="M504" s="42"/>
      <c r="N504" s="41"/>
      <c r="O504" s="41"/>
      <c r="P504" s="42"/>
      <c r="Q504" s="45"/>
      <c r="R504" s="45"/>
      <c r="S504" s="42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7">
        <f t="shared" si="335"/>
        <v>0</v>
      </c>
      <c r="AO504" s="46">
        <f t="shared" si="336"/>
        <v>0</v>
      </c>
      <c r="AP504" s="56" t="s">
        <v>135</v>
      </c>
      <c r="AQ504" s="46">
        <f t="shared" si="370"/>
        <v>0</v>
      </c>
      <c r="AR504" s="46"/>
      <c r="AS504" s="46"/>
      <c r="AT504" s="46"/>
      <c r="AU504" s="47">
        <f t="shared" si="347"/>
        <v>0</v>
      </c>
      <c r="AV504" s="46"/>
      <c r="AW504" s="47">
        <f t="shared" si="371"/>
        <v>0</v>
      </c>
      <c r="AX504" s="46"/>
      <c r="AY504" s="46"/>
      <c r="AZ504" s="46"/>
      <c r="BA504" s="46"/>
      <c r="BB504" s="46"/>
      <c r="BC504" s="47">
        <f t="shared" si="349"/>
        <v>0</v>
      </c>
      <c r="BD504" s="46"/>
      <c r="BE504" s="47">
        <f t="shared" si="350"/>
        <v>0</v>
      </c>
      <c r="BF504" s="46"/>
      <c r="BG504" s="46"/>
      <c r="BH504" s="46"/>
      <c r="BI504" s="46"/>
      <c r="BJ504" s="46"/>
      <c r="BK504" s="46"/>
      <c r="BL504" s="46"/>
      <c r="BM504" s="46">
        <f t="shared" si="376"/>
        <v>0</v>
      </c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  <c r="CK504" s="46"/>
      <c r="CL504" s="46"/>
      <c r="CM504" s="46"/>
      <c r="CN504" s="46"/>
      <c r="CO504" s="46"/>
      <c r="CP504" s="47">
        <f t="shared" si="351"/>
        <v>0</v>
      </c>
      <c r="CQ504" s="46"/>
      <c r="CR504" s="47">
        <f t="shared" si="352"/>
        <v>0</v>
      </c>
      <c r="CS504" s="46"/>
      <c r="CT504" s="46"/>
      <c r="CU504" s="46"/>
      <c r="CV504" s="46"/>
      <c r="CW504" s="47">
        <f t="shared" si="353"/>
        <v>0</v>
      </c>
      <c r="CX504" s="46"/>
      <c r="CY504" s="47">
        <f t="shared" si="354"/>
        <v>0</v>
      </c>
      <c r="CZ504" s="46"/>
      <c r="DA504" s="46"/>
      <c r="DB504" s="46"/>
      <c r="DC504" s="46"/>
      <c r="DD504" s="47">
        <f t="shared" si="372"/>
        <v>0</v>
      </c>
      <c r="DE504" s="46"/>
      <c r="DF504" s="46">
        <f t="shared" si="373"/>
        <v>0</v>
      </c>
      <c r="DG504" s="46"/>
      <c r="DH504" s="57">
        <f t="shared" si="357"/>
        <v>0</v>
      </c>
      <c r="DI504" s="46"/>
      <c r="DJ504" s="46"/>
      <c r="DK504" s="47">
        <f t="shared" si="367"/>
        <v>0</v>
      </c>
      <c r="DL504" s="47">
        <f t="shared" si="358"/>
        <v>0</v>
      </c>
      <c r="DM504" s="46"/>
      <c r="DN504" s="46">
        <f t="shared" si="359"/>
        <v>0</v>
      </c>
      <c r="DO504" s="46"/>
      <c r="DP504" s="46">
        <f>10%*AQ504</f>
        <v>0</v>
      </c>
      <c r="DQ504" s="46" t="s">
        <v>99</v>
      </c>
      <c r="DR504" s="46">
        <f t="shared" si="360"/>
        <v>0</v>
      </c>
      <c r="DS504" s="46"/>
      <c r="DT504" s="46">
        <f t="shared" si="374"/>
        <v>0</v>
      </c>
      <c r="DU504" s="46"/>
      <c r="DV504" s="46">
        <f t="shared" si="375"/>
        <v>0</v>
      </c>
      <c r="DW504" s="46"/>
      <c r="DX504" s="47">
        <f t="shared" si="377"/>
        <v>0</v>
      </c>
      <c r="DY504" s="46"/>
      <c r="DZ504" s="46"/>
      <c r="EA504" s="46"/>
      <c r="EB504" s="46"/>
      <c r="EC504" s="46"/>
      <c r="ED504" s="46"/>
      <c r="EE504" s="47">
        <f t="shared" si="369"/>
        <v>0</v>
      </c>
      <c r="EF504" s="46"/>
      <c r="EG504" s="46"/>
      <c r="EH504" s="46"/>
      <c r="EI504" s="46"/>
      <c r="EJ504" s="46"/>
      <c r="EK504" s="47">
        <f t="shared" si="363"/>
        <v>0</v>
      </c>
      <c r="EL504" s="46">
        <f t="shared" si="364"/>
        <v>0</v>
      </c>
      <c r="EM504" s="46"/>
      <c r="EN504" s="61">
        <f t="shared" si="365"/>
        <v>0</v>
      </c>
    </row>
    <row r="505" spans="2:144" s="51" customFormat="1" ht="15" customHeight="1" x14ac:dyDescent="0.25">
      <c r="B505" s="41">
        <v>24</v>
      </c>
      <c r="C505" s="52"/>
      <c r="D505" s="53"/>
      <c r="E505" s="52"/>
      <c r="F505" s="52"/>
      <c r="G505" s="52"/>
      <c r="H505" s="52"/>
      <c r="I505" s="52"/>
      <c r="J505" s="52"/>
      <c r="K505" s="52"/>
      <c r="L505" s="52"/>
      <c r="M505" s="52"/>
      <c r="N505" s="54"/>
      <c r="O505" s="54"/>
      <c r="P505" s="52"/>
      <c r="Q505" s="55"/>
      <c r="R505" s="55"/>
      <c r="S505" s="55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47">
        <f t="shared" si="335"/>
        <v>0</v>
      </c>
      <c r="AO505" s="57">
        <f t="shared" si="336"/>
        <v>0</v>
      </c>
      <c r="AP505" s="56" t="s">
        <v>135</v>
      </c>
      <c r="AQ505" s="46">
        <f t="shared" si="370"/>
        <v>0</v>
      </c>
      <c r="AR505" s="56"/>
      <c r="AS505" s="56"/>
      <c r="AT505" s="56"/>
      <c r="AU505" s="47">
        <f t="shared" si="347"/>
        <v>0</v>
      </c>
      <c r="AV505" s="56"/>
      <c r="AW505" s="47">
        <f t="shared" si="371"/>
        <v>0</v>
      </c>
      <c r="AX505" s="56"/>
      <c r="AY505" s="56"/>
      <c r="AZ505" s="56"/>
      <c r="BA505" s="56"/>
      <c r="BB505" s="56"/>
      <c r="BC505" s="47">
        <f t="shared" si="349"/>
        <v>0</v>
      </c>
      <c r="BD505" s="56"/>
      <c r="BE505" s="47">
        <f t="shared" si="350"/>
        <v>0</v>
      </c>
      <c r="BF505" s="56"/>
      <c r="BG505" s="56"/>
      <c r="BH505" s="56"/>
      <c r="BI505" s="56"/>
      <c r="BJ505" s="56"/>
      <c r="BK505" s="56"/>
      <c r="BL505" s="56"/>
      <c r="BM505" s="46">
        <f t="shared" si="376"/>
        <v>0</v>
      </c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  <c r="CL505" s="56"/>
      <c r="CM505" s="56"/>
      <c r="CN505" s="56"/>
      <c r="CO505" s="56"/>
      <c r="CP505" s="57">
        <f t="shared" si="351"/>
        <v>0</v>
      </c>
      <c r="CQ505" s="56"/>
      <c r="CR505" s="47">
        <f t="shared" si="352"/>
        <v>0</v>
      </c>
      <c r="CS505" s="56"/>
      <c r="CT505" s="56"/>
      <c r="CU505" s="56"/>
      <c r="CV505" s="56"/>
      <c r="CW505" s="47">
        <f t="shared" si="353"/>
        <v>0</v>
      </c>
      <c r="CX505" s="46"/>
      <c r="CY505" s="47">
        <f t="shared" si="354"/>
        <v>0</v>
      </c>
      <c r="CZ505" s="56"/>
      <c r="DA505" s="56"/>
      <c r="DB505" s="56"/>
      <c r="DC505" s="56"/>
      <c r="DD505" s="47">
        <f t="shared" si="372"/>
        <v>0</v>
      </c>
      <c r="DE505" s="56"/>
      <c r="DF505" s="46">
        <f t="shared" si="373"/>
        <v>0</v>
      </c>
      <c r="DG505" s="56"/>
      <c r="DH505" s="57">
        <f t="shared" si="357"/>
        <v>0</v>
      </c>
      <c r="DI505" s="56"/>
      <c r="DJ505" s="56"/>
      <c r="DK505" s="47">
        <f t="shared" si="367"/>
        <v>0</v>
      </c>
      <c r="DL505" s="47">
        <f t="shared" si="358"/>
        <v>0</v>
      </c>
      <c r="DM505" s="56"/>
      <c r="DN505" s="46">
        <f t="shared" si="359"/>
        <v>0</v>
      </c>
      <c r="DO505" s="56"/>
      <c r="DP505" s="46">
        <f>10%*AQ505</f>
        <v>0</v>
      </c>
      <c r="DQ505" s="56" t="s">
        <v>99</v>
      </c>
      <c r="DR505" s="46">
        <f t="shared" si="360"/>
        <v>0</v>
      </c>
      <c r="DS505" s="56"/>
      <c r="DT505" s="46">
        <f t="shared" si="374"/>
        <v>0</v>
      </c>
      <c r="DU505" s="56"/>
      <c r="DV505" s="46">
        <f t="shared" si="375"/>
        <v>0</v>
      </c>
      <c r="DW505" s="56"/>
      <c r="DX505" s="47">
        <f t="shared" si="377"/>
        <v>0</v>
      </c>
      <c r="DY505" s="56"/>
      <c r="DZ505" s="56"/>
      <c r="EA505" s="56"/>
      <c r="EB505" s="56"/>
      <c r="EC505" s="56"/>
      <c r="ED505" s="56"/>
      <c r="EE505" s="47">
        <f t="shared" si="369"/>
        <v>0</v>
      </c>
      <c r="EF505" s="56"/>
      <c r="EG505" s="56"/>
      <c r="EH505" s="56"/>
      <c r="EI505" s="56"/>
      <c r="EJ505" s="56"/>
      <c r="EK505" s="47">
        <f t="shared" si="363"/>
        <v>0</v>
      </c>
      <c r="EL505" s="46">
        <f t="shared" si="364"/>
        <v>0</v>
      </c>
      <c r="EM505" s="56"/>
      <c r="EN505" s="61">
        <f t="shared" si="365"/>
        <v>0</v>
      </c>
    </row>
    <row r="506" spans="2:144" s="51" customFormat="1" ht="15" customHeight="1" x14ac:dyDescent="0.25">
      <c r="B506" s="41">
        <v>25</v>
      </c>
      <c r="C506" s="52"/>
      <c r="D506" s="53"/>
      <c r="E506" s="52"/>
      <c r="F506" s="52"/>
      <c r="G506" s="52"/>
      <c r="H506" s="52"/>
      <c r="I506" s="52"/>
      <c r="J506" s="52"/>
      <c r="K506" s="52"/>
      <c r="L506" s="52"/>
      <c r="M506" s="52"/>
      <c r="N506" s="54"/>
      <c r="O506" s="54"/>
      <c r="P506" s="52"/>
      <c r="Q506" s="55"/>
      <c r="R506" s="55"/>
      <c r="S506" s="55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47">
        <f t="shared" si="335"/>
        <v>0</v>
      </c>
      <c r="AO506" s="57">
        <f t="shared" si="336"/>
        <v>0</v>
      </c>
      <c r="AP506" s="56" t="s">
        <v>136</v>
      </c>
      <c r="AQ506" s="46">
        <f>23%*AO506</f>
        <v>0</v>
      </c>
      <c r="AR506" s="56"/>
      <c r="AS506" s="56"/>
      <c r="AT506" s="56"/>
      <c r="AU506" s="47">
        <f t="shared" si="347"/>
        <v>0</v>
      </c>
      <c r="AV506" s="56"/>
      <c r="AW506" s="47">
        <f t="shared" si="371"/>
        <v>0</v>
      </c>
      <c r="AX506" s="56"/>
      <c r="AY506" s="56"/>
      <c r="AZ506" s="56"/>
      <c r="BA506" s="56"/>
      <c r="BB506" s="56"/>
      <c r="BC506" s="47">
        <f t="shared" si="349"/>
        <v>0</v>
      </c>
      <c r="BD506" s="56"/>
      <c r="BE506" s="47">
        <f t="shared" si="350"/>
        <v>0</v>
      </c>
      <c r="BF506" s="56"/>
      <c r="BG506" s="56"/>
      <c r="BH506" s="56"/>
      <c r="BI506" s="56"/>
      <c r="BJ506" s="56"/>
      <c r="BK506" s="56"/>
      <c r="BL506" s="56"/>
      <c r="BM506" s="46">
        <f t="shared" si="376"/>
        <v>0</v>
      </c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  <c r="CL506" s="56"/>
      <c r="CM506" s="56"/>
      <c r="CN506" s="56"/>
      <c r="CO506" s="56"/>
      <c r="CP506" s="57">
        <f t="shared" si="351"/>
        <v>0</v>
      </c>
      <c r="CQ506" s="56"/>
      <c r="CR506" s="47">
        <f t="shared" si="352"/>
        <v>0</v>
      </c>
      <c r="CS506" s="56"/>
      <c r="CT506" s="56"/>
      <c r="CU506" s="56"/>
      <c r="CV506" s="56"/>
      <c r="CW506" s="47">
        <f t="shared" si="353"/>
        <v>0</v>
      </c>
      <c r="CX506" s="46"/>
      <c r="CY506" s="47">
        <f t="shared" si="354"/>
        <v>0</v>
      </c>
      <c r="CZ506" s="56"/>
      <c r="DA506" s="56"/>
      <c r="DB506" s="56"/>
      <c r="DC506" s="56"/>
      <c r="DD506" s="47">
        <f t="shared" si="372"/>
        <v>0</v>
      </c>
      <c r="DE506" s="56"/>
      <c r="DF506" s="46">
        <f t="shared" si="373"/>
        <v>0</v>
      </c>
      <c r="DG506" s="56"/>
      <c r="DH506" s="57">
        <f t="shared" si="357"/>
        <v>0</v>
      </c>
      <c r="DI506" s="56"/>
      <c r="DJ506" s="56"/>
      <c r="DK506" s="47">
        <f t="shared" si="367"/>
        <v>0</v>
      </c>
      <c r="DL506" s="47">
        <f t="shared" si="358"/>
        <v>0</v>
      </c>
      <c r="DM506" s="56"/>
      <c r="DN506" s="46">
        <f t="shared" si="359"/>
        <v>0</v>
      </c>
      <c r="DO506" s="56"/>
      <c r="DP506" s="46">
        <f>10%*AQ506</f>
        <v>0</v>
      </c>
      <c r="DQ506" s="56" t="s">
        <v>100</v>
      </c>
      <c r="DR506" s="46">
        <f t="shared" si="360"/>
        <v>0</v>
      </c>
      <c r="DS506" s="56"/>
      <c r="DT506" s="46">
        <f t="shared" si="374"/>
        <v>0</v>
      </c>
      <c r="DU506" s="56"/>
      <c r="DV506" s="46">
        <f t="shared" si="375"/>
        <v>0</v>
      </c>
      <c r="DW506" s="56"/>
      <c r="DX506" s="47">
        <f t="shared" si="377"/>
        <v>0</v>
      </c>
      <c r="DY506" s="56"/>
      <c r="DZ506" s="56"/>
      <c r="EA506" s="56"/>
      <c r="EB506" s="56"/>
      <c r="EC506" s="56"/>
      <c r="ED506" s="56"/>
      <c r="EE506" s="47">
        <f t="shared" si="369"/>
        <v>0</v>
      </c>
      <c r="EF506" s="56"/>
      <c r="EG506" s="56"/>
      <c r="EH506" s="56"/>
      <c r="EI506" s="56"/>
      <c r="EJ506" s="56"/>
      <c r="EK506" s="47">
        <f t="shared" si="363"/>
        <v>0</v>
      </c>
      <c r="EL506" s="46">
        <f t="shared" si="364"/>
        <v>0</v>
      </c>
      <c r="EM506" s="56"/>
      <c r="EN506" s="61">
        <f t="shared" si="365"/>
        <v>0</v>
      </c>
    </row>
    <row r="507" spans="2:144" s="51" customFormat="1" ht="15" customHeight="1" x14ac:dyDescent="0.25">
      <c r="B507" s="41">
        <v>26</v>
      </c>
      <c r="C507" s="52"/>
      <c r="D507" s="53"/>
      <c r="E507" s="52"/>
      <c r="F507" s="52"/>
      <c r="G507" s="52"/>
      <c r="H507" s="52"/>
      <c r="I507" s="52"/>
      <c r="J507" s="52"/>
      <c r="K507" s="52"/>
      <c r="L507" s="52"/>
      <c r="M507" s="52"/>
      <c r="N507" s="54"/>
      <c r="O507" s="54"/>
      <c r="P507" s="52"/>
      <c r="Q507" s="55"/>
      <c r="R507" s="55"/>
      <c r="S507" s="55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47">
        <f t="shared" si="335"/>
        <v>0</v>
      </c>
      <c r="AO507" s="57">
        <f t="shared" si="336"/>
        <v>0</v>
      </c>
      <c r="AP507" s="56" t="s">
        <v>135</v>
      </c>
      <c r="AQ507" s="46">
        <f t="shared" ref="AQ507:AQ556" si="378">20%*AO507</f>
        <v>0</v>
      </c>
      <c r="AR507" s="56"/>
      <c r="AS507" s="56"/>
      <c r="AT507" s="56"/>
      <c r="AU507" s="47">
        <f t="shared" si="347"/>
        <v>0</v>
      </c>
      <c r="AV507" s="56"/>
      <c r="AW507" s="47">
        <f t="shared" si="371"/>
        <v>0</v>
      </c>
      <c r="AX507" s="56"/>
      <c r="AY507" s="56"/>
      <c r="AZ507" s="56"/>
      <c r="BA507" s="56"/>
      <c r="BB507" s="56"/>
      <c r="BC507" s="47">
        <f t="shared" si="349"/>
        <v>0</v>
      </c>
      <c r="BD507" s="56"/>
      <c r="BE507" s="47">
        <f t="shared" si="350"/>
        <v>0</v>
      </c>
      <c r="BF507" s="56"/>
      <c r="BG507" s="56"/>
      <c r="BH507" s="56"/>
      <c r="BI507" s="56"/>
      <c r="BJ507" s="56"/>
      <c r="BK507" s="56"/>
      <c r="BL507" s="56"/>
      <c r="BM507" s="46">
        <f t="shared" si="376"/>
        <v>0</v>
      </c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  <c r="CL507" s="56"/>
      <c r="CM507" s="56"/>
      <c r="CN507" s="56"/>
      <c r="CO507" s="56"/>
      <c r="CP507" s="57">
        <f t="shared" si="351"/>
        <v>0</v>
      </c>
      <c r="CQ507" s="56"/>
      <c r="CR507" s="47">
        <f t="shared" si="352"/>
        <v>0</v>
      </c>
      <c r="CS507" s="56"/>
      <c r="CT507" s="56"/>
      <c r="CU507" s="56"/>
      <c r="CV507" s="56"/>
      <c r="CW507" s="47">
        <f t="shared" si="353"/>
        <v>0</v>
      </c>
      <c r="CX507" s="46"/>
      <c r="CY507" s="47">
        <f t="shared" si="354"/>
        <v>0</v>
      </c>
      <c r="CZ507" s="56"/>
      <c r="DA507" s="56"/>
      <c r="DB507" s="56"/>
      <c r="DC507" s="56"/>
      <c r="DD507" s="47">
        <f t="shared" si="372"/>
        <v>0</v>
      </c>
      <c r="DE507" s="56"/>
      <c r="DF507" s="46">
        <f t="shared" si="373"/>
        <v>0</v>
      </c>
      <c r="DG507" s="56"/>
      <c r="DH507" s="57">
        <f t="shared" si="357"/>
        <v>0</v>
      </c>
      <c r="DI507" s="56"/>
      <c r="DJ507" s="56"/>
      <c r="DK507" s="47">
        <f t="shared" si="367"/>
        <v>0</v>
      </c>
      <c r="DL507" s="47">
        <f t="shared" si="358"/>
        <v>0</v>
      </c>
      <c r="DM507" s="56"/>
      <c r="DN507" s="46">
        <f t="shared" si="359"/>
        <v>0</v>
      </c>
      <c r="DO507" s="56"/>
      <c r="DP507" s="46">
        <f>10%*AQ507</f>
        <v>0</v>
      </c>
      <c r="DQ507" s="56" t="s">
        <v>100</v>
      </c>
      <c r="DR507" s="46">
        <f t="shared" si="360"/>
        <v>0</v>
      </c>
      <c r="DS507" s="56"/>
      <c r="DT507" s="46">
        <f t="shared" si="374"/>
        <v>0</v>
      </c>
      <c r="DU507" s="56"/>
      <c r="DV507" s="46">
        <f t="shared" si="375"/>
        <v>0</v>
      </c>
      <c r="DW507" s="56"/>
      <c r="DX507" s="47">
        <f t="shared" si="377"/>
        <v>0</v>
      </c>
      <c r="DY507" s="56"/>
      <c r="DZ507" s="56"/>
      <c r="EA507" s="56"/>
      <c r="EB507" s="56"/>
      <c r="EC507" s="56"/>
      <c r="ED507" s="56"/>
      <c r="EE507" s="47">
        <f t="shared" si="369"/>
        <v>0</v>
      </c>
      <c r="EF507" s="56"/>
      <c r="EG507" s="56"/>
      <c r="EH507" s="56"/>
      <c r="EI507" s="56"/>
      <c r="EJ507" s="56"/>
      <c r="EK507" s="47">
        <f t="shared" si="363"/>
        <v>0</v>
      </c>
      <c r="EL507" s="46">
        <f t="shared" si="364"/>
        <v>0</v>
      </c>
      <c r="EM507" s="56"/>
      <c r="EN507" s="61">
        <f t="shared" si="365"/>
        <v>0</v>
      </c>
    </row>
    <row r="508" spans="2:144" s="51" customFormat="1" x14ac:dyDescent="0.25">
      <c r="B508" s="41">
        <v>27</v>
      </c>
      <c r="C508" s="52"/>
      <c r="D508" s="53"/>
      <c r="E508" s="52"/>
      <c r="F508" s="52"/>
      <c r="G508" s="52"/>
      <c r="H508" s="52"/>
      <c r="I508" s="52"/>
      <c r="J508" s="52"/>
      <c r="K508" s="52"/>
      <c r="L508" s="52"/>
      <c r="M508" s="52"/>
      <c r="N508" s="54"/>
      <c r="O508" s="54"/>
      <c r="P508" s="52"/>
      <c r="Q508" s="55"/>
      <c r="R508" s="55"/>
      <c r="S508" s="55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60">
        <f t="shared" si="335"/>
        <v>0</v>
      </c>
      <c r="AO508" s="57">
        <f t="shared" si="336"/>
        <v>0</v>
      </c>
      <c r="AP508" s="56" t="s">
        <v>135</v>
      </c>
      <c r="AQ508" s="46">
        <f t="shared" si="378"/>
        <v>0</v>
      </c>
      <c r="AR508" s="56"/>
      <c r="AS508" s="56"/>
      <c r="AT508" s="56"/>
      <c r="AU508" s="60">
        <f t="shared" si="347"/>
        <v>0</v>
      </c>
      <c r="AV508" s="56"/>
      <c r="AW508" s="47">
        <f t="shared" si="371"/>
        <v>0</v>
      </c>
      <c r="AX508" s="56"/>
      <c r="AY508" s="56"/>
      <c r="AZ508" s="56"/>
      <c r="BA508" s="56"/>
      <c r="BB508" s="56"/>
      <c r="BC508" s="47">
        <f t="shared" si="349"/>
        <v>0</v>
      </c>
      <c r="BD508" s="56"/>
      <c r="BE508" s="47">
        <f t="shared" si="350"/>
        <v>0</v>
      </c>
      <c r="BF508" s="56"/>
      <c r="BG508" s="56"/>
      <c r="BH508" s="56"/>
      <c r="BI508" s="56"/>
      <c r="BJ508" s="56"/>
      <c r="BK508" s="56"/>
      <c r="BL508" s="56"/>
      <c r="BM508" s="46">
        <f t="shared" si="376"/>
        <v>0</v>
      </c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  <c r="CL508" s="56"/>
      <c r="CM508" s="56"/>
      <c r="CN508" s="56"/>
      <c r="CO508" s="56"/>
      <c r="CP508" s="57"/>
      <c r="CQ508" s="56"/>
      <c r="CR508" s="47">
        <f t="shared" si="352"/>
        <v>0</v>
      </c>
      <c r="CS508" s="56"/>
      <c r="CT508" s="56"/>
      <c r="CU508" s="46"/>
      <c r="CV508" s="46"/>
      <c r="CW508" s="47">
        <f t="shared" si="353"/>
        <v>0</v>
      </c>
      <c r="CX508" s="46"/>
      <c r="CY508" s="47">
        <f t="shared" si="354"/>
        <v>0</v>
      </c>
      <c r="CZ508" s="56"/>
      <c r="DA508" s="56"/>
      <c r="DB508" s="56"/>
      <c r="DC508" s="56"/>
      <c r="DD508" s="47">
        <f t="shared" si="372"/>
        <v>0</v>
      </c>
      <c r="DE508" s="56"/>
      <c r="DF508" s="46">
        <f t="shared" si="373"/>
        <v>0</v>
      </c>
      <c r="DG508" s="56"/>
      <c r="DH508" s="57">
        <f t="shared" si="357"/>
        <v>0</v>
      </c>
      <c r="DI508" s="56"/>
      <c r="DJ508" s="56"/>
      <c r="DK508" s="47">
        <f t="shared" si="367"/>
        <v>0</v>
      </c>
      <c r="DL508" s="47">
        <f t="shared" si="358"/>
        <v>0</v>
      </c>
      <c r="DM508" s="56"/>
      <c r="DN508" s="46">
        <f t="shared" si="359"/>
        <v>0</v>
      </c>
      <c r="DO508" s="56"/>
      <c r="DP508" s="46">
        <f>7%*AQ508</f>
        <v>0</v>
      </c>
      <c r="DQ508" s="56" t="s">
        <v>99</v>
      </c>
      <c r="DR508" s="46">
        <f t="shared" si="360"/>
        <v>0</v>
      </c>
      <c r="DS508" s="56"/>
      <c r="DT508" s="46">
        <f t="shared" si="374"/>
        <v>0</v>
      </c>
      <c r="DU508" s="56"/>
      <c r="DV508" s="46">
        <f t="shared" si="375"/>
        <v>0</v>
      </c>
      <c r="DW508" s="56"/>
      <c r="DX508" s="47">
        <f t="shared" si="377"/>
        <v>0</v>
      </c>
      <c r="DY508" s="56"/>
      <c r="DZ508" s="56"/>
      <c r="EA508" s="56"/>
      <c r="EB508" s="56"/>
      <c r="EC508" s="56"/>
      <c r="ED508" s="56"/>
      <c r="EE508" s="47">
        <f t="shared" si="369"/>
        <v>0</v>
      </c>
      <c r="EF508" s="56"/>
      <c r="EG508" s="56"/>
      <c r="EH508" s="56"/>
      <c r="EI508" s="56"/>
      <c r="EJ508" s="56"/>
      <c r="EK508" s="47">
        <f t="shared" si="363"/>
        <v>0</v>
      </c>
      <c r="EL508" s="46">
        <f t="shared" si="364"/>
        <v>0</v>
      </c>
      <c r="EM508" s="56"/>
      <c r="EN508" s="61">
        <f t="shared" si="365"/>
        <v>0</v>
      </c>
    </row>
    <row r="509" spans="2:144" s="51" customFormat="1" ht="15" customHeight="1" x14ac:dyDescent="0.25">
      <c r="B509" s="41">
        <v>28</v>
      </c>
      <c r="C509" s="52"/>
      <c r="D509" s="53"/>
      <c r="E509" s="52"/>
      <c r="F509" s="52"/>
      <c r="G509" s="52"/>
      <c r="H509" s="52"/>
      <c r="I509" s="52"/>
      <c r="J509" s="52"/>
      <c r="K509" s="52"/>
      <c r="L509" s="52"/>
      <c r="M509" s="52"/>
      <c r="N509" s="54"/>
      <c r="O509" s="54"/>
      <c r="P509" s="52"/>
      <c r="Q509" s="55"/>
      <c r="R509" s="55"/>
      <c r="S509" s="55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60">
        <f t="shared" si="335"/>
        <v>0</v>
      </c>
      <c r="AO509" s="57">
        <f t="shared" si="336"/>
        <v>0</v>
      </c>
      <c r="AP509" s="56" t="s">
        <v>135</v>
      </c>
      <c r="AQ509" s="46">
        <f t="shared" si="378"/>
        <v>0</v>
      </c>
      <c r="AR509" s="56"/>
      <c r="AS509" s="56"/>
      <c r="AT509" s="56"/>
      <c r="AU509" s="60">
        <f t="shared" si="347"/>
        <v>0</v>
      </c>
      <c r="AV509" s="56"/>
      <c r="AW509" s="47">
        <f t="shared" si="371"/>
        <v>0</v>
      </c>
      <c r="AX509" s="56"/>
      <c r="AY509" s="56"/>
      <c r="AZ509" s="56"/>
      <c r="BA509" s="56"/>
      <c r="BB509" s="56"/>
      <c r="BC509" s="47">
        <f t="shared" si="349"/>
        <v>0</v>
      </c>
      <c r="BD509" s="56"/>
      <c r="BE509" s="47">
        <f t="shared" si="350"/>
        <v>0</v>
      </c>
      <c r="BF509" s="56"/>
      <c r="BG509" s="56"/>
      <c r="BH509" s="56"/>
      <c r="BI509" s="56"/>
      <c r="BJ509" s="56"/>
      <c r="BK509" s="56"/>
      <c r="BL509" s="56"/>
      <c r="BM509" s="46">
        <f t="shared" si="376"/>
        <v>0</v>
      </c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  <c r="CL509" s="56"/>
      <c r="CM509" s="56"/>
      <c r="CN509" s="56"/>
      <c r="CO509" s="56"/>
      <c r="CP509" s="57"/>
      <c r="CQ509" s="56"/>
      <c r="CR509" s="47">
        <f t="shared" si="352"/>
        <v>0</v>
      </c>
      <c r="CS509" s="56"/>
      <c r="CT509" s="56"/>
      <c r="CU509" s="46"/>
      <c r="CV509" s="46"/>
      <c r="CW509" s="47">
        <f t="shared" si="353"/>
        <v>0</v>
      </c>
      <c r="CX509" s="46"/>
      <c r="CY509" s="47">
        <f t="shared" si="354"/>
        <v>0</v>
      </c>
      <c r="CZ509" s="56"/>
      <c r="DA509" s="56"/>
      <c r="DB509" s="56"/>
      <c r="DC509" s="56"/>
      <c r="DD509" s="47">
        <f t="shared" si="372"/>
        <v>0</v>
      </c>
      <c r="DE509" s="56"/>
      <c r="DF509" s="46">
        <f t="shared" si="373"/>
        <v>0</v>
      </c>
      <c r="DG509" s="56"/>
      <c r="DH509" s="57">
        <f t="shared" si="357"/>
        <v>0</v>
      </c>
      <c r="DI509" s="56"/>
      <c r="DJ509" s="56"/>
      <c r="DK509" s="47">
        <f t="shared" si="367"/>
        <v>0</v>
      </c>
      <c r="DL509" s="47">
        <f t="shared" si="358"/>
        <v>0</v>
      </c>
      <c r="DM509" s="56"/>
      <c r="DN509" s="46">
        <f t="shared" si="359"/>
        <v>0</v>
      </c>
      <c r="DO509" s="56"/>
      <c r="DP509" s="46">
        <f>7%*AQ509</f>
        <v>0</v>
      </c>
      <c r="DQ509" s="56" t="s">
        <v>99</v>
      </c>
      <c r="DR509" s="46">
        <f t="shared" si="360"/>
        <v>0</v>
      </c>
      <c r="DS509" s="56"/>
      <c r="DT509" s="46">
        <f t="shared" si="374"/>
        <v>0</v>
      </c>
      <c r="DU509" s="56"/>
      <c r="DV509" s="46">
        <f t="shared" si="375"/>
        <v>0</v>
      </c>
      <c r="DW509" s="56"/>
      <c r="DX509" s="47">
        <f t="shared" si="377"/>
        <v>0</v>
      </c>
      <c r="DY509" s="56"/>
      <c r="DZ509" s="56"/>
      <c r="EA509" s="56"/>
      <c r="EB509" s="56"/>
      <c r="EC509" s="56"/>
      <c r="ED509" s="56"/>
      <c r="EE509" s="47">
        <f t="shared" si="369"/>
        <v>0</v>
      </c>
      <c r="EF509" s="56"/>
      <c r="EG509" s="56"/>
      <c r="EH509" s="56"/>
      <c r="EI509" s="56"/>
      <c r="EJ509" s="56"/>
      <c r="EK509" s="47">
        <f t="shared" si="363"/>
        <v>0</v>
      </c>
      <c r="EL509" s="46">
        <f t="shared" si="364"/>
        <v>0</v>
      </c>
      <c r="EM509" s="56"/>
      <c r="EN509" s="61">
        <f t="shared" si="365"/>
        <v>0</v>
      </c>
    </row>
    <row r="510" spans="2:144" s="144" customFormat="1" ht="15" customHeight="1" x14ac:dyDescent="0.25">
      <c r="B510" s="41">
        <v>29</v>
      </c>
      <c r="C510" s="97"/>
      <c r="D510" s="98"/>
      <c r="E510" s="97"/>
      <c r="F510" s="97"/>
      <c r="G510" s="97"/>
      <c r="H510" s="97"/>
      <c r="I510" s="97"/>
      <c r="J510" s="97"/>
      <c r="K510" s="97"/>
      <c r="L510" s="97"/>
      <c r="M510" s="97"/>
      <c r="N510" s="142"/>
      <c r="O510" s="142"/>
      <c r="P510" s="97"/>
      <c r="Q510" s="143"/>
      <c r="R510" s="143"/>
      <c r="S510" s="143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0">
        <f t="shared" si="335"/>
        <v>0</v>
      </c>
      <c r="AO510" s="57">
        <f t="shared" si="336"/>
        <v>0</v>
      </c>
      <c r="AP510" s="61" t="s">
        <v>137</v>
      </c>
      <c r="AQ510" s="46">
        <f t="shared" si="378"/>
        <v>0</v>
      </c>
      <c r="AR510" s="61"/>
      <c r="AS510" s="61"/>
      <c r="AT510" s="61"/>
      <c r="AU510" s="60">
        <f t="shared" si="347"/>
        <v>0</v>
      </c>
      <c r="AV510" s="61"/>
      <c r="AW510" s="47">
        <f t="shared" si="371"/>
        <v>0</v>
      </c>
      <c r="AX510" s="61"/>
      <c r="AY510" s="61"/>
      <c r="AZ510" s="61"/>
      <c r="BA510" s="61"/>
      <c r="BB510" s="61"/>
      <c r="BC510" s="47">
        <f t="shared" si="349"/>
        <v>0</v>
      </c>
      <c r="BD510" s="61"/>
      <c r="BE510" s="47">
        <f t="shared" si="350"/>
        <v>0</v>
      </c>
      <c r="BF510" s="61"/>
      <c r="BG510" s="61"/>
      <c r="BH510" s="61"/>
      <c r="BI510" s="61"/>
      <c r="BJ510" s="61"/>
      <c r="BK510" s="61"/>
      <c r="BL510" s="61"/>
      <c r="BM510" s="46">
        <f t="shared" si="376"/>
        <v>0</v>
      </c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1"/>
      <c r="CL510" s="61"/>
      <c r="CM510" s="61"/>
      <c r="CN510" s="61"/>
      <c r="CO510" s="61"/>
      <c r="CP510" s="57"/>
      <c r="CQ510" s="61"/>
      <c r="CR510" s="47">
        <f t="shared" si="352"/>
        <v>0</v>
      </c>
      <c r="CS510" s="61"/>
      <c r="CT510" s="61"/>
      <c r="CU510" s="61"/>
      <c r="CV510" s="61"/>
      <c r="CW510" s="47">
        <f t="shared" si="353"/>
        <v>0</v>
      </c>
      <c r="CX510" s="46"/>
      <c r="CY510" s="47">
        <f t="shared" si="354"/>
        <v>0</v>
      </c>
      <c r="CZ510" s="61"/>
      <c r="DA510" s="61"/>
      <c r="DB510" s="61"/>
      <c r="DC510" s="61"/>
      <c r="DD510" s="47">
        <f t="shared" si="372"/>
        <v>0</v>
      </c>
      <c r="DE510" s="61"/>
      <c r="DF510" s="46">
        <f t="shared" si="373"/>
        <v>0</v>
      </c>
      <c r="DG510" s="61"/>
      <c r="DH510" s="57">
        <f t="shared" si="357"/>
        <v>0</v>
      </c>
      <c r="DI510" s="61"/>
      <c r="DJ510" s="61"/>
      <c r="DK510" s="47">
        <f t="shared" si="367"/>
        <v>0</v>
      </c>
      <c r="DL510" s="47">
        <f t="shared" si="358"/>
        <v>0</v>
      </c>
      <c r="DM510" s="61"/>
      <c r="DN510" s="46">
        <f t="shared" si="359"/>
        <v>0</v>
      </c>
      <c r="DO510" s="61"/>
      <c r="DP510" s="46">
        <f>7%*AQ510</f>
        <v>0</v>
      </c>
      <c r="DQ510" s="61" t="s">
        <v>99</v>
      </c>
      <c r="DR510" s="46">
        <f t="shared" si="360"/>
        <v>0</v>
      </c>
      <c r="DS510" s="61"/>
      <c r="DT510" s="46">
        <f t="shared" si="374"/>
        <v>0</v>
      </c>
      <c r="DU510" s="61"/>
      <c r="DV510" s="46">
        <f t="shared" si="375"/>
        <v>0</v>
      </c>
      <c r="DW510" s="61"/>
      <c r="DX510" s="47">
        <f t="shared" si="377"/>
        <v>0</v>
      </c>
      <c r="DY510" s="61"/>
      <c r="DZ510" s="61"/>
      <c r="EA510" s="61"/>
      <c r="EB510" s="61"/>
      <c r="EC510" s="61"/>
      <c r="ED510" s="61"/>
      <c r="EE510" s="47">
        <f t="shared" si="369"/>
        <v>0</v>
      </c>
      <c r="EF510" s="61"/>
      <c r="EG510" s="61"/>
      <c r="EH510" s="61"/>
      <c r="EI510" s="61"/>
      <c r="EJ510" s="61"/>
      <c r="EK510" s="47">
        <f t="shared" si="363"/>
        <v>0</v>
      </c>
      <c r="EL510" s="46">
        <f t="shared" si="364"/>
        <v>0</v>
      </c>
      <c r="EM510" s="61"/>
      <c r="EN510" s="61">
        <f t="shared" si="365"/>
        <v>0</v>
      </c>
    </row>
    <row r="511" spans="2:144" s="51" customFormat="1" ht="15" customHeight="1" x14ac:dyDescent="0.25">
      <c r="B511" s="41">
        <v>30</v>
      </c>
      <c r="C511" s="52"/>
      <c r="D511" s="53"/>
      <c r="E511" s="52"/>
      <c r="F511" s="52"/>
      <c r="G511" s="52"/>
      <c r="H511" s="52"/>
      <c r="I511" s="52"/>
      <c r="J511" s="52"/>
      <c r="K511" s="52"/>
      <c r="L511" s="52"/>
      <c r="M511" s="52"/>
      <c r="N511" s="54"/>
      <c r="O511" s="54"/>
      <c r="P511" s="52"/>
      <c r="Q511" s="55"/>
      <c r="R511" s="55"/>
      <c r="S511" s="55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60">
        <f t="shared" si="335"/>
        <v>0</v>
      </c>
      <c r="AO511" s="57">
        <f t="shared" si="336"/>
        <v>0</v>
      </c>
      <c r="AP511" s="56" t="s">
        <v>135</v>
      </c>
      <c r="AQ511" s="46">
        <f t="shared" si="378"/>
        <v>0</v>
      </c>
      <c r="AR511" s="56"/>
      <c r="AS511" s="56"/>
      <c r="AT511" s="56"/>
      <c r="AU511" s="60">
        <f t="shared" si="347"/>
        <v>0</v>
      </c>
      <c r="AV511" s="56"/>
      <c r="AW511" s="47">
        <f t="shared" si="371"/>
        <v>0</v>
      </c>
      <c r="AX511" s="56"/>
      <c r="AY511" s="56"/>
      <c r="AZ511" s="56"/>
      <c r="BA511" s="56"/>
      <c r="BB511" s="56"/>
      <c r="BC511" s="47">
        <f t="shared" si="349"/>
        <v>0</v>
      </c>
      <c r="BD511" s="56"/>
      <c r="BE511" s="47">
        <f t="shared" si="350"/>
        <v>0</v>
      </c>
      <c r="BF511" s="56"/>
      <c r="BG511" s="56"/>
      <c r="BH511" s="56"/>
      <c r="BI511" s="56"/>
      <c r="BJ511" s="56"/>
      <c r="BK511" s="56"/>
      <c r="BL511" s="56"/>
      <c r="BM511" s="46">
        <f t="shared" si="376"/>
        <v>0</v>
      </c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  <c r="CL511" s="56"/>
      <c r="CM511" s="56"/>
      <c r="CN511" s="56"/>
      <c r="CO511" s="56"/>
      <c r="CP511" s="57"/>
      <c r="CQ511" s="56"/>
      <c r="CR511" s="47">
        <f t="shared" si="352"/>
        <v>0</v>
      </c>
      <c r="CS511" s="56"/>
      <c r="CT511" s="56"/>
      <c r="CU511" s="56"/>
      <c r="CV511" s="56"/>
      <c r="CW511" s="47">
        <f t="shared" si="353"/>
        <v>0</v>
      </c>
      <c r="CX511" s="46"/>
      <c r="CY511" s="47">
        <f t="shared" si="354"/>
        <v>0</v>
      </c>
      <c r="CZ511" s="56"/>
      <c r="DA511" s="56"/>
      <c r="DB511" s="56"/>
      <c r="DC511" s="56"/>
      <c r="DD511" s="47">
        <f t="shared" si="372"/>
        <v>0</v>
      </c>
      <c r="DE511" s="56"/>
      <c r="DF511" s="46">
        <f t="shared" si="373"/>
        <v>0</v>
      </c>
      <c r="DG511" s="56"/>
      <c r="DH511" s="57">
        <f t="shared" si="357"/>
        <v>0</v>
      </c>
      <c r="DI511" s="56"/>
      <c r="DJ511" s="56"/>
      <c r="DK511" s="47">
        <f t="shared" si="367"/>
        <v>0</v>
      </c>
      <c r="DL511" s="47">
        <f t="shared" si="358"/>
        <v>0</v>
      </c>
      <c r="DM511" s="56"/>
      <c r="DN511" s="46">
        <f t="shared" si="359"/>
        <v>0</v>
      </c>
      <c r="DO511" s="56"/>
      <c r="DP511" s="46">
        <f t="shared" ref="DP511:DP528" si="379">10%*AQ511</f>
        <v>0</v>
      </c>
      <c r="DQ511" s="56" t="s">
        <v>99</v>
      </c>
      <c r="DR511" s="46">
        <f t="shared" si="360"/>
        <v>0</v>
      </c>
      <c r="DS511" s="56"/>
      <c r="DT511" s="46">
        <f t="shared" si="374"/>
        <v>0</v>
      </c>
      <c r="DU511" s="56"/>
      <c r="DV511" s="46">
        <f t="shared" si="375"/>
        <v>0</v>
      </c>
      <c r="DW511" s="56"/>
      <c r="DX511" s="47">
        <f t="shared" si="377"/>
        <v>0</v>
      </c>
      <c r="DY511" s="56"/>
      <c r="DZ511" s="56"/>
      <c r="EA511" s="56"/>
      <c r="EB511" s="56"/>
      <c r="EC511" s="56"/>
      <c r="ED511" s="56"/>
      <c r="EE511" s="47">
        <f t="shared" si="369"/>
        <v>0</v>
      </c>
      <c r="EF511" s="56"/>
      <c r="EG511" s="56"/>
      <c r="EH511" s="56"/>
      <c r="EI511" s="56"/>
      <c r="EJ511" s="56"/>
      <c r="EK511" s="47">
        <f t="shared" si="363"/>
        <v>0</v>
      </c>
      <c r="EL511" s="46">
        <f t="shared" si="364"/>
        <v>0</v>
      </c>
      <c r="EM511" s="56"/>
      <c r="EN511" s="61">
        <f t="shared" si="365"/>
        <v>0</v>
      </c>
    </row>
    <row r="512" spans="2:144" s="51" customFormat="1" ht="15" customHeight="1" x14ac:dyDescent="0.25">
      <c r="B512" s="41">
        <v>31</v>
      </c>
      <c r="C512" s="52"/>
      <c r="D512" s="53"/>
      <c r="E512" s="52"/>
      <c r="F512" s="52"/>
      <c r="G512" s="52"/>
      <c r="H512" s="52"/>
      <c r="I512" s="52"/>
      <c r="J512" s="52"/>
      <c r="K512" s="52"/>
      <c r="L512" s="52"/>
      <c r="M512" s="52"/>
      <c r="N512" s="54"/>
      <c r="O512" s="54"/>
      <c r="P512" s="52"/>
      <c r="Q512" s="55"/>
      <c r="R512" s="55"/>
      <c r="S512" s="55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60">
        <f t="shared" si="335"/>
        <v>0</v>
      </c>
      <c r="AO512" s="57">
        <f t="shared" si="336"/>
        <v>0</v>
      </c>
      <c r="AP512" s="56" t="s">
        <v>135</v>
      </c>
      <c r="AQ512" s="46">
        <f t="shared" si="378"/>
        <v>0</v>
      </c>
      <c r="AR512" s="56"/>
      <c r="AS512" s="56"/>
      <c r="AT512" s="56"/>
      <c r="AU512" s="60">
        <f t="shared" si="347"/>
        <v>0</v>
      </c>
      <c r="AV512" s="56"/>
      <c r="AW512" s="47">
        <f t="shared" si="371"/>
        <v>0</v>
      </c>
      <c r="AX512" s="56"/>
      <c r="AY512" s="56"/>
      <c r="AZ512" s="56"/>
      <c r="BA512" s="56"/>
      <c r="BB512" s="56"/>
      <c r="BC512" s="47">
        <f t="shared" si="349"/>
        <v>0</v>
      </c>
      <c r="BD512" s="56"/>
      <c r="BE512" s="47">
        <f t="shared" si="350"/>
        <v>0</v>
      </c>
      <c r="BF512" s="56"/>
      <c r="BG512" s="56"/>
      <c r="BH512" s="56"/>
      <c r="BI512" s="56"/>
      <c r="BJ512" s="56"/>
      <c r="BK512" s="56"/>
      <c r="BL512" s="56"/>
      <c r="BM512" s="46">
        <f t="shared" si="376"/>
        <v>0</v>
      </c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  <c r="CL512" s="56"/>
      <c r="CM512" s="56"/>
      <c r="CN512" s="56"/>
      <c r="CO512" s="56"/>
      <c r="CP512" s="57"/>
      <c r="CQ512" s="56"/>
      <c r="CR512" s="47">
        <f t="shared" si="352"/>
        <v>0</v>
      </c>
      <c r="CS512" s="56"/>
      <c r="CT512" s="56"/>
      <c r="CU512" s="56"/>
      <c r="CV512" s="56"/>
      <c r="CW512" s="47">
        <f t="shared" si="353"/>
        <v>0</v>
      </c>
      <c r="CX512" s="46"/>
      <c r="CY512" s="47">
        <f t="shared" si="354"/>
        <v>0</v>
      </c>
      <c r="CZ512" s="56"/>
      <c r="DA512" s="56"/>
      <c r="DB512" s="56"/>
      <c r="DC512" s="56"/>
      <c r="DD512" s="47">
        <f t="shared" si="372"/>
        <v>0</v>
      </c>
      <c r="DE512" s="56"/>
      <c r="DF512" s="46">
        <f t="shared" si="373"/>
        <v>0</v>
      </c>
      <c r="DG512" s="56"/>
      <c r="DH512" s="57">
        <f t="shared" si="357"/>
        <v>0</v>
      </c>
      <c r="DI512" s="56"/>
      <c r="DJ512" s="56"/>
      <c r="DK512" s="47">
        <f t="shared" si="367"/>
        <v>0</v>
      </c>
      <c r="DL512" s="47">
        <f t="shared" si="358"/>
        <v>0</v>
      </c>
      <c r="DM512" s="56"/>
      <c r="DN512" s="46">
        <f t="shared" si="359"/>
        <v>0</v>
      </c>
      <c r="DO512" s="56"/>
      <c r="DP512" s="46">
        <f t="shared" si="379"/>
        <v>0</v>
      </c>
      <c r="DQ512" s="56" t="s">
        <v>100</v>
      </c>
      <c r="DR512" s="46">
        <f t="shared" si="360"/>
        <v>0</v>
      </c>
      <c r="DS512" s="56"/>
      <c r="DT512" s="46">
        <f t="shared" si="374"/>
        <v>0</v>
      </c>
      <c r="DU512" s="56"/>
      <c r="DV512" s="46">
        <f t="shared" si="375"/>
        <v>0</v>
      </c>
      <c r="DW512" s="56"/>
      <c r="DX512" s="47">
        <f t="shared" si="377"/>
        <v>0</v>
      </c>
      <c r="DY512" s="56"/>
      <c r="DZ512" s="56"/>
      <c r="EA512" s="56"/>
      <c r="EB512" s="56"/>
      <c r="EC512" s="56"/>
      <c r="ED512" s="56"/>
      <c r="EE512" s="47">
        <f t="shared" si="369"/>
        <v>0</v>
      </c>
      <c r="EF512" s="56"/>
      <c r="EG512" s="56"/>
      <c r="EH512" s="56"/>
      <c r="EI512" s="56"/>
      <c r="EJ512" s="56"/>
      <c r="EK512" s="47">
        <f t="shared" si="363"/>
        <v>0</v>
      </c>
      <c r="EL512" s="46">
        <f t="shared" si="364"/>
        <v>0</v>
      </c>
      <c r="EM512" s="56"/>
      <c r="EN512" s="61">
        <f t="shared" si="365"/>
        <v>0</v>
      </c>
    </row>
    <row r="513" spans="1:148" s="51" customFormat="1" ht="15" customHeight="1" x14ac:dyDescent="0.25">
      <c r="B513" s="41">
        <v>32</v>
      </c>
      <c r="C513" s="52"/>
      <c r="D513" s="53"/>
      <c r="E513" s="52"/>
      <c r="F513" s="52"/>
      <c r="G513" s="52"/>
      <c r="H513" s="52"/>
      <c r="I513" s="52"/>
      <c r="J513" s="52"/>
      <c r="K513" s="52"/>
      <c r="L513" s="52"/>
      <c r="M513" s="52"/>
      <c r="N513" s="54"/>
      <c r="O513" s="54"/>
      <c r="P513" s="52"/>
      <c r="Q513" s="55"/>
      <c r="R513" s="55"/>
      <c r="S513" s="55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60">
        <f t="shared" si="335"/>
        <v>0</v>
      </c>
      <c r="AO513" s="57">
        <f t="shared" si="336"/>
        <v>0</v>
      </c>
      <c r="AP513" s="56" t="s">
        <v>135</v>
      </c>
      <c r="AQ513" s="46">
        <f t="shared" si="378"/>
        <v>0</v>
      </c>
      <c r="AR513" s="56"/>
      <c r="AS513" s="56"/>
      <c r="AT513" s="56"/>
      <c r="AU513" s="60">
        <f t="shared" si="347"/>
        <v>0</v>
      </c>
      <c r="AV513" s="56"/>
      <c r="AW513" s="47">
        <f t="shared" si="371"/>
        <v>0</v>
      </c>
      <c r="AX513" s="56"/>
      <c r="AY513" s="56"/>
      <c r="AZ513" s="56"/>
      <c r="BA513" s="56"/>
      <c r="BB513" s="56"/>
      <c r="BC513" s="47">
        <f t="shared" si="349"/>
        <v>0</v>
      </c>
      <c r="BD513" s="56"/>
      <c r="BE513" s="47">
        <f t="shared" si="350"/>
        <v>0</v>
      </c>
      <c r="BF513" s="56"/>
      <c r="BG513" s="56"/>
      <c r="BH513" s="56"/>
      <c r="BI513" s="56"/>
      <c r="BJ513" s="56"/>
      <c r="BK513" s="56"/>
      <c r="BL513" s="56"/>
      <c r="BM513" s="46">
        <f t="shared" si="376"/>
        <v>0</v>
      </c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  <c r="CL513" s="56"/>
      <c r="CM513" s="56"/>
      <c r="CN513" s="56"/>
      <c r="CO513" s="56"/>
      <c r="CP513" s="57"/>
      <c r="CQ513" s="56"/>
      <c r="CR513" s="47">
        <f t="shared" si="352"/>
        <v>0</v>
      </c>
      <c r="CS513" s="56"/>
      <c r="CT513" s="56"/>
      <c r="CU513" s="56"/>
      <c r="CV513" s="56"/>
      <c r="CW513" s="47">
        <f t="shared" si="353"/>
        <v>0</v>
      </c>
      <c r="CX513" s="46"/>
      <c r="CY513" s="47">
        <f t="shared" si="354"/>
        <v>0</v>
      </c>
      <c r="CZ513" s="56"/>
      <c r="DA513" s="56"/>
      <c r="DB513" s="56"/>
      <c r="DC513" s="56"/>
      <c r="DD513" s="47">
        <f t="shared" si="372"/>
        <v>0</v>
      </c>
      <c r="DE513" s="56"/>
      <c r="DF513" s="46">
        <f t="shared" si="373"/>
        <v>0</v>
      </c>
      <c r="DG513" s="56"/>
      <c r="DH513" s="57">
        <f t="shared" si="357"/>
        <v>0</v>
      </c>
      <c r="DI513" s="56"/>
      <c r="DJ513" s="56"/>
      <c r="DK513" s="47">
        <f t="shared" si="367"/>
        <v>0</v>
      </c>
      <c r="DL513" s="47">
        <f t="shared" si="358"/>
        <v>0</v>
      </c>
      <c r="DM513" s="56"/>
      <c r="DN513" s="46">
        <f t="shared" si="359"/>
        <v>0</v>
      </c>
      <c r="DO513" s="56"/>
      <c r="DP513" s="46">
        <f t="shared" si="379"/>
        <v>0</v>
      </c>
      <c r="DQ513" s="56" t="s">
        <v>100</v>
      </c>
      <c r="DR513" s="46">
        <f t="shared" si="360"/>
        <v>0</v>
      </c>
      <c r="DS513" s="56"/>
      <c r="DT513" s="46">
        <f t="shared" si="374"/>
        <v>0</v>
      </c>
      <c r="DU513" s="56"/>
      <c r="DV513" s="46">
        <f t="shared" si="375"/>
        <v>0</v>
      </c>
      <c r="DW513" s="56"/>
      <c r="DX513" s="47">
        <f t="shared" si="377"/>
        <v>0</v>
      </c>
      <c r="DY513" s="56"/>
      <c r="DZ513" s="56"/>
      <c r="EA513" s="56"/>
      <c r="EB513" s="56"/>
      <c r="EC513" s="56"/>
      <c r="ED513" s="56"/>
      <c r="EE513" s="47">
        <f t="shared" si="369"/>
        <v>0</v>
      </c>
      <c r="EF513" s="56"/>
      <c r="EG513" s="56"/>
      <c r="EH513" s="56"/>
      <c r="EI513" s="56"/>
      <c r="EJ513" s="56"/>
      <c r="EK513" s="47">
        <f t="shared" si="363"/>
        <v>0</v>
      </c>
      <c r="EL513" s="46">
        <f t="shared" si="364"/>
        <v>0</v>
      </c>
      <c r="EM513" s="56"/>
      <c r="EN513" s="61">
        <f t="shared" si="365"/>
        <v>0</v>
      </c>
    </row>
    <row r="514" spans="1:148" s="51" customFormat="1" x14ac:dyDescent="0.25">
      <c r="B514" s="41">
        <v>33</v>
      </c>
      <c r="C514" s="52"/>
      <c r="D514" s="53"/>
      <c r="E514" s="52"/>
      <c r="F514" s="52"/>
      <c r="G514" s="52"/>
      <c r="H514" s="52"/>
      <c r="I514" s="52"/>
      <c r="J514" s="52"/>
      <c r="K514" s="52"/>
      <c r="L514" s="52"/>
      <c r="M514" s="52"/>
      <c r="N514" s="54"/>
      <c r="O514" s="54"/>
      <c r="P514" s="52"/>
      <c r="Q514" s="55"/>
      <c r="R514" s="55"/>
      <c r="S514" s="55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60">
        <f t="shared" si="335"/>
        <v>0</v>
      </c>
      <c r="AO514" s="57">
        <f t="shared" si="336"/>
        <v>0</v>
      </c>
      <c r="AP514" s="56" t="s">
        <v>139</v>
      </c>
      <c r="AQ514" s="46">
        <f t="shared" si="378"/>
        <v>0</v>
      </c>
      <c r="AR514" s="56"/>
      <c r="AS514" s="56"/>
      <c r="AT514" s="56"/>
      <c r="AU514" s="60">
        <f t="shared" si="347"/>
        <v>0</v>
      </c>
      <c r="AV514" s="56"/>
      <c r="AW514" s="47">
        <f t="shared" si="371"/>
        <v>0</v>
      </c>
      <c r="AX514" s="56"/>
      <c r="AY514" s="56"/>
      <c r="AZ514" s="56"/>
      <c r="BA514" s="56"/>
      <c r="BB514" s="56"/>
      <c r="BC514" s="47">
        <f t="shared" si="349"/>
        <v>0</v>
      </c>
      <c r="BD514" s="56"/>
      <c r="BE514" s="47">
        <f t="shared" si="350"/>
        <v>0</v>
      </c>
      <c r="BF514" s="56"/>
      <c r="BG514" s="56"/>
      <c r="BH514" s="56"/>
      <c r="BI514" s="56"/>
      <c r="BJ514" s="56"/>
      <c r="BK514" s="56"/>
      <c r="BL514" s="56"/>
      <c r="BM514" s="46">
        <f t="shared" si="376"/>
        <v>0</v>
      </c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  <c r="CL514" s="56"/>
      <c r="CM514" s="56"/>
      <c r="CN514" s="56"/>
      <c r="CO514" s="56"/>
      <c r="CP514" s="57"/>
      <c r="CQ514" s="56"/>
      <c r="CR514" s="47">
        <f t="shared" si="352"/>
        <v>0</v>
      </c>
      <c r="CS514" s="56"/>
      <c r="CT514" s="56"/>
      <c r="CU514" s="56"/>
      <c r="CV514" s="56"/>
      <c r="CW514" s="47">
        <f t="shared" si="353"/>
        <v>0</v>
      </c>
      <c r="CX514" s="46"/>
      <c r="CY514" s="47">
        <f t="shared" si="354"/>
        <v>0</v>
      </c>
      <c r="CZ514" s="56"/>
      <c r="DA514" s="56"/>
      <c r="DB514" s="56"/>
      <c r="DC514" s="56"/>
      <c r="DD514" s="47">
        <f t="shared" si="372"/>
        <v>0</v>
      </c>
      <c r="DE514" s="56"/>
      <c r="DF514" s="46">
        <f t="shared" si="373"/>
        <v>0</v>
      </c>
      <c r="DG514" s="56"/>
      <c r="DH514" s="57">
        <f t="shared" si="357"/>
        <v>0</v>
      </c>
      <c r="DI514" s="56"/>
      <c r="DJ514" s="56"/>
      <c r="DK514" s="47">
        <f t="shared" si="367"/>
        <v>0</v>
      </c>
      <c r="DL514" s="47">
        <f t="shared" si="358"/>
        <v>0</v>
      </c>
      <c r="DM514" s="56"/>
      <c r="DN514" s="46">
        <f t="shared" si="359"/>
        <v>0</v>
      </c>
      <c r="DO514" s="56"/>
      <c r="DP514" s="46">
        <f t="shared" si="379"/>
        <v>0</v>
      </c>
      <c r="DQ514" s="56" t="s">
        <v>99</v>
      </c>
      <c r="DR514" s="46">
        <f t="shared" si="360"/>
        <v>0</v>
      </c>
      <c r="DS514" s="56"/>
      <c r="DT514" s="46">
        <f t="shared" si="374"/>
        <v>0</v>
      </c>
      <c r="DU514" s="56"/>
      <c r="DV514" s="46">
        <f t="shared" si="375"/>
        <v>0</v>
      </c>
      <c r="DW514" s="56"/>
      <c r="DX514" s="47">
        <f t="shared" si="377"/>
        <v>0</v>
      </c>
      <c r="DY514" s="56"/>
      <c r="DZ514" s="56"/>
      <c r="EA514" s="56"/>
      <c r="EB514" s="56"/>
      <c r="EC514" s="56"/>
      <c r="ED514" s="56"/>
      <c r="EE514" s="47">
        <f t="shared" si="369"/>
        <v>0</v>
      </c>
      <c r="EF514" s="56"/>
      <c r="EG514" s="56"/>
      <c r="EH514" s="56"/>
      <c r="EI514" s="56"/>
      <c r="EJ514" s="56"/>
      <c r="EK514" s="47">
        <f t="shared" si="363"/>
        <v>0</v>
      </c>
      <c r="EL514" s="46">
        <f t="shared" si="364"/>
        <v>0</v>
      </c>
      <c r="EM514" s="56"/>
      <c r="EN514" s="61">
        <f t="shared" si="365"/>
        <v>0</v>
      </c>
    </row>
    <row r="515" spans="1:148" s="48" customFormat="1" ht="15" customHeight="1" x14ac:dyDescent="0.25">
      <c r="A515" s="58"/>
      <c r="B515" s="41">
        <v>34</v>
      </c>
      <c r="C515" s="49"/>
      <c r="D515" s="59"/>
      <c r="E515" s="52"/>
      <c r="F515" s="49"/>
      <c r="G515" s="49"/>
      <c r="H515" s="49"/>
      <c r="I515" s="49"/>
      <c r="J515" s="49"/>
      <c r="K515" s="49"/>
      <c r="L515" s="49"/>
      <c r="M515" s="42"/>
      <c r="N515" s="41"/>
      <c r="O515" s="41"/>
      <c r="P515" s="42"/>
      <c r="Q515" s="45"/>
      <c r="R515" s="45"/>
      <c r="S515" s="55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7">
        <f t="shared" si="335"/>
        <v>0</v>
      </c>
      <c r="AO515" s="46">
        <f t="shared" si="336"/>
        <v>0</v>
      </c>
      <c r="AP515" s="46" t="s">
        <v>135</v>
      </c>
      <c r="AQ515" s="46">
        <f t="shared" si="378"/>
        <v>0</v>
      </c>
      <c r="AR515" s="46"/>
      <c r="AS515" s="46"/>
      <c r="AT515" s="46"/>
      <c r="AU515" s="47">
        <f t="shared" si="347"/>
        <v>0</v>
      </c>
      <c r="AV515" s="46"/>
      <c r="AW515" s="47">
        <f>AQ515+AU515+AV515+AR515</f>
        <v>0</v>
      </c>
      <c r="AX515" s="46"/>
      <c r="AY515" s="46"/>
      <c r="AZ515" s="46"/>
      <c r="BA515" s="46"/>
      <c r="BB515" s="46"/>
      <c r="BC515" s="47">
        <f t="shared" si="349"/>
        <v>0</v>
      </c>
      <c r="BD515" s="46"/>
      <c r="BE515" s="47">
        <f t="shared" si="350"/>
        <v>0</v>
      </c>
      <c r="BF515" s="46"/>
      <c r="BG515" s="46"/>
      <c r="BH515" s="46"/>
      <c r="BI515" s="46"/>
      <c r="BJ515" s="46"/>
      <c r="BK515" s="46">
        <f>BI515*BJ515</f>
        <v>0</v>
      </c>
      <c r="BL515" s="46"/>
      <c r="BM515" s="46">
        <f t="shared" si="376"/>
        <v>0</v>
      </c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  <c r="CK515" s="46"/>
      <c r="CL515" s="46"/>
      <c r="CM515" s="46"/>
      <c r="CN515" s="46"/>
      <c r="CO515" s="46"/>
      <c r="CP515" s="46"/>
      <c r="CQ515" s="46"/>
      <c r="CR515" s="47">
        <f t="shared" si="352"/>
        <v>0</v>
      </c>
      <c r="CS515" s="46"/>
      <c r="CT515" s="46"/>
      <c r="CU515" s="46"/>
      <c r="CV515" s="46"/>
      <c r="CW515" s="47">
        <f t="shared" si="353"/>
        <v>0</v>
      </c>
      <c r="CX515" s="46"/>
      <c r="CY515" s="47">
        <f t="shared" si="354"/>
        <v>0</v>
      </c>
      <c r="CZ515" s="46"/>
      <c r="DA515" s="46"/>
      <c r="DB515" s="46"/>
      <c r="DC515" s="46"/>
      <c r="DD515" s="47">
        <f t="shared" si="372"/>
        <v>0</v>
      </c>
      <c r="DE515" s="46"/>
      <c r="DF515" s="46">
        <f t="shared" si="373"/>
        <v>0</v>
      </c>
      <c r="DG515" s="46"/>
      <c r="DH515" s="57">
        <f t="shared" si="357"/>
        <v>0</v>
      </c>
      <c r="DI515" s="46"/>
      <c r="DJ515" s="46"/>
      <c r="DK515" s="47">
        <f t="shared" si="367"/>
        <v>0</v>
      </c>
      <c r="DL515" s="47">
        <f t="shared" si="358"/>
        <v>0</v>
      </c>
      <c r="DM515" s="46"/>
      <c r="DN515" s="46">
        <f t="shared" si="359"/>
        <v>0</v>
      </c>
      <c r="DO515" s="46"/>
      <c r="DP515" s="46">
        <f t="shared" si="379"/>
        <v>0</v>
      </c>
      <c r="DQ515" s="46" t="s">
        <v>100</v>
      </c>
      <c r="DR515" s="46">
        <f t="shared" si="360"/>
        <v>0</v>
      </c>
      <c r="DS515" s="50"/>
      <c r="DT515" s="46">
        <f>75%*DP515</f>
        <v>0</v>
      </c>
      <c r="DU515" s="46"/>
      <c r="DV515" s="46">
        <f t="shared" si="375"/>
        <v>0</v>
      </c>
      <c r="DW515" s="46"/>
      <c r="DX515" s="47">
        <f t="shared" si="377"/>
        <v>0</v>
      </c>
      <c r="DY515" s="46"/>
      <c r="DZ515" s="46"/>
      <c r="EA515" s="46"/>
      <c r="EB515" s="46"/>
      <c r="EC515" s="46"/>
      <c r="ED515" s="46"/>
      <c r="EE515" s="47">
        <f t="shared" si="369"/>
        <v>0</v>
      </c>
      <c r="EF515" s="46"/>
      <c r="EG515" s="46"/>
      <c r="EH515" s="46"/>
      <c r="EI515" s="46"/>
      <c r="EJ515" s="46"/>
      <c r="EK515" s="47">
        <f t="shared" si="363"/>
        <v>0</v>
      </c>
      <c r="EL515" s="46">
        <f t="shared" si="364"/>
        <v>0</v>
      </c>
      <c r="EM515" s="46"/>
      <c r="EN515" s="61">
        <f t="shared" si="365"/>
        <v>0</v>
      </c>
    </row>
    <row r="516" spans="1:148" s="48" customFormat="1" ht="15.75" customHeight="1" x14ac:dyDescent="0.25">
      <c r="A516" s="58"/>
      <c r="B516" s="41">
        <v>35</v>
      </c>
      <c r="C516" s="42"/>
      <c r="D516" s="59"/>
      <c r="E516" s="52"/>
      <c r="F516" s="49"/>
      <c r="G516" s="49"/>
      <c r="H516" s="49"/>
      <c r="I516" s="49"/>
      <c r="J516" s="49"/>
      <c r="K516" s="49"/>
      <c r="L516" s="49"/>
      <c r="M516" s="42"/>
      <c r="N516" s="41"/>
      <c r="O516" s="41"/>
      <c r="P516" s="42"/>
      <c r="Q516" s="45"/>
      <c r="R516" s="45"/>
      <c r="S516" s="42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7">
        <f t="shared" si="335"/>
        <v>0</v>
      </c>
      <c r="AO516" s="46">
        <f t="shared" si="336"/>
        <v>0</v>
      </c>
      <c r="AP516" s="46" t="s">
        <v>104</v>
      </c>
      <c r="AQ516" s="46">
        <f t="shared" si="378"/>
        <v>0</v>
      </c>
      <c r="AR516" s="46"/>
      <c r="AS516" s="46"/>
      <c r="AT516" s="46"/>
      <c r="AU516" s="47">
        <f t="shared" si="347"/>
        <v>0</v>
      </c>
      <c r="AV516" s="46"/>
      <c r="AW516" s="47">
        <f>AQ516+AU516+AV516+AR516</f>
        <v>0</v>
      </c>
      <c r="AX516" s="46"/>
      <c r="AY516" s="46"/>
      <c r="AZ516" s="46"/>
      <c r="BA516" s="46"/>
      <c r="BB516" s="46"/>
      <c r="BC516" s="47">
        <f t="shared" si="349"/>
        <v>0</v>
      </c>
      <c r="BD516" s="46"/>
      <c r="BE516" s="47">
        <f t="shared" si="350"/>
        <v>0</v>
      </c>
      <c r="BF516" s="46"/>
      <c r="BG516" s="46"/>
      <c r="BH516" s="46"/>
      <c r="BI516" s="46"/>
      <c r="BJ516" s="46"/>
      <c r="BK516" s="47">
        <f>+BI516*BJ516</f>
        <v>0</v>
      </c>
      <c r="BL516" s="46"/>
      <c r="BM516" s="46">
        <f t="shared" si="376"/>
        <v>0</v>
      </c>
      <c r="BN516" s="46"/>
      <c r="BO516" s="46"/>
      <c r="BP516" s="46"/>
      <c r="BQ516" s="46"/>
      <c r="BR516" s="46"/>
      <c r="BS516" s="47">
        <f>+BQ516*BR516</f>
        <v>0</v>
      </c>
      <c r="BT516" s="46"/>
      <c r="BU516" s="47">
        <f>+BO516+BP516+BS516+BT516</f>
        <v>0</v>
      </c>
      <c r="BV516" s="46"/>
      <c r="BW516" s="46"/>
      <c r="BX516" s="46"/>
      <c r="BY516" s="46"/>
      <c r="BZ516" s="46"/>
      <c r="CA516" s="47">
        <f>+BY516*BZ516</f>
        <v>0</v>
      </c>
      <c r="CB516" s="46"/>
      <c r="CC516" s="47">
        <f>+BW516+BX516+CA516+CB516</f>
        <v>0</v>
      </c>
      <c r="CD516" s="46"/>
      <c r="CE516" s="46"/>
      <c r="CF516" s="46"/>
      <c r="CG516" s="46"/>
      <c r="CH516" s="46"/>
      <c r="CI516" s="47">
        <f>+CG516*CH516</f>
        <v>0</v>
      </c>
      <c r="CJ516" s="46"/>
      <c r="CK516" s="47">
        <f>+CE516+CF516+CI516+CJ516</f>
        <v>0</v>
      </c>
      <c r="CL516" s="46"/>
      <c r="CM516" s="46"/>
      <c r="CN516" s="46"/>
      <c r="CO516" s="46"/>
      <c r="CP516" s="46">
        <f>CN516*CO516</f>
        <v>0</v>
      </c>
      <c r="CQ516" s="46"/>
      <c r="CR516" s="47">
        <f t="shared" si="352"/>
        <v>0</v>
      </c>
      <c r="CS516" s="46"/>
      <c r="CT516" s="46"/>
      <c r="CU516" s="46"/>
      <c r="CV516" s="46"/>
      <c r="CW516" s="47">
        <f t="shared" si="353"/>
        <v>0</v>
      </c>
      <c r="CX516" s="46"/>
      <c r="CY516" s="47">
        <f t="shared" si="354"/>
        <v>0</v>
      </c>
      <c r="CZ516" s="46"/>
      <c r="DA516" s="46"/>
      <c r="DB516" s="46"/>
      <c r="DC516" s="46"/>
      <c r="DD516" s="47">
        <f t="shared" si="372"/>
        <v>0</v>
      </c>
      <c r="DE516" s="46"/>
      <c r="DF516" s="46">
        <f t="shared" si="373"/>
        <v>0</v>
      </c>
      <c r="DG516" s="46"/>
      <c r="DH516" s="46">
        <f t="shared" si="357"/>
        <v>0</v>
      </c>
      <c r="DI516" s="46"/>
      <c r="DJ516" s="46"/>
      <c r="DK516" s="47">
        <f t="shared" si="367"/>
        <v>0</v>
      </c>
      <c r="DL516" s="47">
        <f t="shared" si="358"/>
        <v>0</v>
      </c>
      <c r="DM516" s="46"/>
      <c r="DN516" s="46">
        <f t="shared" si="359"/>
        <v>0</v>
      </c>
      <c r="DO516" s="46"/>
      <c r="DP516" s="46">
        <f t="shared" si="379"/>
        <v>0</v>
      </c>
      <c r="DQ516" s="46" t="s">
        <v>100</v>
      </c>
      <c r="DR516" s="46">
        <f t="shared" si="360"/>
        <v>0</v>
      </c>
      <c r="DS516" s="50"/>
      <c r="DT516" s="46">
        <f>75%*DP516</f>
        <v>0</v>
      </c>
      <c r="DU516" s="46"/>
      <c r="DV516" s="46">
        <f t="shared" si="375"/>
        <v>0</v>
      </c>
      <c r="DW516" s="46"/>
      <c r="DX516" s="47">
        <f t="shared" si="377"/>
        <v>0</v>
      </c>
      <c r="DY516" s="46"/>
      <c r="DZ516" s="46"/>
      <c r="EA516" s="46"/>
      <c r="EB516" s="46"/>
      <c r="EC516" s="46"/>
      <c r="ED516" s="46"/>
      <c r="EE516" s="47">
        <f t="shared" si="369"/>
        <v>0</v>
      </c>
      <c r="EF516" s="46"/>
      <c r="EG516" s="46"/>
      <c r="EH516" s="46"/>
      <c r="EI516" s="46"/>
      <c r="EJ516" s="46"/>
      <c r="EK516" s="47">
        <f t="shared" si="363"/>
        <v>0</v>
      </c>
      <c r="EL516" s="46">
        <f t="shared" si="364"/>
        <v>0</v>
      </c>
      <c r="EM516" s="46"/>
      <c r="EN516" s="46">
        <f t="shared" si="365"/>
        <v>0</v>
      </c>
      <c r="EQ516" s="48">
        <v>0</v>
      </c>
      <c r="ER516" s="48" t="s">
        <v>140</v>
      </c>
    </row>
    <row r="517" spans="1:148" s="51" customFormat="1" ht="15" customHeight="1" x14ac:dyDescent="0.25">
      <c r="B517" s="41">
        <v>36</v>
      </c>
      <c r="C517" s="52"/>
      <c r="D517" s="53"/>
      <c r="E517" s="52"/>
      <c r="F517" s="52"/>
      <c r="G517" s="52"/>
      <c r="H517" s="52"/>
      <c r="I517" s="52"/>
      <c r="J517" s="52"/>
      <c r="K517" s="52"/>
      <c r="L517" s="52"/>
      <c r="M517" s="52"/>
      <c r="N517" s="54"/>
      <c r="O517" s="41"/>
      <c r="P517" s="52"/>
      <c r="Q517" s="55"/>
      <c r="R517" s="55"/>
      <c r="S517" s="55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60">
        <f t="shared" ref="AN517:AN580" si="380">+X517+Y517+Z517+AA517+AB517+AC517+AD517+AE517+AF517+AG517+AH517+AI517+AJ517+AL517+AM517</f>
        <v>0</v>
      </c>
      <c r="AO517" s="57">
        <f t="shared" ref="AO517:AO580" si="381">+T517-AN517</f>
        <v>0</v>
      </c>
      <c r="AP517" s="56" t="s">
        <v>135</v>
      </c>
      <c r="AQ517" s="46">
        <f t="shared" si="378"/>
        <v>0</v>
      </c>
      <c r="AR517" s="56"/>
      <c r="AS517" s="56"/>
      <c r="AT517" s="56"/>
      <c r="AU517" s="60">
        <f t="shared" si="347"/>
        <v>0</v>
      </c>
      <c r="AV517" s="56"/>
      <c r="AW517" s="47">
        <f t="shared" ref="AW517:AW522" si="382">AQ517+AR517+AU517+AV517</f>
        <v>0</v>
      </c>
      <c r="AX517" s="56"/>
      <c r="AY517" s="56"/>
      <c r="AZ517" s="56"/>
      <c r="BA517" s="56"/>
      <c r="BB517" s="56"/>
      <c r="BC517" s="47">
        <f t="shared" si="349"/>
        <v>0</v>
      </c>
      <c r="BD517" s="56"/>
      <c r="BE517" s="47">
        <f t="shared" si="350"/>
        <v>0</v>
      </c>
      <c r="BF517" s="56"/>
      <c r="BG517" s="56"/>
      <c r="BH517" s="56"/>
      <c r="BI517" s="56"/>
      <c r="BJ517" s="56"/>
      <c r="BK517" s="56"/>
      <c r="BL517" s="56"/>
      <c r="BM517" s="46">
        <f t="shared" si="376"/>
        <v>0</v>
      </c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  <c r="CL517" s="56"/>
      <c r="CM517" s="56"/>
      <c r="CN517" s="56"/>
      <c r="CO517" s="56"/>
      <c r="CP517" s="57"/>
      <c r="CQ517" s="56"/>
      <c r="CR517" s="47">
        <f t="shared" si="352"/>
        <v>0</v>
      </c>
      <c r="CS517" s="56"/>
      <c r="CT517" s="56"/>
      <c r="CU517" s="47"/>
      <c r="CV517" s="47"/>
      <c r="CW517" s="47">
        <f t="shared" si="353"/>
        <v>0</v>
      </c>
      <c r="CX517" s="46"/>
      <c r="CY517" s="47">
        <f t="shared" si="354"/>
        <v>0</v>
      </c>
      <c r="CZ517" s="56"/>
      <c r="DA517" s="56"/>
      <c r="DB517" s="56"/>
      <c r="DC517" s="56"/>
      <c r="DD517" s="47">
        <f t="shared" si="372"/>
        <v>0</v>
      </c>
      <c r="DE517" s="56"/>
      <c r="DF517" s="46">
        <f t="shared" si="373"/>
        <v>0</v>
      </c>
      <c r="DG517" s="56"/>
      <c r="DH517" s="57">
        <f t="shared" si="357"/>
        <v>0</v>
      </c>
      <c r="DI517" s="56"/>
      <c r="DJ517" s="56"/>
      <c r="DK517" s="47">
        <f t="shared" si="367"/>
        <v>0</v>
      </c>
      <c r="DL517" s="47">
        <f t="shared" si="358"/>
        <v>0</v>
      </c>
      <c r="DM517" s="56"/>
      <c r="DN517" s="46">
        <f t="shared" si="359"/>
        <v>0</v>
      </c>
      <c r="DO517" s="56"/>
      <c r="DP517" s="46">
        <f t="shared" si="379"/>
        <v>0</v>
      </c>
      <c r="DQ517" s="56" t="s">
        <v>99</v>
      </c>
      <c r="DR517" s="46">
        <f t="shared" si="360"/>
        <v>0</v>
      </c>
      <c r="DS517" s="56"/>
      <c r="DT517" s="46">
        <f t="shared" ref="DT517:DT522" si="383">75%*DR517</f>
        <v>0</v>
      </c>
      <c r="DU517" s="56"/>
      <c r="DV517" s="46">
        <f t="shared" si="375"/>
        <v>0</v>
      </c>
      <c r="DW517" s="56"/>
      <c r="DX517" s="47">
        <f t="shared" si="377"/>
        <v>0</v>
      </c>
      <c r="DY517" s="56"/>
      <c r="DZ517" s="56"/>
      <c r="EA517" s="56"/>
      <c r="EB517" s="56"/>
      <c r="EC517" s="56"/>
      <c r="ED517" s="56"/>
      <c r="EE517" s="47">
        <f t="shared" si="369"/>
        <v>0</v>
      </c>
      <c r="EF517" s="56"/>
      <c r="EG517" s="56"/>
      <c r="EH517" s="56"/>
      <c r="EI517" s="56"/>
      <c r="EJ517" s="56"/>
      <c r="EK517" s="47">
        <f t="shared" si="363"/>
        <v>0</v>
      </c>
      <c r="EL517" s="46">
        <f t="shared" si="364"/>
        <v>0</v>
      </c>
      <c r="EM517" s="56"/>
      <c r="EN517" s="61">
        <f t="shared" si="365"/>
        <v>0</v>
      </c>
    </row>
    <row r="518" spans="1:148" s="51" customFormat="1" ht="15" customHeight="1" x14ac:dyDescent="0.25">
      <c r="B518" s="41">
        <v>37</v>
      </c>
      <c r="C518" s="52"/>
      <c r="D518" s="53"/>
      <c r="E518" s="52"/>
      <c r="F518" s="52"/>
      <c r="G518" s="52"/>
      <c r="H518" s="52"/>
      <c r="I518" s="52"/>
      <c r="J518" s="52"/>
      <c r="K518" s="52"/>
      <c r="L518" s="52"/>
      <c r="M518" s="52"/>
      <c r="N518" s="54"/>
      <c r="O518" s="54"/>
      <c r="P518" s="52"/>
      <c r="Q518" s="55"/>
      <c r="R518" s="55"/>
      <c r="S518" s="55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60">
        <f t="shared" si="380"/>
        <v>0</v>
      </c>
      <c r="AO518" s="57">
        <f t="shared" si="381"/>
        <v>0</v>
      </c>
      <c r="AP518" s="56" t="s">
        <v>135</v>
      </c>
      <c r="AQ518" s="46">
        <f t="shared" si="378"/>
        <v>0</v>
      </c>
      <c r="AR518" s="56"/>
      <c r="AS518" s="56"/>
      <c r="AT518" s="56"/>
      <c r="AU518" s="60">
        <f t="shared" si="347"/>
        <v>0</v>
      </c>
      <c r="AV518" s="56"/>
      <c r="AW518" s="47">
        <f t="shared" si="382"/>
        <v>0</v>
      </c>
      <c r="AX518" s="56"/>
      <c r="AY518" s="56"/>
      <c r="AZ518" s="56"/>
      <c r="BA518" s="56"/>
      <c r="BB518" s="56"/>
      <c r="BC518" s="47">
        <f t="shared" si="349"/>
        <v>0</v>
      </c>
      <c r="BD518" s="56"/>
      <c r="BE518" s="47">
        <f t="shared" si="350"/>
        <v>0</v>
      </c>
      <c r="BF518" s="56"/>
      <c r="BG518" s="56"/>
      <c r="BH518" s="56"/>
      <c r="BI518" s="56"/>
      <c r="BJ518" s="56"/>
      <c r="BK518" s="56"/>
      <c r="BL518" s="56"/>
      <c r="BM518" s="46">
        <f t="shared" si="376"/>
        <v>0</v>
      </c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  <c r="CL518" s="56"/>
      <c r="CM518" s="56"/>
      <c r="CN518" s="56"/>
      <c r="CO518" s="56"/>
      <c r="CP518" s="57"/>
      <c r="CQ518" s="56"/>
      <c r="CR518" s="47">
        <f t="shared" si="352"/>
        <v>0</v>
      </c>
      <c r="CS518" s="56"/>
      <c r="CT518" s="56"/>
      <c r="CU518" s="56"/>
      <c r="CV518" s="56"/>
      <c r="CW518" s="47"/>
      <c r="CX518" s="46"/>
      <c r="CY518" s="47">
        <f t="shared" si="354"/>
        <v>0</v>
      </c>
      <c r="CZ518" s="56"/>
      <c r="DA518" s="56"/>
      <c r="DB518" s="56"/>
      <c r="DC518" s="56"/>
      <c r="DD518" s="47">
        <f t="shared" si="372"/>
        <v>0</v>
      </c>
      <c r="DE518" s="56"/>
      <c r="DF518" s="46">
        <f t="shared" si="373"/>
        <v>0</v>
      </c>
      <c r="DG518" s="56"/>
      <c r="DH518" s="57">
        <f t="shared" si="357"/>
        <v>0</v>
      </c>
      <c r="DI518" s="56"/>
      <c r="DJ518" s="56"/>
      <c r="DK518" s="47">
        <f t="shared" si="367"/>
        <v>0</v>
      </c>
      <c r="DL518" s="47">
        <f t="shared" si="358"/>
        <v>0</v>
      </c>
      <c r="DM518" s="56"/>
      <c r="DN518" s="46">
        <f t="shared" si="359"/>
        <v>0</v>
      </c>
      <c r="DO518" s="56"/>
      <c r="DP518" s="46">
        <f t="shared" si="379"/>
        <v>0</v>
      </c>
      <c r="DQ518" s="56" t="s">
        <v>100</v>
      </c>
      <c r="DR518" s="46">
        <f t="shared" si="360"/>
        <v>0</v>
      </c>
      <c r="DS518" s="56"/>
      <c r="DT518" s="46">
        <f t="shared" si="383"/>
        <v>0</v>
      </c>
      <c r="DU518" s="56"/>
      <c r="DV518" s="46">
        <f t="shared" si="375"/>
        <v>0</v>
      </c>
      <c r="DW518" s="56"/>
      <c r="DX518" s="47">
        <f t="shared" si="377"/>
        <v>0</v>
      </c>
      <c r="DY518" s="56"/>
      <c r="DZ518" s="56"/>
      <c r="EA518" s="56"/>
      <c r="EB518" s="56"/>
      <c r="EC518" s="56"/>
      <c r="ED518" s="56"/>
      <c r="EE518" s="47">
        <f t="shared" si="369"/>
        <v>0</v>
      </c>
      <c r="EF518" s="56"/>
      <c r="EG518" s="56"/>
      <c r="EH518" s="56"/>
      <c r="EI518" s="56"/>
      <c r="EJ518" s="56"/>
      <c r="EK518" s="47">
        <f t="shared" si="363"/>
        <v>0</v>
      </c>
      <c r="EL518" s="46">
        <f t="shared" si="364"/>
        <v>0</v>
      </c>
      <c r="EM518" s="56"/>
      <c r="EN518" s="61">
        <f t="shared" si="365"/>
        <v>0</v>
      </c>
    </row>
    <row r="519" spans="1:148" s="51" customFormat="1" ht="15" customHeight="1" x14ac:dyDescent="0.25">
      <c r="B519" s="41">
        <v>38</v>
      </c>
      <c r="C519" s="52"/>
      <c r="D519" s="53"/>
      <c r="E519" s="52"/>
      <c r="F519" s="52"/>
      <c r="G519" s="52"/>
      <c r="H519" s="52"/>
      <c r="I519" s="52"/>
      <c r="J519" s="52"/>
      <c r="K519" s="52"/>
      <c r="L519" s="52"/>
      <c r="M519" s="52"/>
      <c r="N519" s="54"/>
      <c r="O519" s="54"/>
      <c r="P519" s="52"/>
      <c r="Q519" s="55"/>
      <c r="R519" s="55"/>
      <c r="S519" s="55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60">
        <f t="shared" si="380"/>
        <v>0</v>
      </c>
      <c r="AO519" s="57">
        <f t="shared" si="381"/>
        <v>0</v>
      </c>
      <c r="AP519" s="56" t="s">
        <v>135</v>
      </c>
      <c r="AQ519" s="46">
        <f t="shared" si="378"/>
        <v>0</v>
      </c>
      <c r="AR519" s="56"/>
      <c r="AS519" s="56"/>
      <c r="AT519" s="56"/>
      <c r="AU519" s="60">
        <f t="shared" si="347"/>
        <v>0</v>
      </c>
      <c r="AV519" s="56"/>
      <c r="AW519" s="47">
        <f t="shared" si="382"/>
        <v>0</v>
      </c>
      <c r="AX519" s="56"/>
      <c r="AY519" s="56"/>
      <c r="AZ519" s="56"/>
      <c r="BA519" s="56"/>
      <c r="BB519" s="56"/>
      <c r="BC519" s="47">
        <f t="shared" si="349"/>
        <v>0</v>
      </c>
      <c r="BD519" s="56"/>
      <c r="BE519" s="47">
        <f t="shared" si="350"/>
        <v>0</v>
      </c>
      <c r="BF519" s="56"/>
      <c r="BG519" s="56"/>
      <c r="BH519" s="56"/>
      <c r="BI519" s="56"/>
      <c r="BJ519" s="56"/>
      <c r="BK519" s="56"/>
      <c r="BL519" s="56"/>
      <c r="BM519" s="46">
        <f t="shared" si="376"/>
        <v>0</v>
      </c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56"/>
      <c r="CP519" s="57"/>
      <c r="CQ519" s="56"/>
      <c r="CR519" s="47">
        <f t="shared" si="352"/>
        <v>0</v>
      </c>
      <c r="CS519" s="56"/>
      <c r="CT519" s="56"/>
      <c r="CU519" s="56"/>
      <c r="CV519" s="56"/>
      <c r="CW519" s="47">
        <f t="shared" ref="CW519:CW582" si="384">CU519*CV519</f>
        <v>0</v>
      </c>
      <c r="CX519" s="46"/>
      <c r="CY519" s="47">
        <f t="shared" si="354"/>
        <v>0</v>
      </c>
      <c r="CZ519" s="56"/>
      <c r="DA519" s="56"/>
      <c r="DB519" s="56"/>
      <c r="DC519" s="56"/>
      <c r="DD519" s="47">
        <f t="shared" si="372"/>
        <v>0</v>
      </c>
      <c r="DE519" s="56"/>
      <c r="DF519" s="46">
        <f t="shared" si="373"/>
        <v>0</v>
      </c>
      <c r="DG519" s="56"/>
      <c r="DH519" s="57">
        <f t="shared" si="357"/>
        <v>0</v>
      </c>
      <c r="DI519" s="56"/>
      <c r="DJ519" s="56"/>
      <c r="DK519" s="47">
        <f t="shared" si="367"/>
        <v>0</v>
      </c>
      <c r="DL519" s="47">
        <f t="shared" si="358"/>
        <v>0</v>
      </c>
      <c r="DM519" s="56"/>
      <c r="DN519" s="46">
        <f t="shared" si="359"/>
        <v>0</v>
      </c>
      <c r="DO519" s="56"/>
      <c r="DP519" s="46">
        <f t="shared" si="379"/>
        <v>0</v>
      </c>
      <c r="DQ519" s="56" t="s">
        <v>99</v>
      </c>
      <c r="DR519" s="46">
        <f t="shared" si="360"/>
        <v>0</v>
      </c>
      <c r="DS519" s="56"/>
      <c r="DT519" s="46">
        <f t="shared" si="383"/>
        <v>0</v>
      </c>
      <c r="DU519" s="56"/>
      <c r="DV519" s="46">
        <f t="shared" si="375"/>
        <v>0</v>
      </c>
      <c r="DW519" s="46"/>
      <c r="DX519" s="47">
        <f t="shared" si="377"/>
        <v>0</v>
      </c>
      <c r="DY519" s="56"/>
      <c r="DZ519" s="56"/>
      <c r="EA519" s="56"/>
      <c r="EB519" s="56"/>
      <c r="EC519" s="56"/>
      <c r="ED519" s="56"/>
      <c r="EE519" s="47">
        <f t="shared" si="369"/>
        <v>0</v>
      </c>
      <c r="EF519" s="56"/>
      <c r="EG519" s="56"/>
      <c r="EH519" s="56"/>
      <c r="EI519" s="56"/>
      <c r="EJ519" s="56"/>
      <c r="EK519" s="47">
        <f t="shared" si="363"/>
        <v>0</v>
      </c>
      <c r="EL519" s="46">
        <f t="shared" si="364"/>
        <v>0</v>
      </c>
      <c r="EM519" s="56"/>
      <c r="EN519" s="61">
        <f t="shared" si="365"/>
        <v>0</v>
      </c>
    </row>
    <row r="520" spans="1:148" s="51" customFormat="1" ht="15" customHeight="1" x14ac:dyDescent="0.25">
      <c r="B520" s="41">
        <v>40</v>
      </c>
      <c r="C520" s="52"/>
      <c r="D520" s="53"/>
      <c r="E520" s="52"/>
      <c r="F520" s="52"/>
      <c r="G520" s="52"/>
      <c r="H520" s="52"/>
      <c r="I520" s="52"/>
      <c r="J520" s="52"/>
      <c r="K520" s="52"/>
      <c r="L520" s="52"/>
      <c r="M520" s="52"/>
      <c r="N520" s="54"/>
      <c r="O520" s="54"/>
      <c r="P520" s="52"/>
      <c r="Q520" s="55"/>
      <c r="R520" s="55"/>
      <c r="S520" s="55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60">
        <f t="shared" si="380"/>
        <v>0</v>
      </c>
      <c r="AO520" s="57">
        <f t="shared" si="381"/>
        <v>0</v>
      </c>
      <c r="AP520" s="56" t="s">
        <v>135</v>
      </c>
      <c r="AQ520" s="46">
        <f t="shared" si="378"/>
        <v>0</v>
      </c>
      <c r="AR520" s="56"/>
      <c r="AS520" s="56"/>
      <c r="AT520" s="56"/>
      <c r="AU520" s="60">
        <f t="shared" si="347"/>
        <v>0</v>
      </c>
      <c r="AV520" s="56"/>
      <c r="AW520" s="47">
        <f t="shared" si="382"/>
        <v>0</v>
      </c>
      <c r="AX520" s="56"/>
      <c r="AY520" s="56"/>
      <c r="AZ520" s="56"/>
      <c r="BA520" s="56"/>
      <c r="BB520" s="56"/>
      <c r="BC520" s="47">
        <f t="shared" si="349"/>
        <v>0</v>
      </c>
      <c r="BD520" s="56"/>
      <c r="BE520" s="47">
        <f t="shared" si="350"/>
        <v>0</v>
      </c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56"/>
      <c r="CP520" s="57"/>
      <c r="CQ520" s="56"/>
      <c r="CR520" s="47">
        <f t="shared" si="352"/>
        <v>0</v>
      </c>
      <c r="CS520" s="56"/>
      <c r="CT520" s="56"/>
      <c r="CU520" s="56"/>
      <c r="CV520" s="56"/>
      <c r="CW520" s="47">
        <f t="shared" si="384"/>
        <v>0</v>
      </c>
      <c r="CX520" s="46"/>
      <c r="CY520" s="47">
        <f t="shared" si="354"/>
        <v>0</v>
      </c>
      <c r="CZ520" s="56"/>
      <c r="DA520" s="56"/>
      <c r="DB520" s="56"/>
      <c r="DC520" s="56"/>
      <c r="DD520" s="47">
        <f t="shared" si="372"/>
        <v>0</v>
      </c>
      <c r="DE520" s="56"/>
      <c r="DF520" s="46">
        <f t="shared" si="373"/>
        <v>0</v>
      </c>
      <c r="DG520" s="56"/>
      <c r="DH520" s="57">
        <f t="shared" si="357"/>
        <v>0</v>
      </c>
      <c r="DI520" s="56"/>
      <c r="DJ520" s="56"/>
      <c r="DK520" s="47">
        <f t="shared" si="367"/>
        <v>0</v>
      </c>
      <c r="DL520" s="47">
        <f t="shared" si="358"/>
        <v>0</v>
      </c>
      <c r="DM520" s="56"/>
      <c r="DN520" s="46">
        <f t="shared" si="359"/>
        <v>0</v>
      </c>
      <c r="DO520" s="56"/>
      <c r="DP520" s="46">
        <f t="shared" si="379"/>
        <v>0</v>
      </c>
      <c r="DQ520" s="56" t="s">
        <v>99</v>
      </c>
      <c r="DR520" s="46">
        <f t="shared" si="360"/>
        <v>0</v>
      </c>
      <c r="DS520" s="56"/>
      <c r="DT520" s="46">
        <f t="shared" si="383"/>
        <v>0</v>
      </c>
      <c r="DU520" s="56"/>
      <c r="DV520" s="46">
        <f t="shared" si="375"/>
        <v>0</v>
      </c>
      <c r="DW520" s="56"/>
      <c r="DX520" s="47">
        <f t="shared" si="377"/>
        <v>0</v>
      </c>
      <c r="DY520" s="56"/>
      <c r="DZ520" s="56"/>
      <c r="EA520" s="56"/>
      <c r="EB520" s="56"/>
      <c r="EC520" s="56"/>
      <c r="ED520" s="56"/>
      <c r="EE520" s="47">
        <f t="shared" si="369"/>
        <v>0</v>
      </c>
      <c r="EF520" s="56"/>
      <c r="EG520" s="56"/>
      <c r="EH520" s="56"/>
      <c r="EI520" s="56"/>
      <c r="EJ520" s="56"/>
      <c r="EK520" s="47">
        <f t="shared" si="363"/>
        <v>0</v>
      </c>
      <c r="EL520" s="46">
        <f t="shared" si="364"/>
        <v>0</v>
      </c>
      <c r="EM520" s="56"/>
      <c r="EN520" s="61">
        <f t="shared" si="365"/>
        <v>0</v>
      </c>
    </row>
    <row r="521" spans="1:148" s="51" customFormat="1" ht="15" customHeight="1" x14ac:dyDescent="0.25">
      <c r="B521" s="41">
        <v>41</v>
      </c>
      <c r="C521" s="52"/>
      <c r="D521" s="53"/>
      <c r="E521" s="52"/>
      <c r="F521" s="52"/>
      <c r="G521" s="52"/>
      <c r="H521" s="52"/>
      <c r="I521" s="52"/>
      <c r="J521" s="52"/>
      <c r="K521" s="52"/>
      <c r="L521" s="52"/>
      <c r="M521" s="52"/>
      <c r="N521" s="54"/>
      <c r="O521" s="54"/>
      <c r="P521" s="52"/>
      <c r="Q521" s="55"/>
      <c r="R521" s="55"/>
      <c r="S521" s="55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60">
        <f t="shared" si="380"/>
        <v>0</v>
      </c>
      <c r="AO521" s="57">
        <f t="shared" si="381"/>
        <v>0</v>
      </c>
      <c r="AP521" s="56" t="s">
        <v>135</v>
      </c>
      <c r="AQ521" s="46">
        <f t="shared" si="378"/>
        <v>0</v>
      </c>
      <c r="AR521" s="56"/>
      <c r="AS521" s="56"/>
      <c r="AT521" s="56"/>
      <c r="AU521" s="60">
        <f t="shared" si="347"/>
        <v>0</v>
      </c>
      <c r="AV521" s="56"/>
      <c r="AW521" s="47">
        <f t="shared" si="382"/>
        <v>0</v>
      </c>
      <c r="AX521" s="56"/>
      <c r="AY521" s="56"/>
      <c r="AZ521" s="56"/>
      <c r="BA521" s="56"/>
      <c r="BB521" s="56"/>
      <c r="BC521" s="47">
        <f t="shared" si="349"/>
        <v>0</v>
      </c>
      <c r="BD521" s="56"/>
      <c r="BE521" s="47">
        <f t="shared" si="350"/>
        <v>0</v>
      </c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  <c r="CL521" s="56"/>
      <c r="CM521" s="56"/>
      <c r="CN521" s="56"/>
      <c r="CO521" s="56"/>
      <c r="CP521" s="57"/>
      <c r="CQ521" s="56"/>
      <c r="CR521" s="47">
        <f t="shared" si="352"/>
        <v>0</v>
      </c>
      <c r="CS521" s="56"/>
      <c r="CT521" s="56"/>
      <c r="CU521" s="56"/>
      <c r="CV521" s="56"/>
      <c r="CW521" s="47">
        <f t="shared" si="384"/>
        <v>0</v>
      </c>
      <c r="CX521" s="46"/>
      <c r="CY521" s="47">
        <f t="shared" si="354"/>
        <v>0</v>
      </c>
      <c r="CZ521" s="56"/>
      <c r="DA521" s="56"/>
      <c r="DB521" s="56"/>
      <c r="DC521" s="56"/>
      <c r="DD521" s="47">
        <f t="shared" si="372"/>
        <v>0</v>
      </c>
      <c r="DE521" s="56"/>
      <c r="DF521" s="46">
        <f t="shared" si="373"/>
        <v>0</v>
      </c>
      <c r="DG521" s="56"/>
      <c r="DH521" s="57">
        <f t="shared" si="357"/>
        <v>0</v>
      </c>
      <c r="DI521" s="56"/>
      <c r="DJ521" s="56"/>
      <c r="DK521" s="47">
        <f t="shared" si="367"/>
        <v>0</v>
      </c>
      <c r="DL521" s="47">
        <f t="shared" si="358"/>
        <v>0</v>
      </c>
      <c r="DM521" s="56"/>
      <c r="DN521" s="46">
        <f t="shared" si="359"/>
        <v>0</v>
      </c>
      <c r="DO521" s="56"/>
      <c r="DP521" s="46">
        <f t="shared" si="379"/>
        <v>0</v>
      </c>
      <c r="DQ521" s="56" t="s">
        <v>100</v>
      </c>
      <c r="DR521" s="46">
        <f t="shared" si="360"/>
        <v>0</v>
      </c>
      <c r="DS521" s="56"/>
      <c r="DT521" s="46">
        <f t="shared" si="383"/>
        <v>0</v>
      </c>
      <c r="DU521" s="56"/>
      <c r="DV521" s="46">
        <f t="shared" si="375"/>
        <v>0</v>
      </c>
      <c r="DW521" s="56"/>
      <c r="DX521" s="47">
        <f t="shared" si="377"/>
        <v>0</v>
      </c>
      <c r="DY521" s="56"/>
      <c r="DZ521" s="56"/>
      <c r="EA521" s="56"/>
      <c r="EB521" s="56"/>
      <c r="EC521" s="56"/>
      <c r="ED521" s="56"/>
      <c r="EE521" s="47">
        <f t="shared" si="369"/>
        <v>0</v>
      </c>
      <c r="EF521" s="56"/>
      <c r="EG521" s="56"/>
      <c r="EH521" s="56"/>
      <c r="EI521" s="56"/>
      <c r="EJ521" s="56"/>
      <c r="EK521" s="47">
        <f t="shared" si="363"/>
        <v>0</v>
      </c>
      <c r="EL521" s="46">
        <f t="shared" si="364"/>
        <v>0</v>
      </c>
      <c r="EM521" s="56"/>
      <c r="EN521" s="61">
        <f t="shared" si="365"/>
        <v>0</v>
      </c>
    </row>
    <row r="522" spans="1:148" s="51" customFormat="1" ht="15" customHeight="1" x14ac:dyDescent="0.25">
      <c r="B522" s="41">
        <v>42</v>
      </c>
      <c r="C522" s="52"/>
      <c r="D522" s="53"/>
      <c r="E522" s="52"/>
      <c r="F522" s="52"/>
      <c r="G522" s="52"/>
      <c r="H522" s="52"/>
      <c r="I522" s="52"/>
      <c r="J522" s="52"/>
      <c r="K522" s="52"/>
      <c r="L522" s="52"/>
      <c r="M522" s="52"/>
      <c r="N522" s="54"/>
      <c r="O522" s="54"/>
      <c r="P522" s="52"/>
      <c r="Q522" s="55"/>
      <c r="R522" s="55"/>
      <c r="S522" s="55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60">
        <f t="shared" si="380"/>
        <v>0</v>
      </c>
      <c r="AO522" s="57">
        <f t="shared" si="381"/>
        <v>0</v>
      </c>
      <c r="AP522" s="56" t="s">
        <v>104</v>
      </c>
      <c r="AQ522" s="46">
        <f t="shared" si="378"/>
        <v>0</v>
      </c>
      <c r="AR522" s="56"/>
      <c r="AS522" s="56"/>
      <c r="AT522" s="56"/>
      <c r="AU522" s="60">
        <f t="shared" si="347"/>
        <v>0</v>
      </c>
      <c r="AV522" s="56"/>
      <c r="AW522" s="47">
        <f t="shared" si="382"/>
        <v>0</v>
      </c>
      <c r="AX522" s="56"/>
      <c r="AY522" s="56"/>
      <c r="AZ522" s="56"/>
      <c r="BA522" s="56"/>
      <c r="BB522" s="56"/>
      <c r="BC522" s="47">
        <f t="shared" si="349"/>
        <v>0</v>
      </c>
      <c r="BD522" s="56"/>
      <c r="BE522" s="47">
        <f t="shared" si="350"/>
        <v>0</v>
      </c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  <c r="CL522" s="56"/>
      <c r="CM522" s="56"/>
      <c r="CN522" s="56"/>
      <c r="CO522" s="56"/>
      <c r="CP522" s="57"/>
      <c r="CQ522" s="56"/>
      <c r="CR522" s="47">
        <f t="shared" si="352"/>
        <v>0</v>
      </c>
      <c r="CS522" s="56"/>
      <c r="CT522" s="56"/>
      <c r="CU522" s="56"/>
      <c r="CV522" s="56"/>
      <c r="CW522" s="47">
        <f t="shared" si="384"/>
        <v>0</v>
      </c>
      <c r="CX522" s="46"/>
      <c r="CY522" s="47">
        <f t="shared" si="354"/>
        <v>0</v>
      </c>
      <c r="CZ522" s="56"/>
      <c r="DA522" s="56"/>
      <c r="DB522" s="56"/>
      <c r="DC522" s="56"/>
      <c r="DD522" s="47">
        <f t="shared" si="372"/>
        <v>0</v>
      </c>
      <c r="DE522" s="56"/>
      <c r="DF522" s="46">
        <f t="shared" si="373"/>
        <v>0</v>
      </c>
      <c r="DG522" s="56"/>
      <c r="DH522" s="57">
        <f t="shared" si="357"/>
        <v>0</v>
      </c>
      <c r="DI522" s="56"/>
      <c r="DJ522" s="56"/>
      <c r="DK522" s="47">
        <f t="shared" si="367"/>
        <v>0</v>
      </c>
      <c r="DL522" s="47">
        <f t="shared" si="358"/>
        <v>0</v>
      </c>
      <c r="DM522" s="56"/>
      <c r="DN522" s="46">
        <f t="shared" si="359"/>
        <v>0</v>
      </c>
      <c r="DO522" s="56"/>
      <c r="DP522" s="46">
        <f t="shared" si="379"/>
        <v>0</v>
      </c>
      <c r="DQ522" s="56" t="s">
        <v>99</v>
      </c>
      <c r="DR522" s="46">
        <f t="shared" si="360"/>
        <v>0</v>
      </c>
      <c r="DS522" s="56"/>
      <c r="DT522" s="46">
        <f t="shared" si="383"/>
        <v>0</v>
      </c>
      <c r="DU522" s="56"/>
      <c r="DV522" s="46">
        <f t="shared" si="375"/>
        <v>0</v>
      </c>
      <c r="DW522" s="56"/>
      <c r="DX522" s="47">
        <f t="shared" si="377"/>
        <v>0</v>
      </c>
      <c r="DY522" s="56"/>
      <c r="DZ522" s="56"/>
      <c r="EA522" s="56"/>
      <c r="EB522" s="56"/>
      <c r="EC522" s="56"/>
      <c r="ED522" s="56"/>
      <c r="EE522" s="47">
        <f t="shared" si="369"/>
        <v>0</v>
      </c>
      <c r="EF522" s="56"/>
      <c r="EG522" s="56"/>
      <c r="EH522" s="56"/>
      <c r="EI522" s="56"/>
      <c r="EJ522" s="56"/>
      <c r="EK522" s="47">
        <f t="shared" si="363"/>
        <v>0</v>
      </c>
      <c r="EL522" s="46">
        <f t="shared" si="364"/>
        <v>0</v>
      </c>
      <c r="EM522" s="56"/>
      <c r="EN522" s="61">
        <f t="shared" si="365"/>
        <v>0</v>
      </c>
    </row>
    <row r="523" spans="1:148" s="48" customFormat="1" ht="15" customHeight="1" x14ac:dyDescent="0.25">
      <c r="B523" s="41">
        <v>43</v>
      </c>
      <c r="C523" s="42"/>
      <c r="D523" s="43"/>
      <c r="E523" s="52"/>
      <c r="F523" s="42"/>
      <c r="G523" s="42"/>
      <c r="H523" s="42"/>
      <c r="I523" s="42"/>
      <c r="J523" s="42"/>
      <c r="K523" s="42"/>
      <c r="L523" s="42"/>
      <c r="M523" s="42"/>
      <c r="N523" s="41"/>
      <c r="O523" s="41"/>
      <c r="P523" s="42"/>
      <c r="Q523" s="45"/>
      <c r="R523" s="45"/>
      <c r="S523" s="42"/>
      <c r="T523" s="46"/>
      <c r="U523" s="46"/>
      <c r="V523" s="42"/>
      <c r="W523" s="42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>
        <f t="shared" si="380"/>
        <v>0</v>
      </c>
      <c r="AO523" s="46">
        <f t="shared" si="381"/>
        <v>0</v>
      </c>
      <c r="AP523" s="56" t="s">
        <v>104</v>
      </c>
      <c r="AQ523" s="46">
        <f t="shared" si="378"/>
        <v>0</v>
      </c>
      <c r="AR523" s="46"/>
      <c r="AS523" s="46"/>
      <c r="AT523" s="46"/>
      <c r="AU523" s="47">
        <f t="shared" si="347"/>
        <v>0</v>
      </c>
      <c r="AV523" s="46"/>
      <c r="AW523" s="47">
        <f>AQ523+AU523+AV523</f>
        <v>0</v>
      </c>
      <c r="AX523" s="46"/>
      <c r="AY523" s="46"/>
      <c r="AZ523" s="46"/>
      <c r="BA523" s="46"/>
      <c r="BB523" s="46"/>
      <c r="BC523" s="47">
        <f t="shared" si="349"/>
        <v>0</v>
      </c>
      <c r="BD523" s="46"/>
      <c r="BE523" s="47">
        <f t="shared" si="350"/>
        <v>0</v>
      </c>
      <c r="BF523" s="46"/>
      <c r="BG523" s="46"/>
      <c r="BH523" s="46"/>
      <c r="BI523" s="46"/>
      <c r="BJ523" s="46"/>
      <c r="BK523" s="46">
        <f>BI523*BJ523</f>
        <v>0</v>
      </c>
      <c r="BL523" s="46"/>
      <c r="BM523" s="46">
        <f>BK523</f>
        <v>0</v>
      </c>
      <c r="BN523" s="46"/>
      <c r="BO523" s="46"/>
      <c r="BP523" s="46"/>
      <c r="BQ523" s="46"/>
      <c r="BR523" s="46"/>
      <c r="BS523" s="46">
        <f>BQ523*BR523</f>
        <v>0</v>
      </c>
      <c r="BT523" s="46"/>
      <c r="BU523" s="46">
        <f>BS523</f>
        <v>0</v>
      </c>
      <c r="BV523" s="46"/>
      <c r="BW523" s="46"/>
      <c r="BX523" s="46"/>
      <c r="BY523" s="46"/>
      <c r="BZ523" s="46"/>
      <c r="CA523" s="46">
        <f>BY523*BZ523</f>
        <v>0</v>
      </c>
      <c r="CB523" s="46"/>
      <c r="CC523" s="46">
        <f>CA523</f>
        <v>0</v>
      </c>
      <c r="CD523" s="46"/>
      <c r="CE523" s="46"/>
      <c r="CF523" s="46"/>
      <c r="CG523" s="46"/>
      <c r="CH523" s="46"/>
      <c r="CI523" s="46">
        <f>CG523*CH523</f>
        <v>0</v>
      </c>
      <c r="CJ523" s="46"/>
      <c r="CK523" s="46">
        <f>CI523</f>
        <v>0</v>
      </c>
      <c r="CL523" s="46"/>
      <c r="CM523" s="46"/>
      <c r="CN523" s="46"/>
      <c r="CO523" s="46"/>
      <c r="CP523" s="46"/>
      <c r="CQ523" s="46"/>
      <c r="CR523" s="47">
        <f t="shared" si="352"/>
        <v>0</v>
      </c>
      <c r="CS523" s="46"/>
      <c r="CT523" s="46"/>
      <c r="CU523" s="46"/>
      <c r="CV523" s="46"/>
      <c r="CW523" s="47">
        <f t="shared" si="384"/>
        <v>0</v>
      </c>
      <c r="CX523" s="46"/>
      <c r="CY523" s="47">
        <f t="shared" si="354"/>
        <v>0</v>
      </c>
      <c r="CZ523" s="46"/>
      <c r="DA523" s="46"/>
      <c r="DB523" s="46"/>
      <c r="DC523" s="46"/>
      <c r="DD523" s="47">
        <f t="shared" si="372"/>
        <v>0</v>
      </c>
      <c r="DE523" s="46"/>
      <c r="DF523" s="46">
        <f t="shared" si="373"/>
        <v>0</v>
      </c>
      <c r="DG523" s="46"/>
      <c r="DH523" s="57">
        <f t="shared" si="357"/>
        <v>0</v>
      </c>
      <c r="DI523" s="46"/>
      <c r="DJ523" s="46"/>
      <c r="DK523" s="47">
        <f t="shared" si="367"/>
        <v>0</v>
      </c>
      <c r="DL523" s="47">
        <f t="shared" si="358"/>
        <v>0</v>
      </c>
      <c r="DM523" s="46"/>
      <c r="DN523" s="46">
        <f t="shared" si="359"/>
        <v>0</v>
      </c>
      <c r="DO523" s="46"/>
      <c r="DP523" s="46">
        <f t="shared" si="379"/>
        <v>0</v>
      </c>
      <c r="DQ523" s="46" t="s">
        <v>100</v>
      </c>
      <c r="DR523" s="46">
        <f t="shared" si="360"/>
        <v>0</v>
      </c>
      <c r="DS523" s="46"/>
      <c r="DT523" s="46">
        <f>75%*DP523</f>
        <v>0</v>
      </c>
      <c r="DU523" s="46"/>
      <c r="DV523" s="46">
        <f t="shared" si="375"/>
        <v>0</v>
      </c>
      <c r="DW523" s="46"/>
      <c r="DX523" s="47">
        <f t="shared" si="377"/>
        <v>0</v>
      </c>
      <c r="DY523" s="46"/>
      <c r="DZ523" s="46"/>
      <c r="EA523" s="46"/>
      <c r="EB523" s="46"/>
      <c r="EC523" s="46"/>
      <c r="ED523" s="46"/>
      <c r="EE523" s="47">
        <f t="shared" si="369"/>
        <v>0</v>
      </c>
      <c r="EF523" s="46"/>
      <c r="EG523" s="46"/>
      <c r="EH523" s="46"/>
      <c r="EI523" s="46"/>
      <c r="EJ523" s="46"/>
      <c r="EK523" s="47">
        <f t="shared" si="363"/>
        <v>0</v>
      </c>
      <c r="EL523" s="46">
        <f t="shared" si="364"/>
        <v>0</v>
      </c>
      <c r="EM523" s="46"/>
      <c r="EN523" s="46">
        <f t="shared" si="365"/>
        <v>0</v>
      </c>
    </row>
    <row r="524" spans="1:148" s="51" customFormat="1" ht="15" customHeight="1" x14ac:dyDescent="0.25">
      <c r="B524" s="41">
        <v>44</v>
      </c>
      <c r="C524" s="52"/>
      <c r="D524" s="53"/>
      <c r="E524" s="52"/>
      <c r="F524" s="52"/>
      <c r="G524" s="52"/>
      <c r="H524" s="52"/>
      <c r="I524" s="52"/>
      <c r="J524" s="52"/>
      <c r="K524" s="52"/>
      <c r="L524" s="52"/>
      <c r="M524" s="52"/>
      <c r="N524" s="54"/>
      <c r="O524" s="54"/>
      <c r="P524" s="52"/>
      <c r="Q524" s="55"/>
      <c r="R524" s="55"/>
      <c r="S524" s="55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60">
        <f t="shared" si="380"/>
        <v>0</v>
      </c>
      <c r="AO524" s="57">
        <f t="shared" si="381"/>
        <v>0</v>
      </c>
      <c r="AP524" s="56" t="s">
        <v>141</v>
      </c>
      <c r="AQ524" s="46">
        <f t="shared" si="378"/>
        <v>0</v>
      </c>
      <c r="AR524" s="56"/>
      <c r="AS524" s="56"/>
      <c r="AT524" s="56"/>
      <c r="AU524" s="60">
        <f t="shared" si="347"/>
        <v>0</v>
      </c>
      <c r="AV524" s="56"/>
      <c r="AW524" s="47">
        <f t="shared" ref="AW524:AW533" si="385">AQ524+AR524+AU524+AV524</f>
        <v>0</v>
      </c>
      <c r="AX524" s="56"/>
      <c r="AY524" s="56"/>
      <c r="AZ524" s="56"/>
      <c r="BA524" s="56"/>
      <c r="BB524" s="56"/>
      <c r="BC524" s="47">
        <f t="shared" si="349"/>
        <v>0</v>
      </c>
      <c r="BD524" s="56"/>
      <c r="BE524" s="47">
        <f t="shared" si="350"/>
        <v>0</v>
      </c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56"/>
      <c r="CP524" s="57"/>
      <c r="CQ524" s="56"/>
      <c r="CR524" s="47">
        <f t="shared" si="352"/>
        <v>0</v>
      </c>
      <c r="CS524" s="56"/>
      <c r="CT524" s="56"/>
      <c r="CU524" s="56"/>
      <c r="CV524" s="56"/>
      <c r="CW524" s="47">
        <f t="shared" si="384"/>
        <v>0</v>
      </c>
      <c r="CX524" s="46"/>
      <c r="CY524" s="47">
        <f t="shared" si="354"/>
        <v>0</v>
      </c>
      <c r="CZ524" s="56"/>
      <c r="DA524" s="56"/>
      <c r="DB524" s="56"/>
      <c r="DC524" s="56"/>
      <c r="DD524" s="47">
        <f t="shared" si="372"/>
        <v>0</v>
      </c>
      <c r="DE524" s="56"/>
      <c r="DF524" s="46">
        <f t="shared" si="373"/>
        <v>0</v>
      </c>
      <c r="DG524" s="56"/>
      <c r="DH524" s="57">
        <f t="shared" si="357"/>
        <v>0</v>
      </c>
      <c r="DI524" s="56"/>
      <c r="DJ524" s="56"/>
      <c r="DK524" s="47">
        <f t="shared" si="367"/>
        <v>0</v>
      </c>
      <c r="DL524" s="47">
        <f t="shared" si="358"/>
        <v>0</v>
      </c>
      <c r="DM524" s="56"/>
      <c r="DN524" s="46">
        <f t="shared" si="359"/>
        <v>0</v>
      </c>
      <c r="DO524" s="56"/>
      <c r="DP524" s="46">
        <f t="shared" si="379"/>
        <v>0</v>
      </c>
      <c r="DQ524" s="56" t="s">
        <v>100</v>
      </c>
      <c r="DR524" s="46">
        <f t="shared" si="360"/>
        <v>0</v>
      </c>
      <c r="DS524" s="56"/>
      <c r="DT524" s="46">
        <f t="shared" ref="DT524:DT533" si="386">75%*DR524</f>
        <v>0</v>
      </c>
      <c r="DU524" s="56"/>
      <c r="DV524" s="46">
        <f t="shared" si="375"/>
        <v>0</v>
      </c>
      <c r="DW524" s="56"/>
      <c r="DX524" s="47">
        <f t="shared" si="377"/>
        <v>0</v>
      </c>
      <c r="DY524" s="56"/>
      <c r="DZ524" s="56"/>
      <c r="EA524" s="56"/>
      <c r="EB524" s="56"/>
      <c r="EC524" s="56"/>
      <c r="ED524" s="56"/>
      <c r="EE524" s="47">
        <f t="shared" si="369"/>
        <v>0</v>
      </c>
      <c r="EF524" s="56"/>
      <c r="EG524" s="56"/>
      <c r="EH524" s="56"/>
      <c r="EI524" s="56"/>
      <c r="EJ524" s="56"/>
      <c r="EK524" s="47">
        <f t="shared" si="363"/>
        <v>0</v>
      </c>
      <c r="EL524" s="46">
        <f t="shared" si="364"/>
        <v>0</v>
      </c>
      <c r="EM524" s="56"/>
      <c r="EN524" s="61">
        <f t="shared" si="365"/>
        <v>0</v>
      </c>
    </row>
    <row r="525" spans="1:148" s="51" customFormat="1" ht="15" customHeight="1" x14ac:dyDescent="0.25">
      <c r="B525" s="41">
        <v>45</v>
      </c>
      <c r="C525" s="52"/>
      <c r="D525" s="53"/>
      <c r="E525" s="52"/>
      <c r="F525" s="52"/>
      <c r="G525" s="52"/>
      <c r="H525" s="52"/>
      <c r="I525" s="52"/>
      <c r="J525" s="52"/>
      <c r="K525" s="52"/>
      <c r="L525" s="52"/>
      <c r="M525" s="52"/>
      <c r="N525" s="54"/>
      <c r="O525" s="54"/>
      <c r="P525" s="52"/>
      <c r="Q525" s="55"/>
      <c r="R525" s="55"/>
      <c r="S525" s="55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60">
        <f t="shared" si="380"/>
        <v>0</v>
      </c>
      <c r="AO525" s="57">
        <f t="shared" si="381"/>
        <v>0</v>
      </c>
      <c r="AP525" s="56" t="s">
        <v>135</v>
      </c>
      <c r="AQ525" s="46">
        <f t="shared" si="378"/>
        <v>0</v>
      </c>
      <c r="AR525" s="56"/>
      <c r="AS525" s="56"/>
      <c r="AT525" s="56"/>
      <c r="AU525" s="60">
        <f t="shared" si="347"/>
        <v>0</v>
      </c>
      <c r="AV525" s="56"/>
      <c r="AW525" s="47">
        <f t="shared" si="385"/>
        <v>0</v>
      </c>
      <c r="AX525" s="56"/>
      <c r="AY525" s="56"/>
      <c r="AZ525" s="56"/>
      <c r="BA525" s="56"/>
      <c r="BB525" s="56"/>
      <c r="BC525" s="47">
        <f t="shared" si="349"/>
        <v>0</v>
      </c>
      <c r="BD525" s="56"/>
      <c r="BE525" s="47">
        <f t="shared" si="350"/>
        <v>0</v>
      </c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56"/>
      <c r="CP525" s="57"/>
      <c r="CQ525" s="56"/>
      <c r="CR525" s="47">
        <f t="shared" si="352"/>
        <v>0</v>
      </c>
      <c r="CS525" s="56"/>
      <c r="CT525" s="56"/>
      <c r="CU525" s="56"/>
      <c r="CV525" s="56"/>
      <c r="CW525" s="47">
        <f t="shared" si="384"/>
        <v>0</v>
      </c>
      <c r="CX525" s="46"/>
      <c r="CY525" s="47">
        <f t="shared" si="354"/>
        <v>0</v>
      </c>
      <c r="CZ525" s="56"/>
      <c r="DA525" s="56"/>
      <c r="DB525" s="56"/>
      <c r="DC525" s="56"/>
      <c r="DD525" s="47">
        <f t="shared" si="372"/>
        <v>0</v>
      </c>
      <c r="DE525" s="56"/>
      <c r="DF525" s="46">
        <f t="shared" si="373"/>
        <v>0</v>
      </c>
      <c r="DG525" s="56"/>
      <c r="DH525" s="57">
        <f t="shared" si="357"/>
        <v>0</v>
      </c>
      <c r="DI525" s="56"/>
      <c r="DJ525" s="56"/>
      <c r="DK525" s="47">
        <f t="shared" si="367"/>
        <v>0</v>
      </c>
      <c r="DL525" s="47">
        <f t="shared" si="358"/>
        <v>0</v>
      </c>
      <c r="DM525" s="56"/>
      <c r="DN525" s="46">
        <f t="shared" si="359"/>
        <v>0</v>
      </c>
      <c r="DO525" s="56"/>
      <c r="DP525" s="46">
        <f t="shared" si="379"/>
        <v>0</v>
      </c>
      <c r="DQ525" s="56" t="s">
        <v>100</v>
      </c>
      <c r="DR525" s="46">
        <f t="shared" si="360"/>
        <v>0</v>
      </c>
      <c r="DS525" s="56"/>
      <c r="DT525" s="46">
        <f t="shared" si="386"/>
        <v>0</v>
      </c>
      <c r="DU525" s="56"/>
      <c r="DV525" s="46">
        <f t="shared" si="375"/>
        <v>0</v>
      </c>
      <c r="DW525" s="56"/>
      <c r="DX525" s="47">
        <f t="shared" si="377"/>
        <v>0</v>
      </c>
      <c r="DY525" s="56"/>
      <c r="DZ525" s="56"/>
      <c r="EA525" s="56"/>
      <c r="EB525" s="56"/>
      <c r="EC525" s="56"/>
      <c r="ED525" s="56"/>
      <c r="EE525" s="47">
        <f t="shared" si="369"/>
        <v>0</v>
      </c>
      <c r="EF525" s="56"/>
      <c r="EG525" s="56"/>
      <c r="EH525" s="56"/>
      <c r="EI525" s="56"/>
      <c r="EJ525" s="56"/>
      <c r="EK525" s="47">
        <f t="shared" si="363"/>
        <v>0</v>
      </c>
      <c r="EL525" s="46">
        <f t="shared" si="364"/>
        <v>0</v>
      </c>
      <c r="EM525" s="56"/>
      <c r="EN525" s="61">
        <f t="shared" si="365"/>
        <v>0</v>
      </c>
    </row>
    <row r="526" spans="1:148" s="51" customFormat="1" ht="15" customHeight="1" x14ac:dyDescent="0.25">
      <c r="B526" s="41">
        <v>46</v>
      </c>
      <c r="C526" s="52"/>
      <c r="D526" s="53"/>
      <c r="E526" s="52"/>
      <c r="F526" s="52"/>
      <c r="G526" s="52"/>
      <c r="H526" s="52"/>
      <c r="I526" s="52"/>
      <c r="J526" s="52"/>
      <c r="K526" s="52"/>
      <c r="L526" s="52"/>
      <c r="M526" s="52"/>
      <c r="N526" s="54"/>
      <c r="O526" s="54"/>
      <c r="P526" s="52"/>
      <c r="Q526" s="55"/>
      <c r="R526" s="55"/>
      <c r="S526" s="55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60">
        <f t="shared" si="380"/>
        <v>0</v>
      </c>
      <c r="AO526" s="57">
        <f t="shared" si="381"/>
        <v>0</v>
      </c>
      <c r="AP526" s="56" t="s">
        <v>104</v>
      </c>
      <c r="AQ526" s="46">
        <f t="shared" si="378"/>
        <v>0</v>
      </c>
      <c r="AR526" s="56"/>
      <c r="AS526" s="56"/>
      <c r="AT526" s="56"/>
      <c r="AU526" s="60">
        <f t="shared" si="347"/>
        <v>0</v>
      </c>
      <c r="AV526" s="56"/>
      <c r="AW526" s="47">
        <f t="shared" si="385"/>
        <v>0</v>
      </c>
      <c r="AX526" s="56"/>
      <c r="AY526" s="56"/>
      <c r="AZ526" s="56"/>
      <c r="BA526" s="56"/>
      <c r="BB526" s="56"/>
      <c r="BC526" s="47">
        <f t="shared" si="349"/>
        <v>0</v>
      </c>
      <c r="BD526" s="56"/>
      <c r="BE526" s="47">
        <f t="shared" si="350"/>
        <v>0</v>
      </c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  <c r="CL526" s="56"/>
      <c r="CM526" s="56"/>
      <c r="CN526" s="56"/>
      <c r="CO526" s="56"/>
      <c r="CP526" s="57"/>
      <c r="CQ526" s="56"/>
      <c r="CR526" s="47">
        <f t="shared" si="352"/>
        <v>0</v>
      </c>
      <c r="CS526" s="56"/>
      <c r="CT526" s="56"/>
      <c r="CU526" s="56"/>
      <c r="CV526" s="56"/>
      <c r="CW526" s="47">
        <f t="shared" si="384"/>
        <v>0</v>
      </c>
      <c r="CX526" s="46"/>
      <c r="CY526" s="47">
        <f t="shared" si="354"/>
        <v>0</v>
      </c>
      <c r="CZ526" s="56"/>
      <c r="DA526" s="56"/>
      <c r="DB526" s="56"/>
      <c r="DC526" s="56"/>
      <c r="DD526" s="47">
        <f t="shared" si="372"/>
        <v>0</v>
      </c>
      <c r="DE526" s="56"/>
      <c r="DF526" s="46">
        <f t="shared" si="373"/>
        <v>0</v>
      </c>
      <c r="DG526" s="56"/>
      <c r="DH526" s="57">
        <f t="shared" si="357"/>
        <v>0</v>
      </c>
      <c r="DI526" s="56"/>
      <c r="DJ526" s="56"/>
      <c r="DK526" s="47">
        <f t="shared" si="367"/>
        <v>0</v>
      </c>
      <c r="DL526" s="47">
        <f t="shared" si="358"/>
        <v>0</v>
      </c>
      <c r="DM526" s="56"/>
      <c r="DN526" s="46">
        <f t="shared" si="359"/>
        <v>0</v>
      </c>
      <c r="DO526" s="56"/>
      <c r="DP526" s="46">
        <f t="shared" si="379"/>
        <v>0</v>
      </c>
      <c r="DQ526" s="56" t="s">
        <v>99</v>
      </c>
      <c r="DR526" s="46">
        <f t="shared" si="360"/>
        <v>0</v>
      </c>
      <c r="DS526" s="56"/>
      <c r="DT526" s="46">
        <f t="shared" si="386"/>
        <v>0</v>
      </c>
      <c r="DU526" s="56"/>
      <c r="DV526" s="46">
        <f t="shared" si="375"/>
        <v>0</v>
      </c>
      <c r="DW526" s="56"/>
      <c r="DX526" s="47">
        <f t="shared" si="377"/>
        <v>0</v>
      </c>
      <c r="DY526" s="56"/>
      <c r="DZ526" s="56"/>
      <c r="EA526" s="56"/>
      <c r="EB526" s="56"/>
      <c r="EC526" s="56"/>
      <c r="ED526" s="56"/>
      <c r="EE526" s="47">
        <f t="shared" si="369"/>
        <v>0</v>
      </c>
      <c r="EF526" s="56"/>
      <c r="EG526" s="56"/>
      <c r="EH526" s="56"/>
      <c r="EI526" s="56"/>
      <c r="EJ526" s="56"/>
      <c r="EK526" s="47">
        <f t="shared" si="363"/>
        <v>0</v>
      </c>
      <c r="EL526" s="46">
        <f t="shared" si="364"/>
        <v>0</v>
      </c>
      <c r="EM526" s="56"/>
      <c r="EN526" s="61">
        <f t="shared" si="365"/>
        <v>0</v>
      </c>
    </row>
    <row r="527" spans="1:148" s="51" customFormat="1" ht="15" customHeight="1" x14ac:dyDescent="0.25">
      <c r="B527" s="41">
        <v>47</v>
      </c>
      <c r="C527" s="52"/>
      <c r="D527" s="53"/>
      <c r="E527" s="52"/>
      <c r="F527" s="52"/>
      <c r="G527" s="52"/>
      <c r="H527" s="52"/>
      <c r="I527" s="52"/>
      <c r="J527" s="52"/>
      <c r="K527" s="52"/>
      <c r="L527" s="52"/>
      <c r="M527" s="52"/>
      <c r="N527" s="54"/>
      <c r="O527" s="54"/>
      <c r="P527" s="145"/>
      <c r="Q527" s="55"/>
      <c r="R527" s="55"/>
      <c r="S527" s="55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60">
        <f t="shared" si="380"/>
        <v>0</v>
      </c>
      <c r="AO527" s="57">
        <f t="shared" si="381"/>
        <v>0</v>
      </c>
      <c r="AP527" s="56" t="s">
        <v>104</v>
      </c>
      <c r="AQ527" s="46">
        <f t="shared" si="378"/>
        <v>0</v>
      </c>
      <c r="AR527" s="56"/>
      <c r="AS527" s="56"/>
      <c r="AT527" s="56"/>
      <c r="AU527" s="60">
        <f t="shared" si="347"/>
        <v>0</v>
      </c>
      <c r="AV527" s="56"/>
      <c r="AW527" s="47">
        <f t="shared" si="385"/>
        <v>0</v>
      </c>
      <c r="AX527" s="56"/>
      <c r="AY527" s="56"/>
      <c r="AZ527" s="56"/>
      <c r="BA527" s="56"/>
      <c r="BB527" s="56"/>
      <c r="BC527" s="47">
        <f t="shared" si="349"/>
        <v>0</v>
      </c>
      <c r="BD527" s="56"/>
      <c r="BE527" s="47">
        <f t="shared" si="350"/>
        <v>0</v>
      </c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  <c r="CL527" s="56"/>
      <c r="CM527" s="56"/>
      <c r="CN527" s="56"/>
      <c r="CO527" s="56"/>
      <c r="CP527" s="57"/>
      <c r="CQ527" s="56"/>
      <c r="CR527" s="47">
        <f t="shared" si="352"/>
        <v>0</v>
      </c>
      <c r="CS527" s="56"/>
      <c r="CT527" s="56"/>
      <c r="CU527" s="56"/>
      <c r="CV527" s="56"/>
      <c r="CW527" s="47">
        <f t="shared" si="384"/>
        <v>0</v>
      </c>
      <c r="CX527" s="46"/>
      <c r="CY527" s="47">
        <f t="shared" si="354"/>
        <v>0</v>
      </c>
      <c r="CZ527" s="56"/>
      <c r="DA527" s="56"/>
      <c r="DB527" s="56"/>
      <c r="DC527" s="56"/>
      <c r="DD527" s="47">
        <f t="shared" si="372"/>
        <v>0</v>
      </c>
      <c r="DE527" s="56"/>
      <c r="DF527" s="46">
        <f t="shared" si="373"/>
        <v>0</v>
      </c>
      <c r="DG527" s="56"/>
      <c r="DH527" s="57">
        <f t="shared" si="357"/>
        <v>0</v>
      </c>
      <c r="DI527" s="56"/>
      <c r="DJ527" s="56"/>
      <c r="DK527" s="47">
        <f t="shared" si="367"/>
        <v>0</v>
      </c>
      <c r="DL527" s="47">
        <f t="shared" si="358"/>
        <v>0</v>
      </c>
      <c r="DM527" s="56"/>
      <c r="DN527" s="46">
        <f t="shared" si="359"/>
        <v>0</v>
      </c>
      <c r="DO527" s="56"/>
      <c r="DP527" s="46">
        <f t="shared" si="379"/>
        <v>0</v>
      </c>
      <c r="DQ527" s="56" t="s">
        <v>99</v>
      </c>
      <c r="DR527" s="46">
        <f t="shared" si="360"/>
        <v>0</v>
      </c>
      <c r="DS527" s="56"/>
      <c r="DT527" s="46">
        <f t="shared" si="386"/>
        <v>0</v>
      </c>
      <c r="DU527" s="56"/>
      <c r="DV527" s="46">
        <f t="shared" si="375"/>
        <v>0</v>
      </c>
      <c r="DW527" s="56"/>
      <c r="DX527" s="47">
        <f t="shared" si="377"/>
        <v>0</v>
      </c>
      <c r="DY527" s="56"/>
      <c r="DZ527" s="56"/>
      <c r="EA527" s="56"/>
      <c r="EB527" s="56"/>
      <c r="EC527" s="56"/>
      <c r="ED527" s="56"/>
      <c r="EE527" s="47">
        <f t="shared" si="369"/>
        <v>0</v>
      </c>
      <c r="EF527" s="56"/>
      <c r="EG527" s="56"/>
      <c r="EH527" s="56"/>
      <c r="EI527" s="56"/>
      <c r="EJ527" s="56"/>
      <c r="EK527" s="47">
        <f t="shared" si="363"/>
        <v>0</v>
      </c>
      <c r="EL527" s="46">
        <f t="shared" si="364"/>
        <v>0</v>
      </c>
      <c r="EM527" s="56"/>
      <c r="EN527" s="61">
        <f t="shared" si="365"/>
        <v>0</v>
      </c>
    </row>
    <row r="528" spans="1:148" s="51" customFormat="1" x14ac:dyDescent="0.25">
      <c r="B528" s="41">
        <v>48</v>
      </c>
      <c r="C528" s="52"/>
      <c r="D528" s="53"/>
      <c r="E528" s="52"/>
      <c r="F528" s="52"/>
      <c r="G528" s="52"/>
      <c r="H528" s="52"/>
      <c r="I528" s="52"/>
      <c r="J528" s="52"/>
      <c r="K528" s="52"/>
      <c r="L528" s="52"/>
      <c r="M528" s="52"/>
      <c r="N528" s="54"/>
      <c r="O528" s="54"/>
      <c r="P528" s="52"/>
      <c r="Q528" s="55"/>
      <c r="R528" s="55"/>
      <c r="S528" s="55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60">
        <f t="shared" si="380"/>
        <v>0</v>
      </c>
      <c r="AO528" s="57">
        <f t="shared" si="381"/>
        <v>0</v>
      </c>
      <c r="AP528" s="56" t="s">
        <v>104</v>
      </c>
      <c r="AQ528" s="46">
        <f t="shared" si="378"/>
        <v>0</v>
      </c>
      <c r="AR528" s="56"/>
      <c r="AS528" s="56"/>
      <c r="AT528" s="56"/>
      <c r="AU528" s="60">
        <f t="shared" si="347"/>
        <v>0</v>
      </c>
      <c r="AV528" s="56"/>
      <c r="AW528" s="47">
        <f t="shared" si="385"/>
        <v>0</v>
      </c>
      <c r="AX528" s="56"/>
      <c r="AY528" s="56"/>
      <c r="AZ528" s="56"/>
      <c r="BA528" s="56"/>
      <c r="BB528" s="56"/>
      <c r="BC528" s="47">
        <f t="shared" si="349"/>
        <v>0</v>
      </c>
      <c r="BD528" s="56"/>
      <c r="BE528" s="47">
        <f t="shared" si="350"/>
        <v>0</v>
      </c>
      <c r="BF528" s="56"/>
      <c r="BG528" s="56"/>
      <c r="BH528" s="56"/>
      <c r="BI528" s="56"/>
      <c r="BJ528" s="56"/>
      <c r="BK528" s="56"/>
      <c r="BL528" s="56"/>
      <c r="BM528" s="56">
        <f t="shared" ref="BM528:BM538" si="387">BK528+BL528</f>
        <v>0</v>
      </c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  <c r="CL528" s="56"/>
      <c r="CM528" s="56"/>
      <c r="CN528" s="56"/>
      <c r="CO528" s="56"/>
      <c r="CP528" s="57"/>
      <c r="CQ528" s="56"/>
      <c r="CR528" s="47">
        <f t="shared" si="352"/>
        <v>0</v>
      </c>
      <c r="CS528" s="56"/>
      <c r="CT528" s="56"/>
      <c r="CU528" s="56"/>
      <c r="CV528" s="56"/>
      <c r="CW528" s="47">
        <f t="shared" si="384"/>
        <v>0</v>
      </c>
      <c r="CX528" s="46"/>
      <c r="CY528" s="47">
        <f t="shared" si="354"/>
        <v>0</v>
      </c>
      <c r="CZ528" s="56"/>
      <c r="DA528" s="56"/>
      <c r="DB528" s="56"/>
      <c r="DC528" s="56"/>
      <c r="DD528" s="47">
        <f t="shared" si="372"/>
        <v>0</v>
      </c>
      <c r="DE528" s="56"/>
      <c r="DF528" s="46">
        <f t="shared" si="373"/>
        <v>0</v>
      </c>
      <c r="DG528" s="56"/>
      <c r="DH528" s="57">
        <f t="shared" si="357"/>
        <v>0</v>
      </c>
      <c r="DI528" s="56"/>
      <c r="DJ528" s="56"/>
      <c r="DK528" s="47">
        <f t="shared" si="367"/>
        <v>0</v>
      </c>
      <c r="DL528" s="47">
        <f t="shared" si="358"/>
        <v>0</v>
      </c>
      <c r="DM528" s="56"/>
      <c r="DN528" s="46">
        <f t="shared" si="359"/>
        <v>0</v>
      </c>
      <c r="DO528" s="56"/>
      <c r="DP528" s="46">
        <f t="shared" si="379"/>
        <v>0</v>
      </c>
      <c r="DQ528" s="56" t="s">
        <v>100</v>
      </c>
      <c r="DR528" s="46">
        <f t="shared" si="360"/>
        <v>0</v>
      </c>
      <c r="DS528" s="56"/>
      <c r="DT528" s="46">
        <f t="shared" si="386"/>
        <v>0</v>
      </c>
      <c r="DU528" s="56"/>
      <c r="DV528" s="46">
        <f t="shared" si="375"/>
        <v>0</v>
      </c>
      <c r="DW528" s="56"/>
      <c r="DX528" s="47">
        <f t="shared" si="377"/>
        <v>0</v>
      </c>
      <c r="DY528" s="56"/>
      <c r="DZ528" s="56"/>
      <c r="EA528" s="56"/>
      <c r="EB528" s="56"/>
      <c r="EC528" s="56"/>
      <c r="ED528" s="56"/>
      <c r="EE528" s="47">
        <f t="shared" si="369"/>
        <v>0</v>
      </c>
      <c r="EF528" s="56"/>
      <c r="EG528" s="56"/>
      <c r="EH528" s="56"/>
      <c r="EI528" s="56"/>
      <c r="EJ528" s="56"/>
      <c r="EK528" s="47">
        <f t="shared" si="363"/>
        <v>0</v>
      </c>
      <c r="EL528" s="46">
        <f t="shared" si="364"/>
        <v>0</v>
      </c>
      <c r="EM528" s="56"/>
      <c r="EN528" s="61">
        <f t="shared" si="365"/>
        <v>0</v>
      </c>
      <c r="EO528" s="51" t="s">
        <v>142</v>
      </c>
    </row>
    <row r="529" spans="1:144" s="51" customFormat="1" ht="15" customHeight="1" x14ac:dyDescent="0.25">
      <c r="B529" s="41">
        <v>49</v>
      </c>
      <c r="C529" s="52"/>
      <c r="D529" s="53"/>
      <c r="E529" s="52"/>
      <c r="F529" s="52"/>
      <c r="G529" s="52"/>
      <c r="H529" s="52"/>
      <c r="I529" s="52"/>
      <c r="J529" s="52"/>
      <c r="K529" s="52"/>
      <c r="L529" s="52"/>
      <c r="M529" s="52"/>
      <c r="N529" s="54"/>
      <c r="O529" s="54"/>
      <c r="P529" s="52"/>
      <c r="Q529" s="55"/>
      <c r="R529" s="55"/>
      <c r="S529" s="55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60">
        <f t="shared" si="380"/>
        <v>0</v>
      </c>
      <c r="AO529" s="57">
        <f t="shared" si="381"/>
        <v>0</v>
      </c>
      <c r="AP529" s="56" t="s">
        <v>135</v>
      </c>
      <c r="AQ529" s="46">
        <f t="shared" si="378"/>
        <v>0</v>
      </c>
      <c r="AR529" s="56"/>
      <c r="AS529" s="56"/>
      <c r="AT529" s="56"/>
      <c r="AU529" s="60">
        <f t="shared" si="347"/>
        <v>0</v>
      </c>
      <c r="AV529" s="56"/>
      <c r="AW529" s="47">
        <f t="shared" si="385"/>
        <v>0</v>
      </c>
      <c r="AX529" s="56"/>
      <c r="AY529" s="56"/>
      <c r="AZ529" s="56"/>
      <c r="BA529" s="56"/>
      <c r="BB529" s="56"/>
      <c r="BC529" s="47">
        <f t="shared" si="349"/>
        <v>0</v>
      </c>
      <c r="BD529" s="56"/>
      <c r="BE529" s="47">
        <f t="shared" si="350"/>
        <v>0</v>
      </c>
      <c r="BF529" s="56"/>
      <c r="BG529" s="56"/>
      <c r="BH529" s="56"/>
      <c r="BI529" s="56"/>
      <c r="BJ529" s="56"/>
      <c r="BK529" s="56"/>
      <c r="BL529" s="56"/>
      <c r="BM529" s="56">
        <f t="shared" si="387"/>
        <v>0</v>
      </c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7"/>
      <c r="CQ529" s="56"/>
      <c r="CR529" s="47">
        <f t="shared" si="352"/>
        <v>0</v>
      </c>
      <c r="CS529" s="56"/>
      <c r="CT529" s="56"/>
      <c r="CU529" s="56"/>
      <c r="CV529" s="56"/>
      <c r="CW529" s="47">
        <f t="shared" si="384"/>
        <v>0</v>
      </c>
      <c r="CX529" s="46"/>
      <c r="CY529" s="47">
        <f t="shared" si="354"/>
        <v>0</v>
      </c>
      <c r="CZ529" s="56"/>
      <c r="DA529" s="56"/>
      <c r="DB529" s="56"/>
      <c r="DC529" s="56"/>
      <c r="DD529" s="47">
        <f t="shared" si="372"/>
        <v>0</v>
      </c>
      <c r="DE529" s="56"/>
      <c r="DF529" s="46">
        <f t="shared" si="373"/>
        <v>0</v>
      </c>
      <c r="DG529" s="56"/>
      <c r="DH529" s="57">
        <f t="shared" si="357"/>
        <v>0</v>
      </c>
      <c r="DI529" s="56"/>
      <c r="DJ529" s="56"/>
      <c r="DK529" s="47">
        <f t="shared" si="367"/>
        <v>0</v>
      </c>
      <c r="DL529" s="47">
        <f t="shared" si="358"/>
        <v>0</v>
      </c>
      <c r="DM529" s="56"/>
      <c r="DN529" s="46">
        <f t="shared" si="359"/>
        <v>0</v>
      </c>
      <c r="DO529" s="56"/>
      <c r="DP529" s="46">
        <f t="shared" ref="DP529:DP537" si="388">DN529</f>
        <v>0</v>
      </c>
      <c r="DQ529" s="56" t="s">
        <v>99</v>
      </c>
      <c r="DR529" s="46">
        <f t="shared" si="360"/>
        <v>0</v>
      </c>
      <c r="DS529" s="56"/>
      <c r="DT529" s="46">
        <f t="shared" si="386"/>
        <v>0</v>
      </c>
      <c r="DU529" s="56"/>
      <c r="DV529" s="46">
        <f t="shared" si="375"/>
        <v>0</v>
      </c>
      <c r="DW529" s="56"/>
      <c r="DX529" s="47">
        <f t="shared" si="377"/>
        <v>0</v>
      </c>
      <c r="DY529" s="56"/>
      <c r="DZ529" s="56"/>
      <c r="EA529" s="56"/>
      <c r="EB529" s="56"/>
      <c r="EC529" s="56"/>
      <c r="ED529" s="56"/>
      <c r="EE529" s="47">
        <f t="shared" si="369"/>
        <v>0</v>
      </c>
      <c r="EF529" s="56"/>
      <c r="EG529" s="56"/>
      <c r="EH529" s="56"/>
      <c r="EI529" s="56"/>
      <c r="EJ529" s="56"/>
      <c r="EK529" s="47">
        <f t="shared" si="363"/>
        <v>0</v>
      </c>
      <c r="EL529" s="46">
        <f t="shared" si="364"/>
        <v>0</v>
      </c>
      <c r="EM529" s="56"/>
      <c r="EN529" s="61">
        <f t="shared" si="365"/>
        <v>0</v>
      </c>
    </row>
    <row r="530" spans="1:144" s="51" customFormat="1" x14ac:dyDescent="0.25">
      <c r="B530" s="41">
        <v>50</v>
      </c>
      <c r="C530" s="52"/>
      <c r="D530" s="53"/>
      <c r="E530" s="52"/>
      <c r="F530" s="52"/>
      <c r="G530" s="52"/>
      <c r="H530" s="52"/>
      <c r="I530" s="52"/>
      <c r="J530" s="52"/>
      <c r="K530" s="52"/>
      <c r="L530" s="52"/>
      <c r="M530" s="52"/>
      <c r="N530" s="54"/>
      <c r="O530" s="54"/>
      <c r="P530" s="52"/>
      <c r="Q530" s="55"/>
      <c r="R530" s="55"/>
      <c r="S530" s="55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60">
        <f t="shared" si="380"/>
        <v>0</v>
      </c>
      <c r="AO530" s="57">
        <f t="shared" si="381"/>
        <v>0</v>
      </c>
      <c r="AP530" s="56" t="s">
        <v>104</v>
      </c>
      <c r="AQ530" s="46">
        <f t="shared" si="378"/>
        <v>0</v>
      </c>
      <c r="AR530" s="56"/>
      <c r="AS530" s="56"/>
      <c r="AT530" s="56"/>
      <c r="AU530" s="60">
        <f t="shared" si="347"/>
        <v>0</v>
      </c>
      <c r="AV530" s="56"/>
      <c r="AW530" s="47">
        <f t="shared" si="385"/>
        <v>0</v>
      </c>
      <c r="AX530" s="56"/>
      <c r="AY530" s="56"/>
      <c r="AZ530" s="56"/>
      <c r="BA530" s="56"/>
      <c r="BB530" s="56"/>
      <c r="BC530" s="47">
        <f t="shared" si="349"/>
        <v>0</v>
      </c>
      <c r="BD530" s="56"/>
      <c r="BE530" s="47">
        <f t="shared" si="350"/>
        <v>0</v>
      </c>
      <c r="BF530" s="56"/>
      <c r="BG530" s="56"/>
      <c r="BH530" s="56"/>
      <c r="BI530" s="56"/>
      <c r="BJ530" s="56"/>
      <c r="BK530" s="56"/>
      <c r="BL530" s="56"/>
      <c r="BM530" s="56">
        <f t="shared" si="387"/>
        <v>0</v>
      </c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56"/>
      <c r="CP530" s="57"/>
      <c r="CQ530" s="56"/>
      <c r="CR530" s="47">
        <f t="shared" si="352"/>
        <v>0</v>
      </c>
      <c r="CS530" s="56"/>
      <c r="CT530" s="56"/>
      <c r="CU530" s="56"/>
      <c r="CV530" s="56"/>
      <c r="CW530" s="47">
        <f t="shared" si="384"/>
        <v>0</v>
      </c>
      <c r="CX530" s="46"/>
      <c r="CY530" s="47">
        <f t="shared" si="354"/>
        <v>0</v>
      </c>
      <c r="CZ530" s="56"/>
      <c r="DA530" s="56"/>
      <c r="DB530" s="56"/>
      <c r="DC530" s="56"/>
      <c r="DD530" s="47">
        <f t="shared" si="372"/>
        <v>0</v>
      </c>
      <c r="DE530" s="56"/>
      <c r="DF530" s="46">
        <f t="shared" si="373"/>
        <v>0</v>
      </c>
      <c r="DG530" s="56"/>
      <c r="DH530" s="57">
        <f t="shared" si="357"/>
        <v>0</v>
      </c>
      <c r="DI530" s="56"/>
      <c r="DJ530" s="56"/>
      <c r="DK530" s="47">
        <f t="shared" si="367"/>
        <v>0</v>
      </c>
      <c r="DL530" s="47">
        <f t="shared" si="358"/>
        <v>0</v>
      </c>
      <c r="DM530" s="56"/>
      <c r="DN530" s="46">
        <f t="shared" si="359"/>
        <v>0</v>
      </c>
      <c r="DO530" s="56"/>
      <c r="DP530" s="46">
        <f t="shared" si="388"/>
        <v>0</v>
      </c>
      <c r="DQ530" s="56" t="s">
        <v>99</v>
      </c>
      <c r="DR530" s="46">
        <f t="shared" si="360"/>
        <v>0</v>
      </c>
      <c r="DS530" s="56"/>
      <c r="DT530" s="46">
        <f t="shared" si="386"/>
        <v>0</v>
      </c>
      <c r="DU530" s="56"/>
      <c r="DV530" s="46">
        <f t="shared" si="375"/>
        <v>0</v>
      </c>
      <c r="DW530" s="56"/>
      <c r="DX530" s="47">
        <f t="shared" si="377"/>
        <v>0</v>
      </c>
      <c r="DY530" s="56"/>
      <c r="DZ530" s="56"/>
      <c r="EA530" s="56"/>
      <c r="EB530" s="56"/>
      <c r="EC530" s="56"/>
      <c r="ED530" s="56"/>
      <c r="EE530" s="47">
        <f t="shared" si="369"/>
        <v>0</v>
      </c>
      <c r="EF530" s="56"/>
      <c r="EG530" s="56"/>
      <c r="EH530" s="56"/>
      <c r="EI530" s="56"/>
      <c r="EJ530" s="56"/>
      <c r="EK530" s="47">
        <f t="shared" si="363"/>
        <v>0</v>
      </c>
      <c r="EL530" s="46">
        <f t="shared" si="364"/>
        <v>0</v>
      </c>
      <c r="EM530" s="56"/>
      <c r="EN530" s="61">
        <f t="shared" si="365"/>
        <v>0</v>
      </c>
    </row>
    <row r="531" spans="1:144" s="51" customFormat="1" ht="15" customHeight="1" x14ac:dyDescent="0.25">
      <c r="B531" s="41">
        <v>51</v>
      </c>
      <c r="C531" s="52"/>
      <c r="D531" s="53"/>
      <c r="E531" s="52"/>
      <c r="F531" s="52"/>
      <c r="G531" s="52"/>
      <c r="H531" s="52"/>
      <c r="I531" s="52"/>
      <c r="J531" s="52"/>
      <c r="K531" s="52"/>
      <c r="L531" s="52"/>
      <c r="M531" s="52"/>
      <c r="N531" s="54"/>
      <c r="O531" s="54"/>
      <c r="P531" s="52"/>
      <c r="Q531" s="55"/>
      <c r="R531" s="55"/>
      <c r="S531" s="55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60">
        <f t="shared" si="380"/>
        <v>0</v>
      </c>
      <c r="AO531" s="57">
        <f t="shared" si="381"/>
        <v>0</v>
      </c>
      <c r="AP531" s="56" t="s">
        <v>104</v>
      </c>
      <c r="AQ531" s="46">
        <f t="shared" si="378"/>
        <v>0</v>
      </c>
      <c r="AR531" s="56"/>
      <c r="AS531" s="56"/>
      <c r="AT531" s="56"/>
      <c r="AU531" s="60">
        <f t="shared" si="347"/>
        <v>0</v>
      </c>
      <c r="AV531" s="56"/>
      <c r="AW531" s="47">
        <f t="shared" si="385"/>
        <v>0</v>
      </c>
      <c r="AX531" s="56"/>
      <c r="AY531" s="56"/>
      <c r="AZ531" s="56"/>
      <c r="BA531" s="56"/>
      <c r="BB531" s="56"/>
      <c r="BC531" s="47">
        <f t="shared" si="349"/>
        <v>0</v>
      </c>
      <c r="BD531" s="56"/>
      <c r="BE531" s="47">
        <f t="shared" si="350"/>
        <v>0</v>
      </c>
      <c r="BF531" s="56"/>
      <c r="BG531" s="56"/>
      <c r="BH531" s="56"/>
      <c r="BI531" s="56"/>
      <c r="BJ531" s="56"/>
      <c r="BK531" s="56"/>
      <c r="BL531" s="56"/>
      <c r="BM531" s="56">
        <f t="shared" si="387"/>
        <v>0</v>
      </c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  <c r="CL531" s="56"/>
      <c r="CM531" s="56"/>
      <c r="CN531" s="56"/>
      <c r="CO531" s="56"/>
      <c r="CP531" s="57"/>
      <c r="CQ531" s="56"/>
      <c r="CR531" s="47">
        <f t="shared" si="352"/>
        <v>0</v>
      </c>
      <c r="CS531" s="56"/>
      <c r="CT531" s="56"/>
      <c r="CU531" s="56"/>
      <c r="CV531" s="56"/>
      <c r="CW531" s="47">
        <f t="shared" si="384"/>
        <v>0</v>
      </c>
      <c r="CX531" s="46"/>
      <c r="CY531" s="47">
        <f t="shared" si="354"/>
        <v>0</v>
      </c>
      <c r="CZ531" s="56"/>
      <c r="DA531" s="56"/>
      <c r="DB531" s="56"/>
      <c r="DC531" s="56"/>
      <c r="DD531" s="47">
        <f t="shared" si="372"/>
        <v>0</v>
      </c>
      <c r="DE531" s="56"/>
      <c r="DF531" s="46">
        <f t="shared" si="373"/>
        <v>0</v>
      </c>
      <c r="DG531" s="56"/>
      <c r="DH531" s="57">
        <f t="shared" si="357"/>
        <v>0</v>
      </c>
      <c r="DI531" s="56"/>
      <c r="DJ531" s="56"/>
      <c r="DK531" s="47">
        <f t="shared" si="367"/>
        <v>0</v>
      </c>
      <c r="DL531" s="47">
        <f t="shared" si="358"/>
        <v>0</v>
      </c>
      <c r="DM531" s="56"/>
      <c r="DN531" s="46">
        <f t="shared" si="359"/>
        <v>0</v>
      </c>
      <c r="DO531" s="56"/>
      <c r="DP531" s="46">
        <f t="shared" si="388"/>
        <v>0</v>
      </c>
      <c r="DQ531" s="56" t="s">
        <v>99</v>
      </c>
      <c r="DR531" s="46">
        <f t="shared" si="360"/>
        <v>0</v>
      </c>
      <c r="DS531" s="56"/>
      <c r="DT531" s="46">
        <f t="shared" si="386"/>
        <v>0</v>
      </c>
      <c r="DU531" s="56"/>
      <c r="DV531" s="46">
        <f t="shared" si="375"/>
        <v>0</v>
      </c>
      <c r="DW531" s="56"/>
      <c r="DX531" s="47">
        <f t="shared" si="377"/>
        <v>0</v>
      </c>
      <c r="DY531" s="56"/>
      <c r="DZ531" s="56"/>
      <c r="EA531" s="56"/>
      <c r="EB531" s="56"/>
      <c r="EC531" s="56"/>
      <c r="ED531" s="56"/>
      <c r="EE531" s="47">
        <f t="shared" si="369"/>
        <v>0</v>
      </c>
      <c r="EF531" s="56"/>
      <c r="EG531" s="56"/>
      <c r="EH531" s="56"/>
      <c r="EI531" s="56"/>
      <c r="EJ531" s="56"/>
      <c r="EK531" s="47">
        <f t="shared" si="363"/>
        <v>0</v>
      </c>
      <c r="EL531" s="46">
        <f t="shared" si="364"/>
        <v>0</v>
      </c>
      <c r="EM531" s="56"/>
      <c r="EN531" s="61">
        <f t="shared" si="365"/>
        <v>0</v>
      </c>
    </row>
    <row r="532" spans="1:144" s="51" customFormat="1" ht="15" customHeight="1" x14ac:dyDescent="0.25">
      <c r="B532" s="41">
        <v>52</v>
      </c>
      <c r="C532" s="52"/>
      <c r="D532" s="53"/>
      <c r="E532" s="52"/>
      <c r="F532" s="52"/>
      <c r="G532" s="52"/>
      <c r="H532" s="52"/>
      <c r="I532" s="52"/>
      <c r="J532" s="52"/>
      <c r="K532" s="52"/>
      <c r="L532" s="52"/>
      <c r="M532" s="52"/>
      <c r="N532" s="54"/>
      <c r="O532" s="54"/>
      <c r="P532" s="52"/>
      <c r="Q532" s="55"/>
      <c r="R532" s="55"/>
      <c r="S532" s="55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60">
        <f t="shared" si="380"/>
        <v>0</v>
      </c>
      <c r="AO532" s="57">
        <f t="shared" si="381"/>
        <v>0</v>
      </c>
      <c r="AP532" s="56" t="s">
        <v>135</v>
      </c>
      <c r="AQ532" s="46">
        <f t="shared" si="378"/>
        <v>0</v>
      </c>
      <c r="AR532" s="56"/>
      <c r="AS532" s="56"/>
      <c r="AT532" s="56"/>
      <c r="AU532" s="60">
        <f t="shared" si="347"/>
        <v>0</v>
      </c>
      <c r="AV532" s="56"/>
      <c r="AW532" s="47">
        <f t="shared" si="385"/>
        <v>0</v>
      </c>
      <c r="AX532" s="56"/>
      <c r="AY532" s="56"/>
      <c r="AZ532" s="56"/>
      <c r="BA532" s="56"/>
      <c r="BB532" s="56"/>
      <c r="BC532" s="47">
        <f t="shared" si="349"/>
        <v>0</v>
      </c>
      <c r="BD532" s="56"/>
      <c r="BE532" s="47">
        <f t="shared" si="350"/>
        <v>0</v>
      </c>
      <c r="BF532" s="56"/>
      <c r="BG532" s="56"/>
      <c r="BH532" s="56"/>
      <c r="BI532" s="56"/>
      <c r="BJ532" s="56"/>
      <c r="BK532" s="56"/>
      <c r="BL532" s="56"/>
      <c r="BM532" s="56">
        <f t="shared" si="387"/>
        <v>0</v>
      </c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7"/>
      <c r="CQ532" s="56"/>
      <c r="CR532" s="47">
        <f t="shared" si="352"/>
        <v>0</v>
      </c>
      <c r="CS532" s="56"/>
      <c r="CT532" s="56"/>
      <c r="CU532" s="56"/>
      <c r="CV532" s="56"/>
      <c r="CW532" s="47">
        <f t="shared" si="384"/>
        <v>0</v>
      </c>
      <c r="CX532" s="46"/>
      <c r="CY532" s="47">
        <f t="shared" si="354"/>
        <v>0</v>
      </c>
      <c r="CZ532" s="56"/>
      <c r="DA532" s="56"/>
      <c r="DB532" s="56"/>
      <c r="DC532" s="56"/>
      <c r="DD532" s="47">
        <f t="shared" si="372"/>
        <v>0</v>
      </c>
      <c r="DE532" s="56"/>
      <c r="DF532" s="46">
        <f t="shared" si="373"/>
        <v>0</v>
      </c>
      <c r="DG532" s="56"/>
      <c r="DH532" s="57">
        <f t="shared" si="357"/>
        <v>0</v>
      </c>
      <c r="DI532" s="56"/>
      <c r="DJ532" s="56"/>
      <c r="DK532" s="47">
        <f t="shared" si="367"/>
        <v>0</v>
      </c>
      <c r="DL532" s="47">
        <f t="shared" si="358"/>
        <v>0</v>
      </c>
      <c r="DM532" s="56"/>
      <c r="DN532" s="46">
        <f t="shared" si="359"/>
        <v>0</v>
      </c>
      <c r="DO532" s="56"/>
      <c r="DP532" s="46">
        <f t="shared" si="388"/>
        <v>0</v>
      </c>
      <c r="DQ532" s="56" t="s">
        <v>100</v>
      </c>
      <c r="DR532" s="46">
        <f t="shared" si="360"/>
        <v>0</v>
      </c>
      <c r="DS532" s="56"/>
      <c r="DT532" s="46">
        <f t="shared" si="386"/>
        <v>0</v>
      </c>
      <c r="DU532" s="56"/>
      <c r="DV532" s="46">
        <f t="shared" si="375"/>
        <v>0</v>
      </c>
      <c r="DW532" s="56"/>
      <c r="DX532" s="47">
        <f t="shared" si="377"/>
        <v>0</v>
      </c>
      <c r="DY532" s="56"/>
      <c r="DZ532" s="56"/>
      <c r="EA532" s="56"/>
      <c r="EB532" s="56"/>
      <c r="EC532" s="56"/>
      <c r="ED532" s="56"/>
      <c r="EE532" s="47">
        <f t="shared" si="369"/>
        <v>0</v>
      </c>
      <c r="EF532" s="56"/>
      <c r="EG532" s="56"/>
      <c r="EH532" s="56"/>
      <c r="EI532" s="56"/>
      <c r="EJ532" s="56"/>
      <c r="EK532" s="47">
        <f t="shared" si="363"/>
        <v>0</v>
      </c>
      <c r="EL532" s="46">
        <f t="shared" si="364"/>
        <v>0</v>
      </c>
      <c r="EM532" s="56"/>
      <c r="EN532" s="61">
        <f t="shared" si="365"/>
        <v>0</v>
      </c>
    </row>
    <row r="533" spans="1:144" s="51" customFormat="1" ht="15" customHeight="1" x14ac:dyDescent="0.25">
      <c r="B533" s="41">
        <v>53</v>
      </c>
      <c r="C533" s="52"/>
      <c r="D533" s="53"/>
      <c r="E533" s="52"/>
      <c r="F533" s="52"/>
      <c r="G533" s="52"/>
      <c r="H533" s="52"/>
      <c r="I533" s="52"/>
      <c r="J533" s="52"/>
      <c r="K533" s="52"/>
      <c r="L533" s="52"/>
      <c r="M533" s="52"/>
      <c r="N533" s="54"/>
      <c r="O533" s="54"/>
      <c r="P533" s="52"/>
      <c r="Q533" s="55"/>
      <c r="R533" s="55"/>
      <c r="S533" s="55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60">
        <f t="shared" si="380"/>
        <v>0</v>
      </c>
      <c r="AO533" s="57">
        <f t="shared" si="381"/>
        <v>0</v>
      </c>
      <c r="AP533" s="56" t="s">
        <v>135</v>
      </c>
      <c r="AQ533" s="46">
        <f t="shared" si="378"/>
        <v>0</v>
      </c>
      <c r="AR533" s="56"/>
      <c r="AS533" s="56"/>
      <c r="AT533" s="56"/>
      <c r="AU533" s="60">
        <f t="shared" si="347"/>
        <v>0</v>
      </c>
      <c r="AV533" s="56"/>
      <c r="AW533" s="47">
        <f t="shared" si="385"/>
        <v>0</v>
      </c>
      <c r="AX533" s="56"/>
      <c r="AY533" s="56"/>
      <c r="AZ533" s="56"/>
      <c r="BA533" s="56"/>
      <c r="BB533" s="56"/>
      <c r="BC533" s="47">
        <f t="shared" si="349"/>
        <v>0</v>
      </c>
      <c r="BD533" s="56"/>
      <c r="BE533" s="47">
        <f t="shared" si="350"/>
        <v>0</v>
      </c>
      <c r="BF533" s="56"/>
      <c r="BG533" s="56"/>
      <c r="BH533" s="56"/>
      <c r="BI533" s="56"/>
      <c r="BJ533" s="56"/>
      <c r="BK533" s="56"/>
      <c r="BL533" s="56"/>
      <c r="BM533" s="56">
        <f t="shared" si="387"/>
        <v>0</v>
      </c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7"/>
      <c r="CQ533" s="56"/>
      <c r="CR533" s="47">
        <f t="shared" si="352"/>
        <v>0</v>
      </c>
      <c r="CS533" s="56"/>
      <c r="CT533" s="56"/>
      <c r="CU533" s="56"/>
      <c r="CV533" s="56"/>
      <c r="CW533" s="47">
        <f t="shared" si="384"/>
        <v>0</v>
      </c>
      <c r="CX533" s="46"/>
      <c r="CY533" s="47">
        <f t="shared" si="354"/>
        <v>0</v>
      </c>
      <c r="CZ533" s="56"/>
      <c r="DA533" s="56"/>
      <c r="DB533" s="56"/>
      <c r="DC533" s="56"/>
      <c r="DD533" s="47">
        <f t="shared" si="372"/>
        <v>0</v>
      </c>
      <c r="DE533" s="56"/>
      <c r="DF533" s="46">
        <f t="shared" si="373"/>
        <v>0</v>
      </c>
      <c r="DG533" s="56"/>
      <c r="DH533" s="57">
        <f t="shared" si="357"/>
        <v>0</v>
      </c>
      <c r="DI533" s="56"/>
      <c r="DJ533" s="56"/>
      <c r="DK533" s="47">
        <f t="shared" si="367"/>
        <v>0</v>
      </c>
      <c r="DL533" s="47">
        <f t="shared" si="358"/>
        <v>0</v>
      </c>
      <c r="DM533" s="56"/>
      <c r="DN533" s="46">
        <f t="shared" si="359"/>
        <v>0</v>
      </c>
      <c r="DO533" s="56"/>
      <c r="DP533" s="46">
        <f t="shared" si="388"/>
        <v>0</v>
      </c>
      <c r="DQ533" s="56" t="s">
        <v>100</v>
      </c>
      <c r="DR533" s="46">
        <f t="shared" si="360"/>
        <v>0</v>
      </c>
      <c r="DS533" s="56"/>
      <c r="DT533" s="46">
        <f t="shared" si="386"/>
        <v>0</v>
      </c>
      <c r="DU533" s="56"/>
      <c r="DV533" s="46">
        <f t="shared" si="375"/>
        <v>0</v>
      </c>
      <c r="DW533" s="56"/>
      <c r="DX533" s="47">
        <f t="shared" si="377"/>
        <v>0</v>
      </c>
      <c r="DY533" s="56"/>
      <c r="DZ533" s="56"/>
      <c r="EA533" s="56"/>
      <c r="EB533" s="56"/>
      <c r="EC533" s="56"/>
      <c r="ED533" s="56"/>
      <c r="EE533" s="47">
        <f t="shared" si="369"/>
        <v>0</v>
      </c>
      <c r="EF533" s="56"/>
      <c r="EG533" s="56"/>
      <c r="EH533" s="56"/>
      <c r="EI533" s="56"/>
      <c r="EJ533" s="56"/>
      <c r="EK533" s="47">
        <f t="shared" si="363"/>
        <v>0</v>
      </c>
      <c r="EL533" s="46">
        <f t="shared" si="364"/>
        <v>0</v>
      </c>
      <c r="EM533" s="56"/>
      <c r="EN533" s="61">
        <f t="shared" si="365"/>
        <v>0</v>
      </c>
    </row>
    <row r="534" spans="1:144" s="48" customFormat="1" x14ac:dyDescent="0.25">
      <c r="B534" s="41">
        <v>54</v>
      </c>
      <c r="C534" s="42"/>
      <c r="D534" s="43"/>
      <c r="E534" s="52"/>
      <c r="F534" s="42"/>
      <c r="G534" s="42"/>
      <c r="H534" s="42"/>
      <c r="I534" s="42"/>
      <c r="J534" s="42"/>
      <c r="K534" s="42"/>
      <c r="L534" s="42"/>
      <c r="M534" s="42"/>
      <c r="N534" s="41"/>
      <c r="O534" s="41"/>
      <c r="P534" s="42"/>
      <c r="Q534" s="45"/>
      <c r="R534" s="45"/>
      <c r="S534" s="42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7">
        <f t="shared" si="380"/>
        <v>0</v>
      </c>
      <c r="AO534" s="47">
        <f t="shared" si="381"/>
        <v>0</v>
      </c>
      <c r="AP534" s="56" t="s">
        <v>135</v>
      </c>
      <c r="AQ534" s="46">
        <f t="shared" si="378"/>
        <v>0</v>
      </c>
      <c r="AR534" s="46"/>
      <c r="AS534" s="46"/>
      <c r="AT534" s="46"/>
      <c r="AU534" s="47">
        <f t="shared" si="347"/>
        <v>0</v>
      </c>
      <c r="AV534" s="46"/>
      <c r="AW534" s="47">
        <f>AQ534+AU534+AV534+AR534</f>
        <v>0</v>
      </c>
      <c r="AX534" s="46"/>
      <c r="AY534" s="46"/>
      <c r="AZ534" s="46"/>
      <c r="BA534" s="46"/>
      <c r="BB534" s="46"/>
      <c r="BC534" s="47">
        <f t="shared" si="349"/>
        <v>0</v>
      </c>
      <c r="BD534" s="46"/>
      <c r="BE534" s="47">
        <f t="shared" si="350"/>
        <v>0</v>
      </c>
      <c r="BF534" s="46"/>
      <c r="BG534" s="46"/>
      <c r="BH534" s="46"/>
      <c r="BI534" s="46"/>
      <c r="BJ534" s="46"/>
      <c r="BK534" s="47">
        <f>+BI534*BJ534</f>
        <v>0</v>
      </c>
      <c r="BL534" s="46"/>
      <c r="BM534" s="56">
        <f t="shared" si="387"/>
        <v>0</v>
      </c>
      <c r="BN534" s="46"/>
      <c r="BO534" s="46"/>
      <c r="BP534" s="46"/>
      <c r="BQ534" s="46"/>
      <c r="BR534" s="46"/>
      <c r="BS534" s="47">
        <f t="shared" ref="BS534:BS577" si="389">+BQ534*BR534</f>
        <v>0</v>
      </c>
      <c r="BT534" s="46"/>
      <c r="BU534" s="47">
        <f t="shared" ref="BU534:BU574" si="390">+BO534+BP534+BS534+BT534</f>
        <v>0</v>
      </c>
      <c r="BV534" s="46"/>
      <c r="BW534" s="46"/>
      <c r="BX534" s="46"/>
      <c r="BY534" s="46"/>
      <c r="BZ534" s="46"/>
      <c r="CA534" s="47">
        <f>+BY534*BZ534</f>
        <v>0</v>
      </c>
      <c r="CB534" s="46"/>
      <c r="CC534" s="47">
        <f>+BW534+BX534+CA534+CB534</f>
        <v>0</v>
      </c>
      <c r="CD534" s="46"/>
      <c r="CE534" s="46"/>
      <c r="CF534" s="46"/>
      <c r="CG534" s="46"/>
      <c r="CH534" s="46"/>
      <c r="CI534" s="47">
        <f>+CG534*CH534</f>
        <v>0</v>
      </c>
      <c r="CJ534" s="46"/>
      <c r="CK534" s="47">
        <f>+CE534+CF534+CI534+CJ534</f>
        <v>0</v>
      </c>
      <c r="CL534" s="46"/>
      <c r="CM534" s="46"/>
      <c r="CN534" s="46"/>
      <c r="CO534" s="46"/>
      <c r="CP534" s="46">
        <f>CN534*CO534</f>
        <v>0</v>
      </c>
      <c r="CQ534" s="46"/>
      <c r="CR534" s="47">
        <f t="shared" si="352"/>
        <v>0</v>
      </c>
      <c r="CS534" s="46"/>
      <c r="CT534" s="46"/>
      <c r="CU534" s="46"/>
      <c r="CV534" s="46"/>
      <c r="CW534" s="47">
        <f t="shared" si="384"/>
        <v>0</v>
      </c>
      <c r="CX534" s="46"/>
      <c r="CY534" s="47">
        <f t="shared" si="354"/>
        <v>0</v>
      </c>
      <c r="CZ534" s="46"/>
      <c r="DA534" s="46"/>
      <c r="DB534" s="46"/>
      <c r="DC534" s="46"/>
      <c r="DD534" s="47">
        <f t="shared" si="372"/>
        <v>0</v>
      </c>
      <c r="DE534" s="46"/>
      <c r="DF534" s="46">
        <f t="shared" si="373"/>
        <v>0</v>
      </c>
      <c r="DG534" s="46"/>
      <c r="DH534" s="57">
        <f t="shared" si="357"/>
        <v>0</v>
      </c>
      <c r="DI534" s="46"/>
      <c r="DJ534" s="46"/>
      <c r="DK534" s="47">
        <f t="shared" si="367"/>
        <v>0</v>
      </c>
      <c r="DL534" s="47">
        <f t="shared" si="358"/>
        <v>0</v>
      </c>
      <c r="DM534" s="47"/>
      <c r="DN534" s="46">
        <f t="shared" si="359"/>
        <v>0</v>
      </c>
      <c r="DO534" s="46"/>
      <c r="DP534" s="46">
        <f t="shared" si="388"/>
        <v>0</v>
      </c>
      <c r="DQ534" s="46" t="s">
        <v>100</v>
      </c>
      <c r="DR534" s="46">
        <f t="shared" si="360"/>
        <v>0</v>
      </c>
      <c r="DS534" s="46"/>
      <c r="DT534" s="46">
        <f>75%*DP534</f>
        <v>0</v>
      </c>
      <c r="DU534" s="46"/>
      <c r="DV534" s="46"/>
      <c r="DW534" s="46"/>
      <c r="DX534" s="47">
        <f t="shared" si="377"/>
        <v>0</v>
      </c>
      <c r="DY534" s="46"/>
      <c r="DZ534" s="46"/>
      <c r="EA534" s="46"/>
      <c r="EB534" s="46"/>
      <c r="EC534" s="46"/>
      <c r="ED534" s="46"/>
      <c r="EE534" s="47">
        <f t="shared" si="369"/>
        <v>0</v>
      </c>
      <c r="EF534" s="46"/>
      <c r="EG534" s="46"/>
      <c r="EH534" s="46"/>
      <c r="EI534" s="46"/>
      <c r="EJ534" s="46"/>
      <c r="EK534" s="47">
        <f t="shared" si="363"/>
        <v>0</v>
      </c>
      <c r="EL534" s="46">
        <f t="shared" si="364"/>
        <v>0</v>
      </c>
      <c r="EM534" s="46"/>
      <c r="EN534" s="46">
        <f t="shared" si="365"/>
        <v>0</v>
      </c>
    </row>
    <row r="535" spans="1:144" s="51" customFormat="1" ht="15" customHeight="1" x14ac:dyDescent="0.25">
      <c r="B535" s="41">
        <v>55</v>
      </c>
      <c r="C535" s="52"/>
      <c r="D535" s="53"/>
      <c r="E535" s="52"/>
      <c r="F535" s="52"/>
      <c r="G535" s="52"/>
      <c r="H535" s="52"/>
      <c r="I535" s="52"/>
      <c r="J535" s="52"/>
      <c r="K535" s="52"/>
      <c r="L535" s="52"/>
      <c r="M535" s="52"/>
      <c r="N535" s="54"/>
      <c r="O535" s="54"/>
      <c r="P535" s="52"/>
      <c r="Q535" s="55"/>
      <c r="R535" s="55"/>
      <c r="S535" s="55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60">
        <f t="shared" si="380"/>
        <v>0</v>
      </c>
      <c r="AO535" s="57">
        <f t="shared" si="381"/>
        <v>0</v>
      </c>
      <c r="AP535" s="56" t="s">
        <v>135</v>
      </c>
      <c r="AQ535" s="46">
        <f t="shared" si="378"/>
        <v>0</v>
      </c>
      <c r="AR535" s="56"/>
      <c r="AS535" s="56"/>
      <c r="AT535" s="56"/>
      <c r="AU535" s="60">
        <f t="shared" si="347"/>
        <v>0</v>
      </c>
      <c r="AV535" s="56"/>
      <c r="AW535" s="47">
        <f t="shared" ref="AW535:AW540" si="391">AQ535+AR535+AU535+AV535</f>
        <v>0</v>
      </c>
      <c r="AX535" s="56"/>
      <c r="AY535" s="56"/>
      <c r="AZ535" s="56"/>
      <c r="BA535" s="56"/>
      <c r="BB535" s="56"/>
      <c r="BC535" s="47">
        <f t="shared" si="349"/>
        <v>0</v>
      </c>
      <c r="BD535" s="56"/>
      <c r="BE535" s="47">
        <f t="shared" si="350"/>
        <v>0</v>
      </c>
      <c r="BF535" s="56"/>
      <c r="BG535" s="56"/>
      <c r="BH535" s="56"/>
      <c r="BI535" s="56"/>
      <c r="BJ535" s="56"/>
      <c r="BK535" s="47">
        <f>+BI535*BJ535</f>
        <v>0</v>
      </c>
      <c r="BL535" s="56"/>
      <c r="BM535" s="56">
        <f t="shared" si="387"/>
        <v>0</v>
      </c>
      <c r="BN535" s="56"/>
      <c r="BO535" s="56"/>
      <c r="BP535" s="56"/>
      <c r="BQ535" s="56"/>
      <c r="BR535" s="56"/>
      <c r="BS535" s="47">
        <f t="shared" si="389"/>
        <v>0</v>
      </c>
      <c r="BT535" s="56"/>
      <c r="BU535" s="47">
        <f t="shared" si="390"/>
        <v>0</v>
      </c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56"/>
      <c r="CP535" s="57"/>
      <c r="CQ535" s="56"/>
      <c r="CR535" s="47">
        <f t="shared" si="352"/>
        <v>0</v>
      </c>
      <c r="CS535" s="56"/>
      <c r="CT535" s="56"/>
      <c r="CU535" s="56"/>
      <c r="CV535" s="56"/>
      <c r="CW535" s="47">
        <f t="shared" si="384"/>
        <v>0</v>
      </c>
      <c r="CX535" s="46"/>
      <c r="CY535" s="47">
        <f t="shared" si="354"/>
        <v>0</v>
      </c>
      <c r="CZ535" s="56"/>
      <c r="DA535" s="56"/>
      <c r="DB535" s="56"/>
      <c r="DC535" s="56"/>
      <c r="DD535" s="47">
        <f t="shared" si="372"/>
        <v>0</v>
      </c>
      <c r="DE535" s="56"/>
      <c r="DF535" s="46">
        <f t="shared" si="373"/>
        <v>0</v>
      </c>
      <c r="DG535" s="56"/>
      <c r="DH535" s="57">
        <f t="shared" si="357"/>
        <v>0</v>
      </c>
      <c r="DI535" s="56"/>
      <c r="DJ535" s="56"/>
      <c r="DK535" s="47">
        <f t="shared" si="367"/>
        <v>0</v>
      </c>
      <c r="DL535" s="47">
        <f t="shared" si="358"/>
        <v>0</v>
      </c>
      <c r="DM535" s="56"/>
      <c r="DN535" s="46">
        <f t="shared" si="359"/>
        <v>0</v>
      </c>
      <c r="DO535" s="56"/>
      <c r="DP535" s="46">
        <f t="shared" si="388"/>
        <v>0</v>
      </c>
      <c r="DQ535" s="56" t="s">
        <v>99</v>
      </c>
      <c r="DR535" s="46">
        <f t="shared" si="360"/>
        <v>0</v>
      </c>
      <c r="DS535" s="56"/>
      <c r="DT535" s="46">
        <f t="shared" ref="DT535:DT579" si="392">75%*DR535</f>
        <v>0</v>
      </c>
      <c r="DU535" s="56"/>
      <c r="DV535" s="46">
        <f t="shared" ref="DV535:DV598" si="393">DT535/2</f>
        <v>0</v>
      </c>
      <c r="DW535" s="56"/>
      <c r="DX535" s="47">
        <f t="shared" si="377"/>
        <v>0</v>
      </c>
      <c r="DY535" s="56"/>
      <c r="DZ535" s="56"/>
      <c r="EA535" s="56"/>
      <c r="EB535" s="56"/>
      <c r="EC535" s="56"/>
      <c r="ED535" s="56"/>
      <c r="EE535" s="47">
        <f t="shared" si="369"/>
        <v>0</v>
      </c>
      <c r="EF535" s="56"/>
      <c r="EG535" s="56"/>
      <c r="EH535" s="56"/>
      <c r="EI535" s="56"/>
      <c r="EJ535" s="56"/>
      <c r="EK535" s="47">
        <f t="shared" si="363"/>
        <v>0</v>
      </c>
      <c r="EL535" s="46">
        <f t="shared" si="364"/>
        <v>0</v>
      </c>
      <c r="EM535" s="56"/>
      <c r="EN535" s="61">
        <f t="shared" si="365"/>
        <v>0</v>
      </c>
    </row>
    <row r="536" spans="1:144" s="51" customFormat="1" ht="15" customHeight="1" x14ac:dyDescent="0.25">
      <c r="B536" s="41">
        <v>56</v>
      </c>
      <c r="C536" s="52"/>
      <c r="D536" s="53"/>
      <c r="E536" s="52"/>
      <c r="F536" s="52"/>
      <c r="G536" s="52"/>
      <c r="H536" s="52"/>
      <c r="I536" s="52"/>
      <c r="J536" s="52"/>
      <c r="K536" s="52"/>
      <c r="L536" s="52"/>
      <c r="M536" s="52"/>
      <c r="N536" s="54"/>
      <c r="O536" s="54"/>
      <c r="P536" s="52"/>
      <c r="Q536" s="55"/>
      <c r="R536" s="55"/>
      <c r="S536" s="55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60">
        <f t="shared" si="380"/>
        <v>0</v>
      </c>
      <c r="AO536" s="57">
        <f t="shared" si="381"/>
        <v>0</v>
      </c>
      <c r="AP536" s="56" t="s">
        <v>135</v>
      </c>
      <c r="AQ536" s="46">
        <f t="shared" si="378"/>
        <v>0</v>
      </c>
      <c r="AR536" s="56"/>
      <c r="AS536" s="56"/>
      <c r="AT536" s="56"/>
      <c r="AU536" s="60">
        <f t="shared" si="347"/>
        <v>0</v>
      </c>
      <c r="AV536" s="56"/>
      <c r="AW536" s="47">
        <f t="shared" si="391"/>
        <v>0</v>
      </c>
      <c r="AX536" s="56"/>
      <c r="AY536" s="56"/>
      <c r="AZ536" s="56"/>
      <c r="BA536" s="56"/>
      <c r="BB536" s="56"/>
      <c r="BC536" s="47">
        <f t="shared" si="349"/>
        <v>0</v>
      </c>
      <c r="BD536" s="56"/>
      <c r="BE536" s="47">
        <f t="shared" si="350"/>
        <v>0</v>
      </c>
      <c r="BF536" s="56"/>
      <c r="BG536" s="56"/>
      <c r="BH536" s="56"/>
      <c r="BI536" s="56"/>
      <c r="BJ536" s="56"/>
      <c r="BK536" s="47">
        <f>+BI536*BJ536</f>
        <v>0</v>
      </c>
      <c r="BL536" s="56"/>
      <c r="BM536" s="56">
        <f t="shared" si="387"/>
        <v>0</v>
      </c>
      <c r="BN536" s="56"/>
      <c r="BO536" s="56"/>
      <c r="BP536" s="56"/>
      <c r="BQ536" s="56"/>
      <c r="BR536" s="56"/>
      <c r="BS536" s="47">
        <f t="shared" si="389"/>
        <v>0</v>
      </c>
      <c r="BT536" s="56"/>
      <c r="BU536" s="47">
        <f t="shared" si="390"/>
        <v>0</v>
      </c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  <c r="CL536" s="56"/>
      <c r="CM536" s="56"/>
      <c r="CN536" s="56"/>
      <c r="CO536" s="56"/>
      <c r="CP536" s="57"/>
      <c r="CQ536" s="56"/>
      <c r="CR536" s="47">
        <f t="shared" si="352"/>
        <v>0</v>
      </c>
      <c r="CS536" s="56"/>
      <c r="CT536" s="56"/>
      <c r="CU536" s="56"/>
      <c r="CV536" s="56"/>
      <c r="CW536" s="47">
        <f t="shared" si="384"/>
        <v>0</v>
      </c>
      <c r="CX536" s="46"/>
      <c r="CY536" s="47">
        <f t="shared" si="354"/>
        <v>0</v>
      </c>
      <c r="CZ536" s="56"/>
      <c r="DA536" s="56"/>
      <c r="DB536" s="56"/>
      <c r="DC536" s="56"/>
      <c r="DD536" s="47">
        <f t="shared" si="372"/>
        <v>0</v>
      </c>
      <c r="DE536" s="56"/>
      <c r="DF536" s="46">
        <f t="shared" si="373"/>
        <v>0</v>
      </c>
      <c r="DG536" s="56"/>
      <c r="DH536" s="57">
        <f t="shared" si="357"/>
        <v>0</v>
      </c>
      <c r="DI536" s="56"/>
      <c r="DJ536" s="56"/>
      <c r="DK536" s="47">
        <f t="shared" si="367"/>
        <v>0</v>
      </c>
      <c r="DL536" s="47">
        <f t="shared" si="358"/>
        <v>0</v>
      </c>
      <c r="DM536" s="56"/>
      <c r="DN536" s="46">
        <f t="shared" si="359"/>
        <v>0</v>
      </c>
      <c r="DO536" s="56"/>
      <c r="DP536" s="46">
        <f t="shared" si="388"/>
        <v>0</v>
      </c>
      <c r="DQ536" s="56" t="s">
        <v>100</v>
      </c>
      <c r="DR536" s="46">
        <f t="shared" si="360"/>
        <v>0</v>
      </c>
      <c r="DS536" s="56"/>
      <c r="DT536" s="46">
        <f t="shared" si="392"/>
        <v>0</v>
      </c>
      <c r="DU536" s="56"/>
      <c r="DV536" s="46">
        <f t="shared" si="393"/>
        <v>0</v>
      </c>
      <c r="DW536" s="56"/>
      <c r="DX536" s="47">
        <f t="shared" si="377"/>
        <v>0</v>
      </c>
      <c r="DY536" s="56"/>
      <c r="DZ536" s="56"/>
      <c r="EA536" s="56"/>
      <c r="EB536" s="56"/>
      <c r="EC536" s="56"/>
      <c r="ED536" s="56"/>
      <c r="EE536" s="47">
        <f t="shared" si="369"/>
        <v>0</v>
      </c>
      <c r="EF536" s="56"/>
      <c r="EG536" s="56"/>
      <c r="EH536" s="56"/>
      <c r="EI536" s="56"/>
      <c r="EJ536" s="56"/>
      <c r="EK536" s="47">
        <f t="shared" si="363"/>
        <v>0</v>
      </c>
      <c r="EL536" s="46">
        <f t="shared" si="364"/>
        <v>0</v>
      </c>
      <c r="EM536" s="56"/>
      <c r="EN536" s="61">
        <f t="shared" si="365"/>
        <v>0</v>
      </c>
    </row>
    <row r="537" spans="1:144" s="51" customFormat="1" ht="15" customHeight="1" x14ac:dyDescent="0.25">
      <c r="B537" s="41">
        <v>57</v>
      </c>
      <c r="C537" s="52"/>
      <c r="D537" s="53"/>
      <c r="E537" s="52"/>
      <c r="F537" s="52"/>
      <c r="G537" s="52"/>
      <c r="H537" s="52"/>
      <c r="I537" s="52"/>
      <c r="J537" s="52"/>
      <c r="K537" s="52"/>
      <c r="L537" s="52"/>
      <c r="M537" s="52"/>
      <c r="N537" s="54"/>
      <c r="O537" s="54"/>
      <c r="P537" s="52"/>
      <c r="Q537" s="55"/>
      <c r="R537" s="55"/>
      <c r="S537" s="55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60">
        <f t="shared" si="380"/>
        <v>0</v>
      </c>
      <c r="AO537" s="57">
        <f t="shared" si="381"/>
        <v>0</v>
      </c>
      <c r="AP537" s="56" t="s">
        <v>135</v>
      </c>
      <c r="AQ537" s="46">
        <f t="shared" si="378"/>
        <v>0</v>
      </c>
      <c r="AR537" s="56"/>
      <c r="AS537" s="56"/>
      <c r="AT537" s="56"/>
      <c r="AU537" s="60">
        <f t="shared" si="347"/>
        <v>0</v>
      </c>
      <c r="AV537" s="56"/>
      <c r="AW537" s="47">
        <f t="shared" si="391"/>
        <v>0</v>
      </c>
      <c r="AX537" s="56"/>
      <c r="AY537" s="56"/>
      <c r="AZ537" s="56"/>
      <c r="BA537" s="56"/>
      <c r="BB537" s="56"/>
      <c r="BC537" s="47">
        <f t="shared" si="349"/>
        <v>0</v>
      </c>
      <c r="BD537" s="56"/>
      <c r="BE537" s="47">
        <f t="shared" si="350"/>
        <v>0</v>
      </c>
      <c r="BF537" s="56"/>
      <c r="BG537" s="56"/>
      <c r="BH537" s="56"/>
      <c r="BI537" s="56"/>
      <c r="BJ537" s="56"/>
      <c r="BK537" s="47">
        <f>+BI537*BJ537</f>
        <v>0</v>
      </c>
      <c r="BL537" s="56"/>
      <c r="BM537" s="56">
        <f t="shared" si="387"/>
        <v>0</v>
      </c>
      <c r="BN537" s="56"/>
      <c r="BO537" s="56"/>
      <c r="BP537" s="56"/>
      <c r="BQ537" s="56"/>
      <c r="BR537" s="56"/>
      <c r="BS537" s="47">
        <f t="shared" si="389"/>
        <v>0</v>
      </c>
      <c r="BT537" s="56"/>
      <c r="BU537" s="47">
        <f t="shared" si="390"/>
        <v>0</v>
      </c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  <c r="CL537" s="56"/>
      <c r="CM537" s="56"/>
      <c r="CN537" s="56"/>
      <c r="CO537" s="56"/>
      <c r="CP537" s="57"/>
      <c r="CQ537" s="56"/>
      <c r="CR537" s="47">
        <f t="shared" si="352"/>
        <v>0</v>
      </c>
      <c r="CS537" s="56"/>
      <c r="CT537" s="56"/>
      <c r="CU537" s="56"/>
      <c r="CV537" s="56"/>
      <c r="CW537" s="47">
        <f t="shared" si="384"/>
        <v>0</v>
      </c>
      <c r="CX537" s="46"/>
      <c r="CY537" s="47">
        <f t="shared" si="354"/>
        <v>0</v>
      </c>
      <c r="CZ537" s="56"/>
      <c r="DA537" s="56"/>
      <c r="DB537" s="56"/>
      <c r="DC537" s="56"/>
      <c r="DD537" s="47">
        <f t="shared" si="372"/>
        <v>0</v>
      </c>
      <c r="DE537" s="56"/>
      <c r="DF537" s="46">
        <f t="shared" si="373"/>
        <v>0</v>
      </c>
      <c r="DG537" s="56"/>
      <c r="DH537" s="57">
        <f t="shared" si="357"/>
        <v>0</v>
      </c>
      <c r="DI537" s="56"/>
      <c r="DJ537" s="56"/>
      <c r="DK537" s="47">
        <f t="shared" si="367"/>
        <v>0</v>
      </c>
      <c r="DL537" s="47">
        <f t="shared" si="358"/>
        <v>0</v>
      </c>
      <c r="DM537" s="56"/>
      <c r="DN537" s="46">
        <f t="shared" si="359"/>
        <v>0</v>
      </c>
      <c r="DO537" s="56"/>
      <c r="DP537" s="46">
        <f t="shared" si="388"/>
        <v>0</v>
      </c>
      <c r="DQ537" s="56" t="s">
        <v>100</v>
      </c>
      <c r="DR537" s="46">
        <f t="shared" si="360"/>
        <v>0</v>
      </c>
      <c r="DS537" s="56"/>
      <c r="DT537" s="46">
        <f t="shared" si="392"/>
        <v>0</v>
      </c>
      <c r="DU537" s="56"/>
      <c r="DV537" s="46">
        <f t="shared" si="393"/>
        <v>0</v>
      </c>
      <c r="DW537" s="56"/>
      <c r="DX537" s="47">
        <f t="shared" si="377"/>
        <v>0</v>
      </c>
      <c r="DY537" s="56"/>
      <c r="DZ537" s="56"/>
      <c r="EA537" s="56"/>
      <c r="EB537" s="56"/>
      <c r="EC537" s="56"/>
      <c r="ED537" s="56"/>
      <c r="EE537" s="47">
        <f t="shared" si="369"/>
        <v>0</v>
      </c>
      <c r="EF537" s="56"/>
      <c r="EG537" s="56"/>
      <c r="EH537" s="56"/>
      <c r="EI537" s="56"/>
      <c r="EJ537" s="56"/>
      <c r="EK537" s="47">
        <f t="shared" si="363"/>
        <v>0</v>
      </c>
      <c r="EL537" s="46">
        <f t="shared" si="364"/>
        <v>0</v>
      </c>
      <c r="EM537" s="56"/>
      <c r="EN537" s="61">
        <f t="shared" si="365"/>
        <v>0</v>
      </c>
    </row>
    <row r="538" spans="1:144" s="51" customFormat="1" x14ac:dyDescent="0.25">
      <c r="B538" s="41">
        <v>58</v>
      </c>
      <c r="C538" s="52"/>
      <c r="D538" s="53"/>
      <c r="E538" s="52"/>
      <c r="F538" s="52"/>
      <c r="G538" s="52"/>
      <c r="H538" s="52"/>
      <c r="I538" s="52"/>
      <c r="J538" s="52"/>
      <c r="K538" s="52"/>
      <c r="L538" s="52"/>
      <c r="M538" s="52"/>
      <c r="N538" s="54"/>
      <c r="O538" s="54"/>
      <c r="P538" s="52"/>
      <c r="Q538" s="55"/>
      <c r="R538" s="55"/>
      <c r="S538" s="55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60">
        <f t="shared" si="380"/>
        <v>0</v>
      </c>
      <c r="AO538" s="57">
        <f t="shared" si="381"/>
        <v>0</v>
      </c>
      <c r="AP538" s="56" t="s">
        <v>135</v>
      </c>
      <c r="AQ538" s="46">
        <f t="shared" si="378"/>
        <v>0</v>
      </c>
      <c r="AR538" s="56"/>
      <c r="AS538" s="56"/>
      <c r="AT538" s="56"/>
      <c r="AU538" s="60">
        <f t="shared" si="347"/>
        <v>0</v>
      </c>
      <c r="AV538" s="56"/>
      <c r="AW538" s="47">
        <f t="shared" si="391"/>
        <v>0</v>
      </c>
      <c r="AX538" s="56"/>
      <c r="AY538" s="56"/>
      <c r="AZ538" s="56"/>
      <c r="BA538" s="56"/>
      <c r="BB538" s="56"/>
      <c r="BC538" s="47">
        <f t="shared" si="349"/>
        <v>0</v>
      </c>
      <c r="BD538" s="56"/>
      <c r="BE538" s="47">
        <f t="shared" si="350"/>
        <v>0</v>
      </c>
      <c r="BF538" s="56"/>
      <c r="BG538" s="56"/>
      <c r="BH538" s="56"/>
      <c r="BI538" s="56"/>
      <c r="BJ538" s="56"/>
      <c r="BK538" s="56"/>
      <c r="BL538" s="56"/>
      <c r="BM538" s="56">
        <f t="shared" si="387"/>
        <v>0</v>
      </c>
      <c r="BN538" s="56"/>
      <c r="BO538" s="56"/>
      <c r="BP538" s="56"/>
      <c r="BQ538" s="56"/>
      <c r="BR538" s="56"/>
      <c r="BS538" s="47">
        <f t="shared" si="389"/>
        <v>0</v>
      </c>
      <c r="BT538" s="56"/>
      <c r="BU538" s="47">
        <f t="shared" si="390"/>
        <v>0</v>
      </c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  <c r="CL538" s="56"/>
      <c r="CM538" s="56"/>
      <c r="CN538" s="56"/>
      <c r="CO538" s="56"/>
      <c r="CP538" s="57"/>
      <c r="CQ538" s="56"/>
      <c r="CR538" s="47">
        <f t="shared" si="352"/>
        <v>0</v>
      </c>
      <c r="CS538" s="56"/>
      <c r="CT538" s="56"/>
      <c r="CU538" s="56"/>
      <c r="CV538" s="56"/>
      <c r="CW538" s="47">
        <f t="shared" si="384"/>
        <v>0</v>
      </c>
      <c r="CX538" s="46"/>
      <c r="CY538" s="47">
        <f t="shared" si="354"/>
        <v>0</v>
      </c>
      <c r="CZ538" s="56"/>
      <c r="DA538" s="56"/>
      <c r="DB538" s="56"/>
      <c r="DC538" s="56"/>
      <c r="DD538" s="47">
        <f t="shared" si="372"/>
        <v>0</v>
      </c>
      <c r="DE538" s="56"/>
      <c r="DF538" s="46">
        <f t="shared" si="373"/>
        <v>0</v>
      </c>
      <c r="DG538" s="56"/>
      <c r="DH538" s="57">
        <f t="shared" si="357"/>
        <v>0</v>
      </c>
      <c r="DI538" s="56"/>
      <c r="DJ538" s="56"/>
      <c r="DK538" s="64">
        <f t="shared" si="367"/>
        <v>0</v>
      </c>
      <c r="DL538" s="47">
        <f t="shared" si="358"/>
        <v>0</v>
      </c>
      <c r="DM538" s="56"/>
      <c r="DN538" s="46">
        <f t="shared" si="359"/>
        <v>0</v>
      </c>
      <c r="DO538" s="56"/>
      <c r="DP538" s="46">
        <f>10%*AQ538</f>
        <v>0</v>
      </c>
      <c r="DQ538" s="56" t="s">
        <v>100</v>
      </c>
      <c r="DR538" s="46">
        <f t="shared" si="360"/>
        <v>0</v>
      </c>
      <c r="DS538" s="56"/>
      <c r="DT538" s="46">
        <f t="shared" si="392"/>
        <v>0</v>
      </c>
      <c r="DU538" s="56"/>
      <c r="DV538" s="46">
        <f t="shared" si="393"/>
        <v>0</v>
      </c>
      <c r="DW538" s="56"/>
      <c r="DX538" s="47">
        <f t="shared" si="377"/>
        <v>0</v>
      </c>
      <c r="DY538" s="56"/>
      <c r="DZ538" s="56"/>
      <c r="EA538" s="56"/>
      <c r="EB538" s="56"/>
      <c r="EC538" s="56"/>
      <c r="ED538" s="56"/>
      <c r="EE538" s="47">
        <f t="shared" si="369"/>
        <v>0</v>
      </c>
      <c r="EF538" s="56"/>
      <c r="EG538" s="56"/>
      <c r="EH538" s="56"/>
      <c r="EI538" s="56"/>
      <c r="EJ538" s="56"/>
      <c r="EK538" s="47">
        <f t="shared" si="363"/>
        <v>0</v>
      </c>
      <c r="EL538" s="46">
        <f t="shared" si="364"/>
        <v>0</v>
      </c>
      <c r="EM538" s="56"/>
      <c r="EN538" s="61">
        <f t="shared" si="365"/>
        <v>0</v>
      </c>
    </row>
    <row r="539" spans="1:144" s="51" customFormat="1" ht="15" customHeight="1" x14ac:dyDescent="0.25">
      <c r="B539" s="41">
        <v>59</v>
      </c>
      <c r="C539" s="52"/>
      <c r="D539" s="53"/>
      <c r="E539" s="52"/>
      <c r="F539" s="52"/>
      <c r="G539" s="52"/>
      <c r="H539" s="52"/>
      <c r="I539" s="52"/>
      <c r="J539" s="52"/>
      <c r="K539" s="52"/>
      <c r="L539" s="52"/>
      <c r="M539" s="52"/>
      <c r="N539" s="54"/>
      <c r="O539" s="54"/>
      <c r="P539" s="52"/>
      <c r="Q539" s="55"/>
      <c r="R539" s="55"/>
      <c r="S539" s="55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47">
        <f t="shared" si="380"/>
        <v>0</v>
      </c>
      <c r="AO539" s="57">
        <f t="shared" si="381"/>
        <v>0</v>
      </c>
      <c r="AP539" s="56" t="s">
        <v>135</v>
      </c>
      <c r="AQ539" s="46">
        <f t="shared" si="378"/>
        <v>0</v>
      </c>
      <c r="AR539" s="56"/>
      <c r="AS539" s="56"/>
      <c r="AT539" s="56"/>
      <c r="AU539" s="47">
        <f t="shared" si="347"/>
        <v>0</v>
      </c>
      <c r="AV539" s="56"/>
      <c r="AW539" s="47">
        <f t="shared" si="391"/>
        <v>0</v>
      </c>
      <c r="AX539" s="56"/>
      <c r="AY539" s="56"/>
      <c r="AZ539" s="56"/>
      <c r="BA539" s="56"/>
      <c r="BB539" s="56"/>
      <c r="BC539" s="47">
        <f t="shared" si="349"/>
        <v>0</v>
      </c>
      <c r="BD539" s="56"/>
      <c r="BE539" s="47">
        <f t="shared" si="350"/>
        <v>0</v>
      </c>
      <c r="BF539" s="56"/>
      <c r="BG539" s="56"/>
      <c r="BH539" s="56"/>
      <c r="BI539" s="56"/>
      <c r="BJ539" s="56"/>
      <c r="BK539" s="56"/>
      <c r="BL539" s="56"/>
      <c r="BM539" s="46">
        <f>BK539</f>
        <v>0</v>
      </c>
      <c r="BN539" s="56"/>
      <c r="BO539" s="56"/>
      <c r="BP539" s="56"/>
      <c r="BQ539" s="56"/>
      <c r="BR539" s="56"/>
      <c r="BS539" s="47">
        <f t="shared" si="389"/>
        <v>0</v>
      </c>
      <c r="BT539" s="56"/>
      <c r="BU539" s="47">
        <f t="shared" si="390"/>
        <v>0</v>
      </c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56"/>
      <c r="CP539" s="57">
        <f>CN539*CO539</f>
        <v>0</v>
      </c>
      <c r="CQ539" s="56"/>
      <c r="CR539" s="47">
        <f t="shared" si="352"/>
        <v>0</v>
      </c>
      <c r="CS539" s="56"/>
      <c r="CT539" s="56"/>
      <c r="CU539" s="56"/>
      <c r="CV539" s="56"/>
      <c r="CW539" s="47">
        <f t="shared" si="384"/>
        <v>0</v>
      </c>
      <c r="CX539" s="46"/>
      <c r="CY539" s="47">
        <f t="shared" si="354"/>
        <v>0</v>
      </c>
      <c r="CZ539" s="56"/>
      <c r="DA539" s="56"/>
      <c r="DB539" s="56"/>
      <c r="DC539" s="56"/>
      <c r="DD539" s="47">
        <f t="shared" si="372"/>
        <v>0</v>
      </c>
      <c r="DE539" s="56"/>
      <c r="DF539" s="46">
        <f t="shared" si="373"/>
        <v>0</v>
      </c>
      <c r="DG539" s="56"/>
      <c r="DH539" s="57">
        <f t="shared" si="357"/>
        <v>0</v>
      </c>
      <c r="DI539" s="56"/>
      <c r="DJ539" s="56"/>
      <c r="DK539" s="47">
        <f t="shared" si="367"/>
        <v>0</v>
      </c>
      <c r="DL539" s="47">
        <f t="shared" si="358"/>
        <v>0</v>
      </c>
      <c r="DM539" s="56"/>
      <c r="DN539" s="46">
        <f t="shared" si="359"/>
        <v>0</v>
      </c>
      <c r="DO539" s="56"/>
      <c r="DP539" s="46">
        <f>10%*AQ539</f>
        <v>0</v>
      </c>
      <c r="DQ539" s="56" t="s">
        <v>100</v>
      </c>
      <c r="DR539" s="46">
        <f t="shared" si="360"/>
        <v>0</v>
      </c>
      <c r="DS539" s="56"/>
      <c r="DT539" s="46">
        <f t="shared" si="392"/>
        <v>0</v>
      </c>
      <c r="DU539" s="56"/>
      <c r="DV539" s="46">
        <f t="shared" si="393"/>
        <v>0</v>
      </c>
      <c r="DW539" s="56"/>
      <c r="DX539" s="47">
        <f t="shared" si="377"/>
        <v>0</v>
      </c>
      <c r="DY539" s="56"/>
      <c r="DZ539" s="56"/>
      <c r="EA539" s="56"/>
      <c r="EB539" s="56"/>
      <c r="EC539" s="56"/>
      <c r="ED539" s="56"/>
      <c r="EE539" s="47">
        <f t="shared" si="369"/>
        <v>0</v>
      </c>
      <c r="EF539" s="56"/>
      <c r="EG539" s="56"/>
      <c r="EH539" s="56"/>
      <c r="EI539" s="56"/>
      <c r="EJ539" s="56"/>
      <c r="EK539" s="47">
        <f t="shared" si="363"/>
        <v>0</v>
      </c>
      <c r="EL539" s="46">
        <f t="shared" si="364"/>
        <v>0</v>
      </c>
      <c r="EM539" s="56"/>
      <c r="EN539" s="61">
        <f t="shared" si="365"/>
        <v>0</v>
      </c>
    </row>
    <row r="540" spans="1:144" s="51" customFormat="1" ht="15" customHeight="1" x14ac:dyDescent="0.25">
      <c r="B540" s="41">
        <v>60</v>
      </c>
      <c r="C540" s="52"/>
      <c r="D540" s="53"/>
      <c r="E540" s="52"/>
      <c r="F540" s="52"/>
      <c r="G540" s="52"/>
      <c r="H540" s="52"/>
      <c r="I540" s="52"/>
      <c r="J540" s="52"/>
      <c r="K540" s="52"/>
      <c r="L540" s="52"/>
      <c r="M540" s="52"/>
      <c r="N540" s="54"/>
      <c r="O540" s="54"/>
      <c r="P540" s="52"/>
      <c r="Q540" s="55"/>
      <c r="R540" s="55"/>
      <c r="S540" s="55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60">
        <f t="shared" si="380"/>
        <v>0</v>
      </c>
      <c r="AO540" s="57">
        <f t="shared" si="381"/>
        <v>0</v>
      </c>
      <c r="AP540" s="56" t="s">
        <v>135</v>
      </c>
      <c r="AQ540" s="46">
        <f t="shared" si="378"/>
        <v>0</v>
      </c>
      <c r="AR540" s="56"/>
      <c r="AS540" s="56"/>
      <c r="AT540" s="56"/>
      <c r="AU540" s="60">
        <f t="shared" si="347"/>
        <v>0</v>
      </c>
      <c r="AV540" s="56"/>
      <c r="AW540" s="47">
        <f t="shared" si="391"/>
        <v>0</v>
      </c>
      <c r="AX540" s="56"/>
      <c r="AY540" s="56"/>
      <c r="AZ540" s="56"/>
      <c r="BA540" s="56"/>
      <c r="BB540" s="56"/>
      <c r="BC540" s="47">
        <f t="shared" si="349"/>
        <v>0</v>
      </c>
      <c r="BD540" s="56"/>
      <c r="BE540" s="47">
        <f t="shared" si="350"/>
        <v>0</v>
      </c>
      <c r="BF540" s="56"/>
      <c r="BG540" s="56"/>
      <c r="BH540" s="56"/>
      <c r="BI540" s="56"/>
      <c r="BJ540" s="56"/>
      <c r="BK540" s="47">
        <f t="shared" ref="BK540:BK554" si="394">+BI540*BJ540</f>
        <v>0</v>
      </c>
      <c r="BL540" s="56"/>
      <c r="BM540" s="56">
        <f t="shared" ref="BM540:BM554" si="395">BK540+BL540</f>
        <v>0</v>
      </c>
      <c r="BN540" s="56"/>
      <c r="BO540" s="56"/>
      <c r="BP540" s="56"/>
      <c r="BQ540" s="56"/>
      <c r="BR540" s="56"/>
      <c r="BS540" s="47">
        <f t="shared" si="389"/>
        <v>0</v>
      </c>
      <c r="BT540" s="56"/>
      <c r="BU540" s="47">
        <f t="shared" si="390"/>
        <v>0</v>
      </c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  <c r="CL540" s="56"/>
      <c r="CM540" s="56"/>
      <c r="CN540" s="56"/>
      <c r="CO540" s="56"/>
      <c r="CP540" s="57"/>
      <c r="CQ540" s="56"/>
      <c r="CR540" s="47">
        <f t="shared" si="352"/>
        <v>0</v>
      </c>
      <c r="CS540" s="56"/>
      <c r="CT540" s="56"/>
      <c r="CU540" s="56"/>
      <c r="CV540" s="56"/>
      <c r="CW540" s="47">
        <f t="shared" si="384"/>
        <v>0</v>
      </c>
      <c r="CX540" s="46"/>
      <c r="CY540" s="47">
        <f t="shared" si="354"/>
        <v>0</v>
      </c>
      <c r="CZ540" s="56"/>
      <c r="DA540" s="56"/>
      <c r="DB540" s="56"/>
      <c r="DC540" s="56"/>
      <c r="DD540" s="47">
        <f t="shared" si="372"/>
        <v>0</v>
      </c>
      <c r="DE540" s="56"/>
      <c r="DF540" s="46">
        <f t="shared" si="373"/>
        <v>0</v>
      </c>
      <c r="DG540" s="56"/>
      <c r="DH540" s="57">
        <f t="shared" si="357"/>
        <v>0</v>
      </c>
      <c r="DI540" s="56"/>
      <c r="DJ540" s="56"/>
      <c r="DK540" s="47">
        <f t="shared" si="367"/>
        <v>0</v>
      </c>
      <c r="DL540" s="47">
        <f t="shared" si="358"/>
        <v>0</v>
      </c>
      <c r="DM540" s="56"/>
      <c r="DN540" s="46">
        <f t="shared" si="359"/>
        <v>0</v>
      </c>
      <c r="DO540" s="56"/>
      <c r="DP540" s="46">
        <f t="shared" ref="DP540:DP554" si="396">DN540</f>
        <v>0</v>
      </c>
      <c r="DQ540" s="56" t="s">
        <v>99</v>
      </c>
      <c r="DR540" s="46">
        <f t="shared" si="360"/>
        <v>0</v>
      </c>
      <c r="DS540" s="56"/>
      <c r="DT540" s="46">
        <f t="shared" si="392"/>
        <v>0</v>
      </c>
      <c r="DU540" s="56"/>
      <c r="DV540" s="46">
        <f t="shared" si="393"/>
        <v>0</v>
      </c>
      <c r="DW540" s="56"/>
      <c r="DX540" s="47">
        <f t="shared" si="377"/>
        <v>0</v>
      </c>
      <c r="DY540" s="56"/>
      <c r="DZ540" s="56"/>
      <c r="EA540" s="56"/>
      <c r="EB540" s="56"/>
      <c r="EC540" s="56"/>
      <c r="ED540" s="56"/>
      <c r="EE540" s="47">
        <f t="shared" si="369"/>
        <v>0</v>
      </c>
      <c r="EF540" s="56"/>
      <c r="EG540" s="56"/>
      <c r="EH540" s="56"/>
      <c r="EI540" s="56"/>
      <c r="EJ540" s="56"/>
      <c r="EK540" s="47">
        <f t="shared" si="363"/>
        <v>0</v>
      </c>
      <c r="EL540" s="46">
        <f t="shared" si="364"/>
        <v>0</v>
      </c>
      <c r="EM540" s="56"/>
      <c r="EN540" s="61">
        <f t="shared" si="365"/>
        <v>0</v>
      </c>
    </row>
    <row r="541" spans="1:144" s="51" customFormat="1" ht="15" customHeight="1" x14ac:dyDescent="0.25">
      <c r="B541" s="41">
        <v>61</v>
      </c>
      <c r="C541" s="52"/>
      <c r="D541" s="53"/>
      <c r="E541" s="52"/>
      <c r="F541" s="52"/>
      <c r="G541" s="52"/>
      <c r="H541" s="52"/>
      <c r="I541" s="52"/>
      <c r="J541" s="52"/>
      <c r="K541" s="52"/>
      <c r="L541" s="52"/>
      <c r="M541" s="52"/>
      <c r="N541" s="54"/>
      <c r="O541" s="54"/>
      <c r="P541" s="52"/>
      <c r="Q541" s="55"/>
      <c r="R541" s="55"/>
      <c r="S541" s="55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47">
        <f t="shared" si="380"/>
        <v>0</v>
      </c>
      <c r="AO541" s="46">
        <f t="shared" si="381"/>
        <v>0</v>
      </c>
      <c r="AP541" s="56" t="s">
        <v>104</v>
      </c>
      <c r="AQ541" s="46">
        <f t="shared" si="378"/>
        <v>0</v>
      </c>
      <c r="AR541" s="56"/>
      <c r="AS541" s="56"/>
      <c r="AT541" s="56"/>
      <c r="AU541" s="60">
        <f t="shared" si="347"/>
        <v>0</v>
      </c>
      <c r="AV541" s="56"/>
      <c r="AW541" s="47">
        <f>AQ541+AU541+AV541+AR541</f>
        <v>0</v>
      </c>
      <c r="AX541" s="56"/>
      <c r="AY541" s="56"/>
      <c r="AZ541" s="56"/>
      <c r="BA541" s="56"/>
      <c r="BB541" s="56"/>
      <c r="BC541" s="47">
        <f t="shared" si="349"/>
        <v>0</v>
      </c>
      <c r="BD541" s="56"/>
      <c r="BE541" s="47">
        <f t="shared" si="350"/>
        <v>0</v>
      </c>
      <c r="BF541" s="56"/>
      <c r="BG541" s="56"/>
      <c r="BH541" s="56"/>
      <c r="BI541" s="56"/>
      <c r="BJ541" s="56"/>
      <c r="BK541" s="47">
        <f t="shared" si="394"/>
        <v>0</v>
      </c>
      <c r="BL541" s="56"/>
      <c r="BM541" s="56">
        <f t="shared" si="395"/>
        <v>0</v>
      </c>
      <c r="BN541" s="56"/>
      <c r="BO541" s="56"/>
      <c r="BP541" s="56"/>
      <c r="BQ541" s="56"/>
      <c r="BR541" s="56"/>
      <c r="BS541" s="47">
        <f t="shared" si="389"/>
        <v>0</v>
      </c>
      <c r="BT541" s="56"/>
      <c r="BU541" s="47">
        <f t="shared" si="390"/>
        <v>0</v>
      </c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  <c r="CL541" s="56"/>
      <c r="CM541" s="56"/>
      <c r="CN541" s="56"/>
      <c r="CO541" s="56"/>
      <c r="CP541" s="57"/>
      <c r="CQ541" s="56"/>
      <c r="CR541" s="47">
        <f t="shared" si="352"/>
        <v>0</v>
      </c>
      <c r="CS541" s="56"/>
      <c r="CT541" s="56"/>
      <c r="CU541" s="56"/>
      <c r="CV541" s="56"/>
      <c r="CW541" s="47">
        <f t="shared" si="384"/>
        <v>0</v>
      </c>
      <c r="CX541" s="46"/>
      <c r="CY541" s="47">
        <f t="shared" si="354"/>
        <v>0</v>
      </c>
      <c r="CZ541" s="56"/>
      <c r="DA541" s="56"/>
      <c r="DB541" s="56"/>
      <c r="DC541" s="56"/>
      <c r="DD541" s="47"/>
      <c r="DE541" s="56"/>
      <c r="DF541" s="46"/>
      <c r="DG541" s="56"/>
      <c r="DH541" s="57">
        <f t="shared" si="357"/>
        <v>0</v>
      </c>
      <c r="DI541" s="56"/>
      <c r="DJ541" s="56"/>
      <c r="DK541" s="47">
        <f t="shared" si="367"/>
        <v>0</v>
      </c>
      <c r="DL541" s="47">
        <f t="shared" si="358"/>
        <v>0</v>
      </c>
      <c r="DM541" s="56"/>
      <c r="DN541" s="46">
        <f t="shared" si="359"/>
        <v>0</v>
      </c>
      <c r="DO541" s="56"/>
      <c r="DP541" s="46">
        <f t="shared" si="396"/>
        <v>0</v>
      </c>
      <c r="DQ541" s="56" t="s">
        <v>99</v>
      </c>
      <c r="DR541" s="46">
        <f t="shared" si="360"/>
        <v>0</v>
      </c>
      <c r="DS541" s="56"/>
      <c r="DT541" s="46">
        <f t="shared" si="392"/>
        <v>0</v>
      </c>
      <c r="DU541" s="56"/>
      <c r="DV541" s="46">
        <f t="shared" si="393"/>
        <v>0</v>
      </c>
      <c r="DW541" s="56"/>
      <c r="DX541" s="47">
        <f t="shared" si="377"/>
        <v>0</v>
      </c>
      <c r="DY541" s="56"/>
      <c r="DZ541" s="56"/>
      <c r="EA541" s="56"/>
      <c r="EB541" s="56"/>
      <c r="EC541" s="56"/>
      <c r="ED541" s="56"/>
      <c r="EE541" s="47">
        <f t="shared" si="369"/>
        <v>0</v>
      </c>
      <c r="EF541" s="56"/>
      <c r="EG541" s="56"/>
      <c r="EH541" s="56"/>
      <c r="EI541" s="56"/>
      <c r="EJ541" s="56"/>
      <c r="EK541" s="47">
        <f t="shared" si="363"/>
        <v>0</v>
      </c>
      <c r="EL541" s="46">
        <f t="shared" si="364"/>
        <v>0</v>
      </c>
      <c r="EM541" s="56"/>
      <c r="EN541" s="61">
        <f t="shared" si="365"/>
        <v>0</v>
      </c>
    </row>
    <row r="542" spans="1:144" s="51" customFormat="1" ht="15" customHeight="1" x14ac:dyDescent="0.25">
      <c r="B542" s="41">
        <v>62</v>
      </c>
      <c r="C542" s="52"/>
      <c r="D542" s="53"/>
      <c r="E542" s="52"/>
      <c r="F542" s="52"/>
      <c r="G542" s="52"/>
      <c r="H542" s="52"/>
      <c r="I542" s="52"/>
      <c r="J542" s="52"/>
      <c r="K542" s="52"/>
      <c r="L542" s="52"/>
      <c r="M542" s="52"/>
      <c r="N542" s="54"/>
      <c r="O542" s="54"/>
      <c r="P542" s="52"/>
      <c r="Q542" s="55"/>
      <c r="R542" s="55"/>
      <c r="S542" s="55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60">
        <f t="shared" si="380"/>
        <v>0</v>
      </c>
      <c r="AO542" s="57">
        <f t="shared" si="381"/>
        <v>0</v>
      </c>
      <c r="AP542" s="56" t="s">
        <v>135</v>
      </c>
      <c r="AQ542" s="46">
        <f t="shared" si="378"/>
        <v>0</v>
      </c>
      <c r="AR542" s="56"/>
      <c r="AS542" s="56"/>
      <c r="AT542" s="56"/>
      <c r="AU542" s="60">
        <f t="shared" si="347"/>
        <v>0</v>
      </c>
      <c r="AV542" s="56"/>
      <c r="AW542" s="47">
        <f>AQ542+AR542+AU542+AV542</f>
        <v>0</v>
      </c>
      <c r="AX542" s="56"/>
      <c r="AY542" s="56"/>
      <c r="AZ542" s="56"/>
      <c r="BA542" s="56"/>
      <c r="BB542" s="56"/>
      <c r="BC542" s="47">
        <f t="shared" si="349"/>
        <v>0</v>
      </c>
      <c r="BD542" s="56"/>
      <c r="BE542" s="47">
        <f t="shared" si="350"/>
        <v>0</v>
      </c>
      <c r="BF542" s="56"/>
      <c r="BG542" s="56"/>
      <c r="BH542" s="56"/>
      <c r="BI542" s="56"/>
      <c r="BJ542" s="56"/>
      <c r="BK542" s="47">
        <f t="shared" si="394"/>
        <v>0</v>
      </c>
      <c r="BL542" s="56"/>
      <c r="BM542" s="56">
        <f t="shared" si="395"/>
        <v>0</v>
      </c>
      <c r="BN542" s="56"/>
      <c r="BO542" s="56"/>
      <c r="BP542" s="56"/>
      <c r="BQ542" s="56"/>
      <c r="BR542" s="56"/>
      <c r="BS542" s="47">
        <f t="shared" si="389"/>
        <v>0</v>
      </c>
      <c r="BT542" s="56"/>
      <c r="BU542" s="47">
        <f t="shared" si="390"/>
        <v>0</v>
      </c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  <c r="CL542" s="56"/>
      <c r="CM542" s="56"/>
      <c r="CN542" s="56"/>
      <c r="CO542" s="56"/>
      <c r="CP542" s="57"/>
      <c r="CQ542" s="56"/>
      <c r="CR542" s="47">
        <f t="shared" si="352"/>
        <v>0</v>
      </c>
      <c r="CS542" s="56"/>
      <c r="CT542" s="56"/>
      <c r="CU542" s="56"/>
      <c r="CV542" s="56"/>
      <c r="CW542" s="47">
        <f t="shared" si="384"/>
        <v>0</v>
      </c>
      <c r="CX542" s="46"/>
      <c r="CY542" s="47">
        <f t="shared" si="354"/>
        <v>0</v>
      </c>
      <c r="CZ542" s="56"/>
      <c r="DA542" s="56"/>
      <c r="DB542" s="56"/>
      <c r="DC542" s="56"/>
      <c r="DD542" s="47">
        <f>+DB542*DC542</f>
        <v>0</v>
      </c>
      <c r="DE542" s="56"/>
      <c r="DF542" s="46">
        <f>DC542</f>
        <v>0</v>
      </c>
      <c r="DG542" s="56"/>
      <c r="DH542" s="57">
        <f t="shared" si="357"/>
        <v>0</v>
      </c>
      <c r="DI542" s="56"/>
      <c r="DJ542" s="56"/>
      <c r="DK542" s="47">
        <f t="shared" si="367"/>
        <v>0</v>
      </c>
      <c r="DL542" s="47">
        <f t="shared" si="358"/>
        <v>0</v>
      </c>
      <c r="DM542" s="56"/>
      <c r="DN542" s="46">
        <f t="shared" si="359"/>
        <v>0</v>
      </c>
      <c r="DO542" s="56"/>
      <c r="DP542" s="46">
        <f t="shared" si="396"/>
        <v>0</v>
      </c>
      <c r="DQ542" s="56" t="s">
        <v>100</v>
      </c>
      <c r="DR542" s="46">
        <f t="shared" si="360"/>
        <v>0</v>
      </c>
      <c r="DS542" s="56"/>
      <c r="DT542" s="46">
        <f t="shared" si="392"/>
        <v>0</v>
      </c>
      <c r="DU542" s="56"/>
      <c r="DV542" s="46">
        <f t="shared" si="393"/>
        <v>0</v>
      </c>
      <c r="DW542" s="56"/>
      <c r="DX542" s="47">
        <f t="shared" si="377"/>
        <v>0</v>
      </c>
      <c r="DY542" s="56"/>
      <c r="DZ542" s="56"/>
      <c r="EA542" s="56"/>
      <c r="EB542" s="56"/>
      <c r="EC542" s="56"/>
      <c r="ED542" s="56"/>
      <c r="EE542" s="47">
        <f t="shared" si="369"/>
        <v>0</v>
      </c>
      <c r="EF542" s="56"/>
      <c r="EG542" s="56"/>
      <c r="EH542" s="56"/>
      <c r="EI542" s="56"/>
      <c r="EJ542" s="56"/>
      <c r="EK542" s="47">
        <f t="shared" si="363"/>
        <v>0</v>
      </c>
      <c r="EL542" s="46">
        <f t="shared" si="364"/>
        <v>0</v>
      </c>
      <c r="EM542" s="56"/>
      <c r="EN542" s="61">
        <f t="shared" si="365"/>
        <v>0</v>
      </c>
    </row>
    <row r="543" spans="1:144" s="48" customFormat="1" ht="15" customHeight="1" x14ac:dyDescent="0.25">
      <c r="A543" s="58"/>
      <c r="B543" s="41">
        <v>63</v>
      </c>
      <c r="C543" s="42"/>
      <c r="D543" s="59"/>
      <c r="E543" s="52"/>
      <c r="F543" s="49"/>
      <c r="G543" s="49"/>
      <c r="H543" s="49"/>
      <c r="I543" s="49"/>
      <c r="J543" s="49"/>
      <c r="K543" s="49"/>
      <c r="L543" s="49"/>
      <c r="M543" s="42"/>
      <c r="N543" s="41"/>
      <c r="O543" s="41"/>
      <c r="P543" s="42"/>
      <c r="Q543" s="45"/>
      <c r="R543" s="45"/>
      <c r="S543" s="42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7">
        <f t="shared" si="380"/>
        <v>0</v>
      </c>
      <c r="AO543" s="46">
        <f t="shared" si="381"/>
        <v>0</v>
      </c>
      <c r="AP543" s="56" t="s">
        <v>135</v>
      </c>
      <c r="AQ543" s="90">
        <f t="shared" si="378"/>
        <v>0</v>
      </c>
      <c r="AR543" s="46"/>
      <c r="AS543" s="90"/>
      <c r="AT543" s="90"/>
      <c r="AU543" s="64">
        <f t="shared" si="347"/>
        <v>0</v>
      </c>
      <c r="AV543" s="46"/>
      <c r="AW543" s="47">
        <f t="shared" ref="AW543:AW554" si="397">AQ543+AU543+AV543+AR543</f>
        <v>0</v>
      </c>
      <c r="AX543" s="46"/>
      <c r="AY543" s="46"/>
      <c r="AZ543" s="46"/>
      <c r="BA543" s="46"/>
      <c r="BB543" s="46"/>
      <c r="BC543" s="47">
        <f t="shared" si="349"/>
        <v>0</v>
      </c>
      <c r="BD543" s="46"/>
      <c r="BE543" s="47">
        <f t="shared" si="350"/>
        <v>0</v>
      </c>
      <c r="BF543" s="46"/>
      <c r="BG543" s="46"/>
      <c r="BH543" s="46"/>
      <c r="BI543" s="46"/>
      <c r="BJ543" s="46"/>
      <c r="BK543" s="47">
        <f t="shared" si="394"/>
        <v>0</v>
      </c>
      <c r="BL543" s="46"/>
      <c r="BM543" s="56">
        <f t="shared" si="395"/>
        <v>0</v>
      </c>
      <c r="BN543" s="46"/>
      <c r="BO543" s="46"/>
      <c r="BP543" s="46"/>
      <c r="BQ543" s="46"/>
      <c r="BR543" s="46"/>
      <c r="BS543" s="47">
        <f t="shared" si="389"/>
        <v>0</v>
      </c>
      <c r="BT543" s="46"/>
      <c r="BU543" s="47">
        <f t="shared" si="390"/>
        <v>0</v>
      </c>
      <c r="BV543" s="46"/>
      <c r="BW543" s="46"/>
      <c r="BX543" s="46"/>
      <c r="BY543" s="46"/>
      <c r="BZ543" s="46"/>
      <c r="CA543" s="47"/>
      <c r="CB543" s="46"/>
      <c r="CC543" s="46"/>
      <c r="CD543" s="46"/>
      <c r="CE543" s="46"/>
      <c r="CF543" s="46"/>
      <c r="CG543" s="46"/>
      <c r="CH543" s="46"/>
      <c r="CI543" s="47"/>
      <c r="CJ543" s="46"/>
      <c r="CK543" s="46"/>
      <c r="CL543" s="46"/>
      <c r="CM543" s="46"/>
      <c r="CN543" s="46"/>
      <c r="CO543" s="46"/>
      <c r="CP543" s="46">
        <f>CN543*CO543</f>
        <v>0</v>
      </c>
      <c r="CQ543" s="46"/>
      <c r="CR543" s="47">
        <f t="shared" si="352"/>
        <v>0</v>
      </c>
      <c r="CS543" s="46"/>
      <c r="CT543" s="46"/>
      <c r="CU543" s="46"/>
      <c r="CV543" s="46"/>
      <c r="CW543" s="47">
        <f t="shared" si="384"/>
        <v>0</v>
      </c>
      <c r="CX543" s="46"/>
      <c r="CY543" s="47">
        <f t="shared" si="354"/>
        <v>0</v>
      </c>
      <c r="CZ543" s="46"/>
      <c r="DA543" s="46"/>
      <c r="DB543" s="46"/>
      <c r="DC543" s="46"/>
      <c r="DD543" s="47">
        <f>+DB543*DC543</f>
        <v>0</v>
      </c>
      <c r="DE543" s="46"/>
      <c r="DF543" s="46">
        <f>DC543</f>
        <v>0</v>
      </c>
      <c r="DG543" s="46"/>
      <c r="DH543" s="57">
        <f t="shared" si="357"/>
        <v>0</v>
      </c>
      <c r="DI543" s="46"/>
      <c r="DJ543" s="46"/>
      <c r="DK543" s="47">
        <f t="shared" si="367"/>
        <v>0</v>
      </c>
      <c r="DL543" s="47">
        <f t="shared" si="358"/>
        <v>0</v>
      </c>
      <c r="DM543" s="46"/>
      <c r="DN543" s="46">
        <f t="shared" si="359"/>
        <v>0</v>
      </c>
      <c r="DO543" s="46"/>
      <c r="DP543" s="46">
        <f t="shared" si="396"/>
        <v>0</v>
      </c>
      <c r="DQ543" s="46" t="s">
        <v>100</v>
      </c>
      <c r="DR543" s="46">
        <f t="shared" si="360"/>
        <v>0</v>
      </c>
      <c r="DS543" s="46"/>
      <c r="DT543" s="46">
        <f t="shared" si="392"/>
        <v>0</v>
      </c>
      <c r="DU543" s="46"/>
      <c r="DV543" s="46">
        <f t="shared" si="393"/>
        <v>0</v>
      </c>
      <c r="DW543" s="46"/>
      <c r="DX543" s="47">
        <f t="shared" si="377"/>
        <v>0</v>
      </c>
      <c r="DY543" s="46"/>
      <c r="DZ543" s="46"/>
      <c r="EA543" s="46"/>
      <c r="EB543" s="46"/>
      <c r="EC543" s="46"/>
      <c r="ED543" s="46"/>
      <c r="EE543" s="47">
        <f t="shared" si="369"/>
        <v>0</v>
      </c>
      <c r="EF543" s="46"/>
      <c r="EG543" s="46"/>
      <c r="EH543" s="46"/>
      <c r="EI543" s="46"/>
      <c r="EJ543" s="46"/>
      <c r="EK543" s="47">
        <f t="shared" si="363"/>
        <v>0</v>
      </c>
      <c r="EL543" s="46">
        <f t="shared" si="364"/>
        <v>0</v>
      </c>
      <c r="EM543" s="46"/>
      <c r="EN543" s="46">
        <f t="shared" si="365"/>
        <v>0</v>
      </c>
    </row>
    <row r="544" spans="1:144" s="51" customFormat="1" ht="15" customHeight="1" x14ac:dyDescent="0.25">
      <c r="B544" s="41">
        <v>64</v>
      </c>
      <c r="C544" s="52"/>
      <c r="D544" s="53"/>
      <c r="E544" s="52"/>
      <c r="F544" s="52"/>
      <c r="G544" s="52"/>
      <c r="H544" s="52"/>
      <c r="I544" s="52"/>
      <c r="J544" s="52"/>
      <c r="K544" s="52"/>
      <c r="L544" s="52"/>
      <c r="M544" s="52"/>
      <c r="N544" s="54"/>
      <c r="O544" s="54"/>
      <c r="P544" s="52"/>
      <c r="Q544" s="55"/>
      <c r="R544" s="55"/>
      <c r="S544" s="55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47">
        <f t="shared" si="380"/>
        <v>0</v>
      </c>
      <c r="AO544" s="46">
        <f t="shared" si="381"/>
        <v>0</v>
      </c>
      <c r="AP544" s="56" t="s">
        <v>135</v>
      </c>
      <c r="AQ544" s="46">
        <f t="shared" si="378"/>
        <v>0</v>
      </c>
      <c r="AR544" s="56"/>
      <c r="AS544" s="56"/>
      <c r="AT544" s="56"/>
      <c r="AU544" s="60">
        <f t="shared" si="347"/>
        <v>0</v>
      </c>
      <c r="AV544" s="56"/>
      <c r="AW544" s="47">
        <f t="shared" si="397"/>
        <v>0</v>
      </c>
      <c r="AX544" s="56"/>
      <c r="AY544" s="56"/>
      <c r="AZ544" s="56"/>
      <c r="BA544" s="56"/>
      <c r="BB544" s="56"/>
      <c r="BC544" s="47">
        <f t="shared" si="349"/>
        <v>0</v>
      </c>
      <c r="BD544" s="56"/>
      <c r="BE544" s="47">
        <f t="shared" si="350"/>
        <v>0</v>
      </c>
      <c r="BF544" s="56"/>
      <c r="BG544" s="56"/>
      <c r="BH544" s="56"/>
      <c r="BI544" s="56"/>
      <c r="BJ544" s="56"/>
      <c r="BK544" s="47">
        <f t="shared" si="394"/>
        <v>0</v>
      </c>
      <c r="BL544" s="56"/>
      <c r="BM544" s="56">
        <f t="shared" si="395"/>
        <v>0</v>
      </c>
      <c r="BN544" s="56"/>
      <c r="BO544" s="56"/>
      <c r="BP544" s="56"/>
      <c r="BQ544" s="56"/>
      <c r="BR544" s="56"/>
      <c r="BS544" s="47">
        <f t="shared" si="389"/>
        <v>0</v>
      </c>
      <c r="BT544" s="56"/>
      <c r="BU544" s="47">
        <f t="shared" si="390"/>
        <v>0</v>
      </c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56"/>
      <c r="CP544" s="57"/>
      <c r="CQ544" s="56"/>
      <c r="CR544" s="47">
        <f t="shared" si="352"/>
        <v>0</v>
      </c>
      <c r="CS544" s="56"/>
      <c r="CT544" s="56"/>
      <c r="CU544" s="56"/>
      <c r="CV544" s="56"/>
      <c r="CW544" s="47">
        <f t="shared" si="384"/>
        <v>0</v>
      </c>
      <c r="CX544" s="46"/>
      <c r="CY544" s="47">
        <f t="shared" si="354"/>
        <v>0</v>
      </c>
      <c r="CZ544" s="56"/>
      <c r="DA544" s="56"/>
      <c r="DB544" s="56"/>
      <c r="DC544" s="56"/>
      <c r="DD544" s="47">
        <f>+DB544*DC544</f>
        <v>0</v>
      </c>
      <c r="DE544" s="56"/>
      <c r="DF544" s="46">
        <f>DC544</f>
        <v>0</v>
      </c>
      <c r="DG544" s="56"/>
      <c r="DH544" s="57">
        <f t="shared" si="357"/>
        <v>0</v>
      </c>
      <c r="DI544" s="56"/>
      <c r="DJ544" s="56"/>
      <c r="DK544" s="47">
        <f t="shared" si="367"/>
        <v>0</v>
      </c>
      <c r="DL544" s="47">
        <f t="shared" si="358"/>
        <v>0</v>
      </c>
      <c r="DM544" s="56"/>
      <c r="DN544" s="46">
        <f t="shared" si="359"/>
        <v>0</v>
      </c>
      <c r="DO544" s="56"/>
      <c r="DP544" s="46">
        <f t="shared" si="396"/>
        <v>0</v>
      </c>
      <c r="DQ544" s="56" t="s">
        <v>99</v>
      </c>
      <c r="DR544" s="46">
        <f t="shared" si="360"/>
        <v>0</v>
      </c>
      <c r="DS544" s="56"/>
      <c r="DT544" s="46">
        <f t="shared" si="392"/>
        <v>0</v>
      </c>
      <c r="DU544" s="56"/>
      <c r="DV544" s="46">
        <f t="shared" si="393"/>
        <v>0</v>
      </c>
      <c r="DW544" s="56"/>
      <c r="DX544" s="47">
        <f t="shared" si="377"/>
        <v>0</v>
      </c>
      <c r="DY544" s="56"/>
      <c r="DZ544" s="56"/>
      <c r="EA544" s="56"/>
      <c r="EB544" s="56"/>
      <c r="EC544" s="56"/>
      <c r="ED544" s="56"/>
      <c r="EE544" s="47">
        <f t="shared" si="369"/>
        <v>0</v>
      </c>
      <c r="EF544" s="56"/>
      <c r="EG544" s="56"/>
      <c r="EH544" s="56"/>
      <c r="EI544" s="56"/>
      <c r="EJ544" s="56"/>
      <c r="EK544" s="47">
        <f t="shared" si="363"/>
        <v>0</v>
      </c>
      <c r="EL544" s="46">
        <f t="shared" si="364"/>
        <v>0</v>
      </c>
      <c r="EM544" s="56"/>
      <c r="EN544" s="61">
        <f t="shared" si="365"/>
        <v>0</v>
      </c>
    </row>
    <row r="545" spans="2:144" s="51" customFormat="1" ht="15" customHeight="1" x14ac:dyDescent="0.25">
      <c r="B545" s="41">
        <v>65</v>
      </c>
      <c r="C545" s="52"/>
      <c r="D545" s="53"/>
      <c r="E545" s="52"/>
      <c r="F545" s="52"/>
      <c r="G545" s="52"/>
      <c r="H545" s="52"/>
      <c r="I545" s="52"/>
      <c r="J545" s="52"/>
      <c r="K545" s="52"/>
      <c r="L545" s="52"/>
      <c r="M545" s="52"/>
      <c r="N545" s="54"/>
      <c r="O545" s="54"/>
      <c r="P545" s="52"/>
      <c r="Q545" s="55"/>
      <c r="R545" s="55"/>
      <c r="S545" s="55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47">
        <f t="shared" si="380"/>
        <v>0</v>
      </c>
      <c r="AO545" s="46">
        <f t="shared" si="381"/>
        <v>0</v>
      </c>
      <c r="AP545" s="56" t="s">
        <v>135</v>
      </c>
      <c r="AQ545" s="46">
        <f t="shared" si="378"/>
        <v>0</v>
      </c>
      <c r="AR545" s="56"/>
      <c r="AS545" s="56"/>
      <c r="AT545" s="56"/>
      <c r="AU545" s="60">
        <f t="shared" ref="AU545:AU608" si="398">AS545*AT545</f>
        <v>0</v>
      </c>
      <c r="AV545" s="56"/>
      <c r="AW545" s="47">
        <f t="shared" si="397"/>
        <v>0</v>
      </c>
      <c r="AX545" s="56"/>
      <c r="AY545" s="56"/>
      <c r="AZ545" s="56"/>
      <c r="BA545" s="56"/>
      <c r="BB545" s="56"/>
      <c r="BC545" s="47">
        <f t="shared" ref="BC545:BC601" si="399">BA545*BB545</f>
        <v>0</v>
      </c>
      <c r="BD545" s="56"/>
      <c r="BE545" s="47">
        <f t="shared" ref="BE545:BE601" si="400">+AY545+AZ545+BC545+BD545</f>
        <v>0</v>
      </c>
      <c r="BF545" s="56"/>
      <c r="BG545" s="56"/>
      <c r="BH545" s="56"/>
      <c r="BI545" s="56"/>
      <c r="BJ545" s="56"/>
      <c r="BK545" s="47">
        <f t="shared" si="394"/>
        <v>0</v>
      </c>
      <c r="BL545" s="56"/>
      <c r="BM545" s="56">
        <f t="shared" si="395"/>
        <v>0</v>
      </c>
      <c r="BN545" s="56"/>
      <c r="BO545" s="56"/>
      <c r="BP545" s="56"/>
      <c r="BQ545" s="56"/>
      <c r="BR545" s="56"/>
      <c r="BS545" s="47">
        <f t="shared" si="389"/>
        <v>0</v>
      </c>
      <c r="BT545" s="56"/>
      <c r="BU545" s="47">
        <f t="shared" si="390"/>
        <v>0</v>
      </c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56"/>
      <c r="CP545" s="57"/>
      <c r="CQ545" s="56"/>
      <c r="CR545" s="47">
        <f t="shared" ref="CR545:CR608" si="401">CM545+CP545+CQ545</f>
        <v>0</v>
      </c>
      <c r="CS545" s="56"/>
      <c r="CT545" s="56"/>
      <c r="CU545" s="56"/>
      <c r="CV545" s="56"/>
      <c r="CW545" s="47">
        <f t="shared" si="384"/>
        <v>0</v>
      </c>
      <c r="CX545" s="46"/>
      <c r="CY545" s="47">
        <f t="shared" ref="CY545:CY608" si="402">+CT545+CW545+CX545</f>
        <v>0</v>
      </c>
      <c r="CZ545" s="56"/>
      <c r="DA545" s="56"/>
      <c r="DB545" s="56"/>
      <c r="DC545" s="56"/>
      <c r="DD545" s="47">
        <f>+DB545*DC545</f>
        <v>0</v>
      </c>
      <c r="DE545" s="56"/>
      <c r="DF545" s="46">
        <f>DC545</f>
        <v>0</v>
      </c>
      <c r="DG545" s="56"/>
      <c r="DH545" s="57">
        <f t="shared" ref="DH545:DH608" si="403">AQ545/2</f>
        <v>0</v>
      </c>
      <c r="DI545" s="56"/>
      <c r="DJ545" s="56"/>
      <c r="DK545" s="47">
        <f t="shared" si="367"/>
        <v>0</v>
      </c>
      <c r="DL545" s="47">
        <f t="shared" ref="DL545:DL608" si="404">+DH545+DK545</f>
        <v>0</v>
      </c>
      <c r="DM545" s="56"/>
      <c r="DN545" s="46">
        <f t="shared" ref="DN545:DN579" si="405">7.5%*AQ545</f>
        <v>0</v>
      </c>
      <c r="DO545" s="56"/>
      <c r="DP545" s="46">
        <f t="shared" si="396"/>
        <v>0</v>
      </c>
      <c r="DQ545" s="56" t="s">
        <v>100</v>
      </c>
      <c r="DR545" s="46">
        <f t="shared" ref="DR545:DR608" si="406">DP545</f>
        <v>0</v>
      </c>
      <c r="DS545" s="56"/>
      <c r="DT545" s="46">
        <f t="shared" si="392"/>
        <v>0</v>
      </c>
      <c r="DU545" s="56"/>
      <c r="DV545" s="46">
        <f t="shared" si="393"/>
        <v>0</v>
      </c>
      <c r="DW545" s="56"/>
      <c r="DX545" s="47">
        <f t="shared" si="377"/>
        <v>0</v>
      </c>
      <c r="DY545" s="56"/>
      <c r="DZ545" s="56"/>
      <c r="EA545" s="56"/>
      <c r="EB545" s="56"/>
      <c r="EC545" s="56"/>
      <c r="ED545" s="56"/>
      <c r="EE545" s="47">
        <f t="shared" si="369"/>
        <v>0</v>
      </c>
      <c r="EF545" s="56"/>
      <c r="EG545" s="56"/>
      <c r="EH545" s="56"/>
      <c r="EI545" s="56"/>
      <c r="EJ545" s="56"/>
      <c r="EK545" s="47">
        <f t="shared" ref="EK545:EK608" si="407">+EG545+EH545+EI545+EJ545</f>
        <v>0</v>
      </c>
      <c r="EL545" s="46">
        <f t="shared" ref="EL545:EL608" si="408">+AO545-EE545-EK545</f>
        <v>0</v>
      </c>
      <c r="EM545" s="56"/>
      <c r="EN545" s="61">
        <f t="shared" ref="EN545:EN608" si="409">EL545+EM545</f>
        <v>0</v>
      </c>
    </row>
    <row r="546" spans="2:144" s="51" customFormat="1" ht="15" customHeight="1" x14ac:dyDescent="0.25">
      <c r="B546" s="41">
        <v>66</v>
      </c>
      <c r="C546" s="52"/>
      <c r="D546" s="53"/>
      <c r="E546" s="52"/>
      <c r="F546" s="52"/>
      <c r="G546" s="52"/>
      <c r="H546" s="52"/>
      <c r="I546" s="52"/>
      <c r="J546" s="52"/>
      <c r="K546" s="52"/>
      <c r="L546" s="52"/>
      <c r="M546" s="52"/>
      <c r="N546" s="54"/>
      <c r="O546" s="54"/>
      <c r="P546" s="52"/>
      <c r="Q546" s="55"/>
      <c r="R546" s="55"/>
      <c r="S546" s="55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47">
        <f t="shared" si="380"/>
        <v>0</v>
      </c>
      <c r="AO546" s="46">
        <f t="shared" si="381"/>
        <v>0</v>
      </c>
      <c r="AP546" s="56" t="s">
        <v>104</v>
      </c>
      <c r="AQ546" s="46">
        <f t="shared" si="378"/>
        <v>0</v>
      </c>
      <c r="AR546" s="56"/>
      <c r="AS546" s="56"/>
      <c r="AT546" s="56"/>
      <c r="AU546" s="60">
        <f t="shared" si="398"/>
        <v>0</v>
      </c>
      <c r="AV546" s="56"/>
      <c r="AW546" s="47">
        <f t="shared" si="397"/>
        <v>0</v>
      </c>
      <c r="AX546" s="56"/>
      <c r="AY546" s="56"/>
      <c r="AZ546" s="56"/>
      <c r="BA546" s="56"/>
      <c r="BB546" s="56"/>
      <c r="BC546" s="47">
        <f t="shared" si="399"/>
        <v>0</v>
      </c>
      <c r="BD546" s="56"/>
      <c r="BE546" s="47">
        <f t="shared" si="400"/>
        <v>0</v>
      </c>
      <c r="BF546" s="56"/>
      <c r="BG546" s="56"/>
      <c r="BH546" s="56"/>
      <c r="BI546" s="56"/>
      <c r="BJ546" s="56"/>
      <c r="BK546" s="47">
        <f t="shared" si="394"/>
        <v>0</v>
      </c>
      <c r="BL546" s="56"/>
      <c r="BM546" s="56">
        <f t="shared" si="395"/>
        <v>0</v>
      </c>
      <c r="BN546" s="56"/>
      <c r="BO546" s="56"/>
      <c r="BP546" s="56"/>
      <c r="BQ546" s="56"/>
      <c r="BR546" s="56"/>
      <c r="BS546" s="47">
        <f t="shared" si="389"/>
        <v>0</v>
      </c>
      <c r="BT546" s="56"/>
      <c r="BU546" s="47">
        <f t="shared" si="390"/>
        <v>0</v>
      </c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  <c r="CL546" s="56"/>
      <c r="CM546" s="56"/>
      <c r="CN546" s="56"/>
      <c r="CO546" s="56"/>
      <c r="CP546" s="57"/>
      <c r="CQ546" s="56"/>
      <c r="CR546" s="47">
        <f t="shared" si="401"/>
        <v>0</v>
      </c>
      <c r="CS546" s="56"/>
      <c r="CT546" s="56"/>
      <c r="CU546" s="56"/>
      <c r="CV546" s="56"/>
      <c r="CW546" s="47">
        <f t="shared" si="384"/>
        <v>0</v>
      </c>
      <c r="CX546" s="46"/>
      <c r="CY546" s="47">
        <f t="shared" si="402"/>
        <v>0</v>
      </c>
      <c r="CZ546" s="56"/>
      <c r="DA546" s="56"/>
      <c r="DB546" s="56"/>
      <c r="DC546" s="56"/>
      <c r="DD546" s="47"/>
      <c r="DE546" s="56"/>
      <c r="DF546" s="46"/>
      <c r="DG546" s="56"/>
      <c r="DH546" s="57">
        <f t="shared" si="403"/>
        <v>0</v>
      </c>
      <c r="DI546" s="56"/>
      <c r="DJ546" s="56"/>
      <c r="DK546" s="47">
        <f t="shared" ref="DK546:DK609" si="410">DI546*DJ546</f>
        <v>0</v>
      </c>
      <c r="DL546" s="47">
        <f t="shared" si="404"/>
        <v>0</v>
      </c>
      <c r="DM546" s="56"/>
      <c r="DN546" s="46">
        <f t="shared" si="405"/>
        <v>0</v>
      </c>
      <c r="DO546" s="56"/>
      <c r="DP546" s="46">
        <f t="shared" si="396"/>
        <v>0</v>
      </c>
      <c r="DQ546" s="56" t="s">
        <v>99</v>
      </c>
      <c r="DR546" s="46">
        <f t="shared" si="406"/>
        <v>0</v>
      </c>
      <c r="DS546" s="56"/>
      <c r="DT546" s="46">
        <f t="shared" si="392"/>
        <v>0</v>
      </c>
      <c r="DU546" s="56"/>
      <c r="DV546" s="46">
        <f t="shared" si="393"/>
        <v>0</v>
      </c>
      <c r="DW546" s="56"/>
      <c r="DX546" s="47">
        <f t="shared" si="377"/>
        <v>0</v>
      </c>
      <c r="DY546" s="56"/>
      <c r="DZ546" s="56"/>
      <c r="EA546" s="56"/>
      <c r="EB546" s="56"/>
      <c r="EC546" s="56"/>
      <c r="ED546" s="56"/>
      <c r="EE546" s="47">
        <f t="shared" ref="EE546:EE563" si="411">+AW546+BE546+BM546+CR546+CY546+DF546+DL546+DX546+DY546+DZ546+EB546+EC546+ED546</f>
        <v>0</v>
      </c>
      <c r="EF546" s="56"/>
      <c r="EG546" s="56"/>
      <c r="EH546" s="56"/>
      <c r="EI546" s="56"/>
      <c r="EJ546" s="56"/>
      <c r="EK546" s="47">
        <f t="shared" si="407"/>
        <v>0</v>
      </c>
      <c r="EL546" s="46">
        <f t="shared" si="408"/>
        <v>0</v>
      </c>
      <c r="EM546" s="56"/>
      <c r="EN546" s="61">
        <f t="shared" si="409"/>
        <v>0</v>
      </c>
    </row>
    <row r="547" spans="2:144" s="51" customFormat="1" ht="15" customHeight="1" x14ac:dyDescent="0.25">
      <c r="B547" s="41">
        <v>67</v>
      </c>
      <c r="C547" s="52"/>
      <c r="D547" s="53"/>
      <c r="E547" s="52"/>
      <c r="F547" s="52"/>
      <c r="G547" s="52"/>
      <c r="H547" s="52"/>
      <c r="I547" s="52"/>
      <c r="J547" s="52"/>
      <c r="K547" s="52"/>
      <c r="L547" s="52"/>
      <c r="M547" s="52"/>
      <c r="N547" s="54"/>
      <c r="O547" s="54"/>
      <c r="P547" s="52"/>
      <c r="Q547" s="55"/>
      <c r="R547" s="55"/>
      <c r="S547" s="55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47">
        <f t="shared" si="380"/>
        <v>0</v>
      </c>
      <c r="AO547" s="46">
        <f t="shared" si="381"/>
        <v>0</v>
      </c>
      <c r="AP547" s="56" t="s">
        <v>104</v>
      </c>
      <c r="AQ547" s="46">
        <f t="shared" si="378"/>
        <v>0</v>
      </c>
      <c r="AR547" s="56"/>
      <c r="AS547" s="56"/>
      <c r="AT547" s="56"/>
      <c r="AU547" s="60">
        <f t="shared" si="398"/>
        <v>0</v>
      </c>
      <c r="AV547" s="56"/>
      <c r="AW547" s="47">
        <f t="shared" si="397"/>
        <v>0</v>
      </c>
      <c r="AX547" s="56"/>
      <c r="AY547" s="56"/>
      <c r="AZ547" s="56"/>
      <c r="BA547" s="56"/>
      <c r="BB547" s="56"/>
      <c r="BC547" s="47">
        <f t="shared" si="399"/>
        <v>0</v>
      </c>
      <c r="BD547" s="56"/>
      <c r="BE547" s="47">
        <f t="shared" si="400"/>
        <v>0</v>
      </c>
      <c r="BF547" s="56"/>
      <c r="BG547" s="56"/>
      <c r="BH547" s="56"/>
      <c r="BI547" s="56"/>
      <c r="BJ547" s="56"/>
      <c r="BK547" s="47">
        <f t="shared" si="394"/>
        <v>0</v>
      </c>
      <c r="BL547" s="56"/>
      <c r="BM547" s="56">
        <f t="shared" si="395"/>
        <v>0</v>
      </c>
      <c r="BN547" s="56"/>
      <c r="BO547" s="56"/>
      <c r="BP547" s="56"/>
      <c r="BQ547" s="56"/>
      <c r="BR547" s="56"/>
      <c r="BS547" s="47">
        <f t="shared" si="389"/>
        <v>0</v>
      </c>
      <c r="BT547" s="56"/>
      <c r="BU547" s="47">
        <f t="shared" si="390"/>
        <v>0</v>
      </c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  <c r="CL547" s="56"/>
      <c r="CM547" s="56"/>
      <c r="CN547" s="56"/>
      <c r="CO547" s="56"/>
      <c r="CP547" s="57"/>
      <c r="CQ547" s="56"/>
      <c r="CR547" s="47">
        <f t="shared" si="401"/>
        <v>0</v>
      </c>
      <c r="CS547" s="56"/>
      <c r="CT547" s="56"/>
      <c r="CU547" s="56"/>
      <c r="CV547" s="56"/>
      <c r="CW547" s="47">
        <f t="shared" si="384"/>
        <v>0</v>
      </c>
      <c r="CX547" s="46"/>
      <c r="CY547" s="47">
        <f t="shared" si="402"/>
        <v>0</v>
      </c>
      <c r="CZ547" s="56"/>
      <c r="DA547" s="56"/>
      <c r="DB547" s="56"/>
      <c r="DC547" s="56"/>
      <c r="DD547" s="47"/>
      <c r="DE547" s="56"/>
      <c r="DF547" s="46"/>
      <c r="DG547" s="56"/>
      <c r="DH547" s="57">
        <f t="shared" si="403"/>
        <v>0</v>
      </c>
      <c r="DI547" s="56"/>
      <c r="DJ547" s="56"/>
      <c r="DK547" s="47">
        <f t="shared" si="410"/>
        <v>0</v>
      </c>
      <c r="DL547" s="47">
        <f t="shared" si="404"/>
        <v>0</v>
      </c>
      <c r="DM547" s="56"/>
      <c r="DN547" s="46">
        <f t="shared" si="405"/>
        <v>0</v>
      </c>
      <c r="DO547" s="56"/>
      <c r="DP547" s="46">
        <f t="shared" si="396"/>
        <v>0</v>
      </c>
      <c r="DQ547" s="56" t="s">
        <v>100</v>
      </c>
      <c r="DR547" s="46">
        <f t="shared" si="406"/>
        <v>0</v>
      </c>
      <c r="DS547" s="56"/>
      <c r="DT547" s="46">
        <f t="shared" si="392"/>
        <v>0</v>
      </c>
      <c r="DU547" s="56"/>
      <c r="DV547" s="46">
        <f t="shared" si="393"/>
        <v>0</v>
      </c>
      <c r="DW547" s="56"/>
      <c r="DX547" s="47">
        <f t="shared" si="377"/>
        <v>0</v>
      </c>
      <c r="DY547" s="56"/>
      <c r="DZ547" s="56"/>
      <c r="EA547" s="56"/>
      <c r="EB547" s="56"/>
      <c r="EC547" s="56"/>
      <c r="ED547" s="56"/>
      <c r="EE547" s="47">
        <f t="shared" si="411"/>
        <v>0</v>
      </c>
      <c r="EF547" s="56"/>
      <c r="EG547" s="56"/>
      <c r="EH547" s="56"/>
      <c r="EI547" s="56"/>
      <c r="EJ547" s="56"/>
      <c r="EK547" s="47">
        <f t="shared" si="407"/>
        <v>0</v>
      </c>
      <c r="EL547" s="46">
        <f t="shared" si="408"/>
        <v>0</v>
      </c>
      <c r="EM547" s="56"/>
      <c r="EN547" s="61">
        <f t="shared" si="409"/>
        <v>0</v>
      </c>
    </row>
    <row r="548" spans="2:144" s="51" customFormat="1" ht="15" customHeight="1" x14ac:dyDescent="0.25">
      <c r="B548" s="41">
        <v>68</v>
      </c>
      <c r="C548" s="52"/>
      <c r="D548" s="53"/>
      <c r="E548" s="52"/>
      <c r="F548" s="52"/>
      <c r="G548" s="52"/>
      <c r="H548" s="52"/>
      <c r="I548" s="52"/>
      <c r="J548" s="52"/>
      <c r="K548" s="52"/>
      <c r="L548" s="52"/>
      <c r="M548" s="52"/>
      <c r="N548" s="54"/>
      <c r="O548" s="54"/>
      <c r="P548" s="52"/>
      <c r="Q548" s="55"/>
      <c r="R548" s="55"/>
      <c r="S548" s="55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47">
        <f t="shared" si="380"/>
        <v>0</v>
      </c>
      <c r="AO548" s="46">
        <f t="shared" si="381"/>
        <v>0</v>
      </c>
      <c r="AP548" s="56" t="s">
        <v>135</v>
      </c>
      <c r="AQ548" s="46">
        <f t="shared" si="378"/>
        <v>0</v>
      </c>
      <c r="AR548" s="56"/>
      <c r="AS548" s="56"/>
      <c r="AT548" s="56"/>
      <c r="AU548" s="60">
        <f t="shared" si="398"/>
        <v>0</v>
      </c>
      <c r="AV548" s="56"/>
      <c r="AW548" s="47">
        <f t="shared" si="397"/>
        <v>0</v>
      </c>
      <c r="AX548" s="56"/>
      <c r="AY548" s="56"/>
      <c r="AZ548" s="56"/>
      <c r="BA548" s="56"/>
      <c r="BB548" s="56"/>
      <c r="BC548" s="47">
        <f t="shared" si="399"/>
        <v>0</v>
      </c>
      <c r="BD548" s="56"/>
      <c r="BE548" s="47">
        <f t="shared" si="400"/>
        <v>0</v>
      </c>
      <c r="BF548" s="56"/>
      <c r="BG548" s="56"/>
      <c r="BH548" s="56"/>
      <c r="BI548" s="56"/>
      <c r="BJ548" s="56"/>
      <c r="BK548" s="47">
        <f t="shared" si="394"/>
        <v>0</v>
      </c>
      <c r="BL548" s="56"/>
      <c r="BM548" s="56">
        <f t="shared" si="395"/>
        <v>0</v>
      </c>
      <c r="BN548" s="56"/>
      <c r="BO548" s="56"/>
      <c r="BP548" s="56"/>
      <c r="BQ548" s="56"/>
      <c r="BR548" s="56"/>
      <c r="BS548" s="47">
        <f t="shared" si="389"/>
        <v>0</v>
      </c>
      <c r="BT548" s="56"/>
      <c r="BU548" s="47">
        <f t="shared" si="390"/>
        <v>0</v>
      </c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  <c r="CL548" s="56"/>
      <c r="CM548" s="56"/>
      <c r="CN548" s="56"/>
      <c r="CO548" s="56"/>
      <c r="CP548" s="57"/>
      <c r="CQ548" s="56"/>
      <c r="CR548" s="47">
        <f t="shared" si="401"/>
        <v>0</v>
      </c>
      <c r="CS548" s="56"/>
      <c r="CT548" s="56"/>
      <c r="CU548" s="56"/>
      <c r="CV548" s="56"/>
      <c r="CW548" s="47">
        <f t="shared" si="384"/>
        <v>0</v>
      </c>
      <c r="CX548" s="46"/>
      <c r="CY548" s="47">
        <f t="shared" si="402"/>
        <v>0</v>
      </c>
      <c r="CZ548" s="56"/>
      <c r="DA548" s="56"/>
      <c r="DB548" s="56"/>
      <c r="DC548" s="56"/>
      <c r="DD548" s="47"/>
      <c r="DE548" s="56"/>
      <c r="DF548" s="46"/>
      <c r="DG548" s="56"/>
      <c r="DH548" s="57">
        <f t="shared" si="403"/>
        <v>0</v>
      </c>
      <c r="DI548" s="56"/>
      <c r="DJ548" s="56"/>
      <c r="DK548" s="47">
        <f t="shared" si="410"/>
        <v>0</v>
      </c>
      <c r="DL548" s="47">
        <f t="shared" si="404"/>
        <v>0</v>
      </c>
      <c r="DM548" s="56"/>
      <c r="DN548" s="46">
        <f t="shared" si="405"/>
        <v>0</v>
      </c>
      <c r="DO548" s="56"/>
      <c r="DP548" s="46">
        <f t="shared" si="396"/>
        <v>0</v>
      </c>
      <c r="DQ548" s="56" t="s">
        <v>99</v>
      </c>
      <c r="DR548" s="46">
        <f t="shared" si="406"/>
        <v>0</v>
      </c>
      <c r="DS548" s="56"/>
      <c r="DT548" s="46">
        <f t="shared" si="392"/>
        <v>0</v>
      </c>
      <c r="DU548" s="56"/>
      <c r="DV548" s="46">
        <f t="shared" si="393"/>
        <v>0</v>
      </c>
      <c r="DW548" s="56"/>
      <c r="DX548" s="47">
        <f t="shared" si="377"/>
        <v>0</v>
      </c>
      <c r="DY548" s="56"/>
      <c r="DZ548" s="56"/>
      <c r="EA548" s="56"/>
      <c r="EB548" s="56"/>
      <c r="EC548" s="56"/>
      <c r="ED548" s="56"/>
      <c r="EE548" s="47">
        <f t="shared" si="411"/>
        <v>0</v>
      </c>
      <c r="EF548" s="56"/>
      <c r="EG548" s="56"/>
      <c r="EH548" s="56"/>
      <c r="EI548" s="56"/>
      <c r="EJ548" s="56"/>
      <c r="EK548" s="47">
        <f t="shared" si="407"/>
        <v>0</v>
      </c>
      <c r="EL548" s="46">
        <f t="shared" si="408"/>
        <v>0</v>
      </c>
      <c r="EM548" s="56"/>
      <c r="EN548" s="61">
        <f t="shared" si="409"/>
        <v>0</v>
      </c>
    </row>
    <row r="549" spans="2:144" s="51" customFormat="1" ht="15" customHeight="1" x14ac:dyDescent="0.25">
      <c r="B549" s="41">
        <v>69</v>
      </c>
      <c r="C549" s="52"/>
      <c r="D549" s="53"/>
      <c r="E549" s="52"/>
      <c r="F549" s="52"/>
      <c r="G549" s="52"/>
      <c r="H549" s="52"/>
      <c r="I549" s="52"/>
      <c r="J549" s="52"/>
      <c r="K549" s="52"/>
      <c r="L549" s="52"/>
      <c r="M549" s="52"/>
      <c r="N549" s="54"/>
      <c r="O549" s="54"/>
      <c r="P549" s="52"/>
      <c r="Q549" s="55"/>
      <c r="R549" s="55"/>
      <c r="S549" s="55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47">
        <f t="shared" si="380"/>
        <v>0</v>
      </c>
      <c r="AO549" s="46">
        <f t="shared" si="381"/>
        <v>0</v>
      </c>
      <c r="AP549" s="56" t="s">
        <v>135</v>
      </c>
      <c r="AQ549" s="46">
        <f t="shared" si="378"/>
        <v>0</v>
      </c>
      <c r="AR549" s="56"/>
      <c r="AS549" s="56"/>
      <c r="AT549" s="56"/>
      <c r="AU549" s="60">
        <f t="shared" si="398"/>
        <v>0</v>
      </c>
      <c r="AV549" s="56"/>
      <c r="AW549" s="47">
        <f t="shared" si="397"/>
        <v>0</v>
      </c>
      <c r="AX549" s="56"/>
      <c r="AY549" s="56"/>
      <c r="AZ549" s="56"/>
      <c r="BA549" s="56"/>
      <c r="BB549" s="56"/>
      <c r="BC549" s="47">
        <f t="shared" si="399"/>
        <v>0</v>
      </c>
      <c r="BD549" s="56"/>
      <c r="BE549" s="47">
        <f t="shared" si="400"/>
        <v>0</v>
      </c>
      <c r="BF549" s="56"/>
      <c r="BG549" s="56"/>
      <c r="BH549" s="56"/>
      <c r="BI549" s="56"/>
      <c r="BJ549" s="56"/>
      <c r="BK549" s="47">
        <f t="shared" si="394"/>
        <v>0</v>
      </c>
      <c r="BL549" s="56"/>
      <c r="BM549" s="56">
        <f t="shared" si="395"/>
        <v>0</v>
      </c>
      <c r="BN549" s="56"/>
      <c r="BO549" s="56"/>
      <c r="BP549" s="56"/>
      <c r="BQ549" s="56"/>
      <c r="BR549" s="56"/>
      <c r="BS549" s="47">
        <f t="shared" si="389"/>
        <v>0</v>
      </c>
      <c r="BT549" s="56"/>
      <c r="BU549" s="47">
        <f t="shared" si="390"/>
        <v>0</v>
      </c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56"/>
      <c r="CP549" s="57"/>
      <c r="CQ549" s="56"/>
      <c r="CR549" s="47">
        <f t="shared" si="401"/>
        <v>0</v>
      </c>
      <c r="CS549" s="56"/>
      <c r="CT549" s="56"/>
      <c r="CU549" s="56"/>
      <c r="CV549" s="56"/>
      <c r="CW549" s="47">
        <f t="shared" si="384"/>
        <v>0</v>
      </c>
      <c r="CX549" s="46"/>
      <c r="CY549" s="47">
        <f t="shared" si="402"/>
        <v>0</v>
      </c>
      <c r="CZ549" s="56"/>
      <c r="DA549" s="56"/>
      <c r="DB549" s="56"/>
      <c r="DC549" s="56"/>
      <c r="DD549" s="47"/>
      <c r="DE549" s="56"/>
      <c r="DF549" s="46"/>
      <c r="DG549" s="56"/>
      <c r="DH549" s="57">
        <f t="shared" si="403"/>
        <v>0</v>
      </c>
      <c r="DI549" s="56"/>
      <c r="DJ549" s="56"/>
      <c r="DK549" s="47">
        <f t="shared" si="410"/>
        <v>0</v>
      </c>
      <c r="DL549" s="47">
        <f t="shared" si="404"/>
        <v>0</v>
      </c>
      <c r="DM549" s="56"/>
      <c r="DN549" s="46">
        <f t="shared" si="405"/>
        <v>0</v>
      </c>
      <c r="DO549" s="56"/>
      <c r="DP549" s="46">
        <f t="shared" si="396"/>
        <v>0</v>
      </c>
      <c r="DQ549" s="56" t="s">
        <v>100</v>
      </c>
      <c r="DR549" s="46">
        <f t="shared" si="406"/>
        <v>0</v>
      </c>
      <c r="DS549" s="56"/>
      <c r="DT549" s="46">
        <f t="shared" si="392"/>
        <v>0</v>
      </c>
      <c r="DU549" s="56"/>
      <c r="DV549" s="46">
        <f t="shared" si="393"/>
        <v>0</v>
      </c>
      <c r="DW549" s="56"/>
      <c r="DX549" s="47">
        <f t="shared" si="377"/>
        <v>0</v>
      </c>
      <c r="DY549" s="56"/>
      <c r="DZ549" s="56"/>
      <c r="EA549" s="56"/>
      <c r="EB549" s="56"/>
      <c r="EC549" s="56"/>
      <c r="ED549" s="56"/>
      <c r="EE549" s="47">
        <f t="shared" si="411"/>
        <v>0</v>
      </c>
      <c r="EF549" s="56"/>
      <c r="EG549" s="56"/>
      <c r="EH549" s="56"/>
      <c r="EI549" s="56"/>
      <c r="EJ549" s="56"/>
      <c r="EK549" s="47">
        <f t="shared" si="407"/>
        <v>0</v>
      </c>
      <c r="EL549" s="46">
        <f t="shared" si="408"/>
        <v>0</v>
      </c>
      <c r="EM549" s="56"/>
      <c r="EN549" s="61">
        <f t="shared" si="409"/>
        <v>0</v>
      </c>
    </row>
    <row r="550" spans="2:144" s="51" customFormat="1" ht="15" customHeight="1" x14ac:dyDescent="0.25">
      <c r="B550" s="41">
        <v>70</v>
      </c>
      <c r="C550" s="52"/>
      <c r="D550" s="53"/>
      <c r="E550" s="52"/>
      <c r="F550" s="52"/>
      <c r="G550" s="52"/>
      <c r="H550" s="52"/>
      <c r="I550" s="52"/>
      <c r="J550" s="52"/>
      <c r="K550" s="52"/>
      <c r="L550" s="52"/>
      <c r="M550" s="52"/>
      <c r="N550" s="54"/>
      <c r="O550" s="54"/>
      <c r="P550" s="52"/>
      <c r="Q550" s="55"/>
      <c r="R550" s="55"/>
      <c r="S550" s="55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47">
        <f t="shared" si="380"/>
        <v>0</v>
      </c>
      <c r="AO550" s="46">
        <f t="shared" si="381"/>
        <v>0</v>
      </c>
      <c r="AP550" s="56" t="s">
        <v>135</v>
      </c>
      <c r="AQ550" s="46">
        <f t="shared" si="378"/>
        <v>0</v>
      </c>
      <c r="AR550" s="56"/>
      <c r="AS550" s="56"/>
      <c r="AT550" s="56"/>
      <c r="AU550" s="60">
        <f t="shared" si="398"/>
        <v>0</v>
      </c>
      <c r="AV550" s="56"/>
      <c r="AW550" s="47">
        <f t="shared" si="397"/>
        <v>0</v>
      </c>
      <c r="AX550" s="56"/>
      <c r="AY550" s="56"/>
      <c r="AZ550" s="56"/>
      <c r="BA550" s="56"/>
      <c r="BB550" s="56"/>
      <c r="BC550" s="47">
        <f t="shared" si="399"/>
        <v>0</v>
      </c>
      <c r="BD550" s="56"/>
      <c r="BE550" s="47">
        <f t="shared" si="400"/>
        <v>0</v>
      </c>
      <c r="BF550" s="56"/>
      <c r="BG550" s="56"/>
      <c r="BH550" s="56"/>
      <c r="BI550" s="56"/>
      <c r="BJ550" s="56"/>
      <c r="BK550" s="47">
        <f t="shared" si="394"/>
        <v>0</v>
      </c>
      <c r="BL550" s="56"/>
      <c r="BM550" s="56">
        <f t="shared" si="395"/>
        <v>0</v>
      </c>
      <c r="BN550" s="56"/>
      <c r="BO550" s="56"/>
      <c r="BP550" s="56"/>
      <c r="BQ550" s="56"/>
      <c r="BR550" s="56"/>
      <c r="BS550" s="47">
        <f t="shared" si="389"/>
        <v>0</v>
      </c>
      <c r="BT550" s="56"/>
      <c r="BU550" s="47">
        <f t="shared" si="390"/>
        <v>0</v>
      </c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56"/>
      <c r="CP550" s="57"/>
      <c r="CQ550" s="56"/>
      <c r="CR550" s="47">
        <f t="shared" si="401"/>
        <v>0</v>
      </c>
      <c r="CS550" s="56"/>
      <c r="CT550" s="56"/>
      <c r="CU550" s="56"/>
      <c r="CV550" s="56"/>
      <c r="CW550" s="47">
        <f t="shared" si="384"/>
        <v>0</v>
      </c>
      <c r="CX550" s="46"/>
      <c r="CY550" s="47">
        <f t="shared" si="402"/>
        <v>0</v>
      </c>
      <c r="CZ550" s="56"/>
      <c r="DA550" s="56"/>
      <c r="DB550" s="56"/>
      <c r="DC550" s="56"/>
      <c r="DD550" s="47"/>
      <c r="DE550" s="56"/>
      <c r="DF550" s="46"/>
      <c r="DG550" s="56"/>
      <c r="DH550" s="57">
        <f t="shared" si="403"/>
        <v>0</v>
      </c>
      <c r="DI550" s="56"/>
      <c r="DJ550" s="56"/>
      <c r="DK550" s="47">
        <f t="shared" si="410"/>
        <v>0</v>
      </c>
      <c r="DL550" s="47">
        <f t="shared" si="404"/>
        <v>0</v>
      </c>
      <c r="DM550" s="56"/>
      <c r="DN550" s="46">
        <f t="shared" si="405"/>
        <v>0</v>
      </c>
      <c r="DO550" s="56"/>
      <c r="DP550" s="46">
        <f t="shared" si="396"/>
        <v>0</v>
      </c>
      <c r="DQ550" s="56" t="s">
        <v>100</v>
      </c>
      <c r="DR550" s="46">
        <f t="shared" si="406"/>
        <v>0</v>
      </c>
      <c r="DS550" s="56"/>
      <c r="DT550" s="46">
        <f t="shared" si="392"/>
        <v>0</v>
      </c>
      <c r="DU550" s="56"/>
      <c r="DV550" s="46">
        <f t="shared" si="393"/>
        <v>0</v>
      </c>
      <c r="DW550" s="56"/>
      <c r="DX550" s="47">
        <f t="shared" si="377"/>
        <v>0</v>
      </c>
      <c r="DY550" s="56"/>
      <c r="DZ550" s="56"/>
      <c r="EA550" s="56"/>
      <c r="EB550" s="56"/>
      <c r="EC550" s="56"/>
      <c r="ED550" s="56"/>
      <c r="EE550" s="47">
        <f t="shared" si="411"/>
        <v>0</v>
      </c>
      <c r="EF550" s="56"/>
      <c r="EG550" s="56"/>
      <c r="EH550" s="56"/>
      <c r="EI550" s="56"/>
      <c r="EJ550" s="56"/>
      <c r="EK550" s="47">
        <f t="shared" si="407"/>
        <v>0</v>
      </c>
      <c r="EL550" s="46">
        <f t="shared" si="408"/>
        <v>0</v>
      </c>
      <c r="EM550" s="56"/>
      <c r="EN550" s="61">
        <f t="shared" si="409"/>
        <v>0</v>
      </c>
    </row>
    <row r="551" spans="2:144" s="51" customFormat="1" ht="15" customHeight="1" x14ac:dyDescent="0.25">
      <c r="B551" s="41">
        <v>71</v>
      </c>
      <c r="C551" s="52"/>
      <c r="D551" s="53"/>
      <c r="E551" s="52"/>
      <c r="F551" s="52"/>
      <c r="G551" s="52"/>
      <c r="H551" s="52"/>
      <c r="I551" s="52"/>
      <c r="J551" s="52"/>
      <c r="K551" s="52"/>
      <c r="L551" s="52"/>
      <c r="M551" s="52"/>
      <c r="N551" s="54"/>
      <c r="O551" s="54"/>
      <c r="P551" s="52"/>
      <c r="Q551" s="55"/>
      <c r="R551" s="55"/>
      <c r="S551" s="55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47">
        <f t="shared" si="380"/>
        <v>0</v>
      </c>
      <c r="AO551" s="46">
        <f t="shared" si="381"/>
        <v>0</v>
      </c>
      <c r="AP551" s="56" t="s">
        <v>135</v>
      </c>
      <c r="AQ551" s="46">
        <f t="shared" si="378"/>
        <v>0</v>
      </c>
      <c r="AR551" s="56"/>
      <c r="AS551" s="56"/>
      <c r="AT551" s="56"/>
      <c r="AU551" s="60">
        <f t="shared" si="398"/>
        <v>0</v>
      </c>
      <c r="AV551" s="56"/>
      <c r="AW551" s="47">
        <f t="shared" si="397"/>
        <v>0</v>
      </c>
      <c r="AX551" s="56"/>
      <c r="AY551" s="56"/>
      <c r="AZ551" s="56"/>
      <c r="BA551" s="56"/>
      <c r="BB551" s="56"/>
      <c r="BC551" s="47">
        <f t="shared" si="399"/>
        <v>0</v>
      </c>
      <c r="BD551" s="56"/>
      <c r="BE551" s="47">
        <f t="shared" si="400"/>
        <v>0</v>
      </c>
      <c r="BF551" s="56"/>
      <c r="BG551" s="56"/>
      <c r="BH551" s="56"/>
      <c r="BI551" s="56"/>
      <c r="BJ551" s="56"/>
      <c r="BK551" s="47">
        <f t="shared" si="394"/>
        <v>0</v>
      </c>
      <c r="BL551" s="56"/>
      <c r="BM551" s="56">
        <f t="shared" si="395"/>
        <v>0</v>
      </c>
      <c r="BN551" s="56"/>
      <c r="BO551" s="56"/>
      <c r="BP551" s="56"/>
      <c r="BQ551" s="56"/>
      <c r="BR551" s="56"/>
      <c r="BS551" s="47">
        <f t="shared" si="389"/>
        <v>0</v>
      </c>
      <c r="BT551" s="56"/>
      <c r="BU551" s="47">
        <f t="shared" si="390"/>
        <v>0</v>
      </c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  <c r="CL551" s="56"/>
      <c r="CM551" s="56"/>
      <c r="CN551" s="56"/>
      <c r="CO551" s="56"/>
      <c r="CP551" s="57"/>
      <c r="CQ551" s="56"/>
      <c r="CR551" s="47">
        <f t="shared" si="401"/>
        <v>0</v>
      </c>
      <c r="CS551" s="56"/>
      <c r="CT551" s="56"/>
      <c r="CU551" s="56"/>
      <c r="CV551" s="56"/>
      <c r="CW551" s="47">
        <f t="shared" si="384"/>
        <v>0</v>
      </c>
      <c r="CX551" s="46"/>
      <c r="CY551" s="47">
        <f t="shared" si="402"/>
        <v>0</v>
      </c>
      <c r="CZ551" s="56"/>
      <c r="DA551" s="56"/>
      <c r="DB551" s="56"/>
      <c r="DC551" s="56"/>
      <c r="DD551" s="47"/>
      <c r="DE551" s="56"/>
      <c r="DF551" s="46"/>
      <c r="DG551" s="56"/>
      <c r="DH551" s="57">
        <f t="shared" si="403"/>
        <v>0</v>
      </c>
      <c r="DI551" s="56"/>
      <c r="DJ551" s="56"/>
      <c r="DK551" s="47">
        <f t="shared" si="410"/>
        <v>0</v>
      </c>
      <c r="DL551" s="47">
        <f t="shared" si="404"/>
        <v>0</v>
      </c>
      <c r="DM551" s="56"/>
      <c r="DN551" s="46">
        <f t="shared" si="405"/>
        <v>0</v>
      </c>
      <c r="DO551" s="56"/>
      <c r="DP551" s="46">
        <f t="shared" si="396"/>
        <v>0</v>
      </c>
      <c r="DQ551" s="56" t="s">
        <v>99</v>
      </c>
      <c r="DR551" s="46">
        <f t="shared" si="406"/>
        <v>0</v>
      </c>
      <c r="DS551" s="56"/>
      <c r="DT551" s="46">
        <f t="shared" si="392"/>
        <v>0</v>
      </c>
      <c r="DU551" s="56"/>
      <c r="DV551" s="46">
        <f t="shared" si="393"/>
        <v>0</v>
      </c>
      <c r="DW551" s="56"/>
      <c r="DX551" s="47">
        <f t="shared" si="377"/>
        <v>0</v>
      </c>
      <c r="DY551" s="56"/>
      <c r="DZ551" s="56"/>
      <c r="EA551" s="56"/>
      <c r="EB551" s="56"/>
      <c r="EC551" s="56"/>
      <c r="ED551" s="56"/>
      <c r="EE551" s="47">
        <f t="shared" si="411"/>
        <v>0</v>
      </c>
      <c r="EF551" s="56"/>
      <c r="EG551" s="56"/>
      <c r="EH551" s="56"/>
      <c r="EI551" s="56"/>
      <c r="EJ551" s="56"/>
      <c r="EK551" s="47">
        <f t="shared" si="407"/>
        <v>0</v>
      </c>
      <c r="EL551" s="46">
        <f t="shared" si="408"/>
        <v>0</v>
      </c>
      <c r="EM551" s="56"/>
      <c r="EN551" s="61">
        <f t="shared" si="409"/>
        <v>0</v>
      </c>
    </row>
    <row r="552" spans="2:144" s="51" customFormat="1" ht="15" customHeight="1" x14ac:dyDescent="0.25">
      <c r="B552" s="41">
        <v>72</v>
      </c>
      <c r="C552" s="52"/>
      <c r="D552" s="53"/>
      <c r="E552" s="52"/>
      <c r="F552" s="52"/>
      <c r="G552" s="52"/>
      <c r="H552" s="52"/>
      <c r="I552" s="52"/>
      <c r="J552" s="52"/>
      <c r="K552" s="52"/>
      <c r="L552" s="52"/>
      <c r="M552" s="52"/>
      <c r="N552" s="54"/>
      <c r="O552" s="54"/>
      <c r="P552" s="52"/>
      <c r="Q552" s="55"/>
      <c r="R552" s="55"/>
      <c r="S552" s="55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47">
        <f t="shared" si="380"/>
        <v>0</v>
      </c>
      <c r="AO552" s="46">
        <f t="shared" si="381"/>
        <v>0</v>
      </c>
      <c r="AP552" s="56" t="s">
        <v>135</v>
      </c>
      <c r="AQ552" s="46">
        <f t="shared" si="378"/>
        <v>0</v>
      </c>
      <c r="AR552" s="56"/>
      <c r="AS552" s="56"/>
      <c r="AT552" s="56"/>
      <c r="AU552" s="60">
        <f t="shared" si="398"/>
        <v>0</v>
      </c>
      <c r="AV552" s="56"/>
      <c r="AW552" s="47">
        <f t="shared" si="397"/>
        <v>0</v>
      </c>
      <c r="AX552" s="56"/>
      <c r="AY552" s="56"/>
      <c r="AZ552" s="56"/>
      <c r="BA552" s="56"/>
      <c r="BB552" s="56"/>
      <c r="BC552" s="47">
        <f t="shared" si="399"/>
        <v>0</v>
      </c>
      <c r="BD552" s="56"/>
      <c r="BE552" s="47">
        <f t="shared" si="400"/>
        <v>0</v>
      </c>
      <c r="BF552" s="56"/>
      <c r="BG552" s="56"/>
      <c r="BH552" s="56"/>
      <c r="BI552" s="56"/>
      <c r="BJ552" s="56"/>
      <c r="BK552" s="47">
        <f t="shared" si="394"/>
        <v>0</v>
      </c>
      <c r="BL552" s="56"/>
      <c r="BM552" s="56">
        <f t="shared" si="395"/>
        <v>0</v>
      </c>
      <c r="BN552" s="56"/>
      <c r="BO552" s="56"/>
      <c r="BP552" s="56"/>
      <c r="BQ552" s="56"/>
      <c r="BR552" s="56"/>
      <c r="BS552" s="47">
        <f t="shared" si="389"/>
        <v>0</v>
      </c>
      <c r="BT552" s="56"/>
      <c r="BU552" s="47">
        <f t="shared" si="390"/>
        <v>0</v>
      </c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  <c r="CL552" s="56"/>
      <c r="CM552" s="56"/>
      <c r="CN552" s="56"/>
      <c r="CO552" s="56"/>
      <c r="CP552" s="57"/>
      <c r="CQ552" s="56"/>
      <c r="CR552" s="47">
        <f t="shared" si="401"/>
        <v>0</v>
      </c>
      <c r="CS552" s="56"/>
      <c r="CT552" s="56"/>
      <c r="CU552" s="56"/>
      <c r="CV552" s="56"/>
      <c r="CW552" s="47">
        <f t="shared" si="384"/>
        <v>0</v>
      </c>
      <c r="CX552" s="46"/>
      <c r="CY552" s="47">
        <f t="shared" si="402"/>
        <v>0</v>
      </c>
      <c r="CZ552" s="56"/>
      <c r="DA552" s="56"/>
      <c r="DB552" s="56"/>
      <c r="DC552" s="56"/>
      <c r="DD552" s="47"/>
      <c r="DE552" s="56"/>
      <c r="DF552" s="46"/>
      <c r="DG552" s="56"/>
      <c r="DH552" s="57">
        <f t="shared" si="403"/>
        <v>0</v>
      </c>
      <c r="DI552" s="56"/>
      <c r="DJ552" s="56"/>
      <c r="DK552" s="47">
        <f t="shared" si="410"/>
        <v>0</v>
      </c>
      <c r="DL552" s="47">
        <f t="shared" si="404"/>
        <v>0</v>
      </c>
      <c r="DM552" s="56"/>
      <c r="DN552" s="46">
        <f t="shared" si="405"/>
        <v>0</v>
      </c>
      <c r="DO552" s="56"/>
      <c r="DP552" s="46">
        <f t="shared" si="396"/>
        <v>0</v>
      </c>
      <c r="DQ552" s="56" t="s">
        <v>99</v>
      </c>
      <c r="DR552" s="46">
        <f t="shared" si="406"/>
        <v>0</v>
      </c>
      <c r="DS552" s="56"/>
      <c r="DT552" s="46">
        <f t="shared" si="392"/>
        <v>0</v>
      </c>
      <c r="DU552" s="56"/>
      <c r="DV552" s="46">
        <f t="shared" si="393"/>
        <v>0</v>
      </c>
      <c r="DW552" s="56"/>
      <c r="DX552" s="47">
        <f t="shared" si="377"/>
        <v>0</v>
      </c>
      <c r="DY552" s="56"/>
      <c r="DZ552" s="56"/>
      <c r="EA552" s="56"/>
      <c r="EB552" s="56"/>
      <c r="EC552" s="56"/>
      <c r="ED552" s="56"/>
      <c r="EE552" s="47">
        <f t="shared" si="411"/>
        <v>0</v>
      </c>
      <c r="EF552" s="56"/>
      <c r="EG552" s="56"/>
      <c r="EH552" s="56"/>
      <c r="EI552" s="56"/>
      <c r="EJ552" s="56"/>
      <c r="EK552" s="47">
        <f t="shared" si="407"/>
        <v>0</v>
      </c>
      <c r="EL552" s="46">
        <f t="shared" si="408"/>
        <v>0</v>
      </c>
      <c r="EM552" s="56"/>
      <c r="EN552" s="61">
        <f t="shared" si="409"/>
        <v>0</v>
      </c>
    </row>
    <row r="553" spans="2:144" s="51" customFormat="1" ht="15" customHeight="1" x14ac:dyDescent="0.25">
      <c r="B553" s="41">
        <v>73</v>
      </c>
      <c r="C553" s="52"/>
      <c r="D553" s="53"/>
      <c r="E553" s="52"/>
      <c r="F553" s="52"/>
      <c r="G553" s="52"/>
      <c r="H553" s="52"/>
      <c r="I553" s="52"/>
      <c r="J553" s="52"/>
      <c r="K553" s="52"/>
      <c r="L553" s="52"/>
      <c r="M553" s="52"/>
      <c r="N553" s="54"/>
      <c r="O553" s="54"/>
      <c r="P553" s="52"/>
      <c r="Q553" s="55"/>
      <c r="R553" s="55"/>
      <c r="S553" s="55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47">
        <f t="shared" si="380"/>
        <v>0</v>
      </c>
      <c r="AO553" s="46">
        <f t="shared" si="381"/>
        <v>0</v>
      </c>
      <c r="AP553" s="56" t="s">
        <v>135</v>
      </c>
      <c r="AQ553" s="46">
        <f t="shared" si="378"/>
        <v>0</v>
      </c>
      <c r="AR553" s="56"/>
      <c r="AS553" s="56"/>
      <c r="AT553" s="56"/>
      <c r="AU553" s="60">
        <f t="shared" si="398"/>
        <v>0</v>
      </c>
      <c r="AV553" s="56"/>
      <c r="AW553" s="47">
        <f t="shared" si="397"/>
        <v>0</v>
      </c>
      <c r="AX553" s="56"/>
      <c r="AY553" s="56"/>
      <c r="AZ553" s="56"/>
      <c r="BA553" s="56"/>
      <c r="BB553" s="56"/>
      <c r="BC553" s="47">
        <f t="shared" si="399"/>
        <v>0</v>
      </c>
      <c r="BD553" s="56"/>
      <c r="BE553" s="47">
        <f t="shared" si="400"/>
        <v>0</v>
      </c>
      <c r="BF553" s="56"/>
      <c r="BG553" s="56"/>
      <c r="BH553" s="56"/>
      <c r="BI553" s="56"/>
      <c r="BJ553" s="56"/>
      <c r="BK553" s="47">
        <f t="shared" si="394"/>
        <v>0</v>
      </c>
      <c r="BL553" s="56"/>
      <c r="BM553" s="56">
        <f t="shared" si="395"/>
        <v>0</v>
      </c>
      <c r="BN553" s="56"/>
      <c r="BO553" s="56"/>
      <c r="BP553" s="56"/>
      <c r="BQ553" s="56"/>
      <c r="BR553" s="56"/>
      <c r="BS553" s="47">
        <f t="shared" si="389"/>
        <v>0</v>
      </c>
      <c r="BT553" s="56"/>
      <c r="BU553" s="47">
        <f t="shared" si="390"/>
        <v>0</v>
      </c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  <c r="CL553" s="56"/>
      <c r="CM553" s="56"/>
      <c r="CN553" s="56"/>
      <c r="CO553" s="56"/>
      <c r="CP553" s="57"/>
      <c r="CQ553" s="56"/>
      <c r="CR553" s="47">
        <f t="shared" si="401"/>
        <v>0</v>
      </c>
      <c r="CS553" s="56"/>
      <c r="CT553" s="56"/>
      <c r="CU553" s="56"/>
      <c r="CV553" s="56"/>
      <c r="CW553" s="47">
        <f t="shared" si="384"/>
        <v>0</v>
      </c>
      <c r="CX553" s="46"/>
      <c r="CY553" s="47">
        <f t="shared" si="402"/>
        <v>0</v>
      </c>
      <c r="CZ553" s="56"/>
      <c r="DA553" s="56"/>
      <c r="DB553" s="56"/>
      <c r="DC553" s="56"/>
      <c r="DD553" s="47"/>
      <c r="DE553" s="56"/>
      <c r="DF553" s="46"/>
      <c r="DG553" s="56"/>
      <c r="DH553" s="57">
        <f t="shared" si="403"/>
        <v>0</v>
      </c>
      <c r="DI553" s="56"/>
      <c r="DJ553" s="56"/>
      <c r="DK553" s="47">
        <f t="shared" si="410"/>
        <v>0</v>
      </c>
      <c r="DL553" s="47">
        <f t="shared" si="404"/>
        <v>0</v>
      </c>
      <c r="DM553" s="56"/>
      <c r="DN553" s="46">
        <f t="shared" si="405"/>
        <v>0</v>
      </c>
      <c r="DO553" s="56"/>
      <c r="DP553" s="46">
        <f t="shared" si="396"/>
        <v>0</v>
      </c>
      <c r="DQ553" s="56" t="s">
        <v>99</v>
      </c>
      <c r="DR553" s="46">
        <f t="shared" si="406"/>
        <v>0</v>
      </c>
      <c r="DS553" s="56"/>
      <c r="DT553" s="46">
        <f t="shared" si="392"/>
        <v>0</v>
      </c>
      <c r="DU553" s="56"/>
      <c r="DV553" s="46">
        <f t="shared" si="393"/>
        <v>0</v>
      </c>
      <c r="DW553" s="56"/>
      <c r="DX553" s="47">
        <f t="shared" si="377"/>
        <v>0</v>
      </c>
      <c r="DY553" s="56"/>
      <c r="DZ553" s="56"/>
      <c r="EA553" s="56"/>
      <c r="EB553" s="56"/>
      <c r="EC553" s="56"/>
      <c r="ED553" s="56"/>
      <c r="EE553" s="47">
        <f t="shared" si="411"/>
        <v>0</v>
      </c>
      <c r="EF553" s="56"/>
      <c r="EG553" s="56"/>
      <c r="EH553" s="56"/>
      <c r="EI553" s="56"/>
      <c r="EJ553" s="56"/>
      <c r="EK553" s="47">
        <f t="shared" si="407"/>
        <v>0</v>
      </c>
      <c r="EL553" s="46">
        <f t="shared" si="408"/>
        <v>0</v>
      </c>
      <c r="EM553" s="56"/>
      <c r="EN553" s="61">
        <f t="shared" si="409"/>
        <v>0</v>
      </c>
    </row>
    <row r="554" spans="2:144" s="51" customFormat="1" ht="15" customHeight="1" x14ac:dyDescent="0.25">
      <c r="B554" s="41">
        <v>74</v>
      </c>
      <c r="C554" s="52"/>
      <c r="D554" s="53"/>
      <c r="E554" s="52"/>
      <c r="F554" s="52"/>
      <c r="G554" s="52"/>
      <c r="H554" s="52"/>
      <c r="I554" s="52"/>
      <c r="J554" s="52"/>
      <c r="K554" s="52"/>
      <c r="L554" s="52"/>
      <c r="M554" s="52"/>
      <c r="N554" s="54"/>
      <c r="O554" s="54"/>
      <c r="P554" s="52"/>
      <c r="Q554" s="55"/>
      <c r="R554" s="55"/>
      <c r="S554" s="55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47">
        <f t="shared" si="380"/>
        <v>0</v>
      </c>
      <c r="AO554" s="46">
        <f t="shared" si="381"/>
        <v>0</v>
      </c>
      <c r="AP554" s="56" t="s">
        <v>104</v>
      </c>
      <c r="AQ554" s="46">
        <f t="shared" si="378"/>
        <v>0</v>
      </c>
      <c r="AR554" s="56"/>
      <c r="AS554" s="56"/>
      <c r="AT554" s="56"/>
      <c r="AU554" s="60">
        <f t="shared" si="398"/>
        <v>0</v>
      </c>
      <c r="AV554" s="56"/>
      <c r="AW554" s="47">
        <f t="shared" si="397"/>
        <v>0</v>
      </c>
      <c r="AX554" s="56"/>
      <c r="AY554" s="56"/>
      <c r="AZ554" s="56"/>
      <c r="BA554" s="56"/>
      <c r="BB554" s="56"/>
      <c r="BC554" s="47">
        <f t="shared" si="399"/>
        <v>0</v>
      </c>
      <c r="BD554" s="56"/>
      <c r="BE554" s="47">
        <f t="shared" si="400"/>
        <v>0</v>
      </c>
      <c r="BF554" s="56"/>
      <c r="BG554" s="56"/>
      <c r="BH554" s="56"/>
      <c r="BI554" s="56"/>
      <c r="BJ554" s="56"/>
      <c r="BK554" s="47">
        <f t="shared" si="394"/>
        <v>0</v>
      </c>
      <c r="BL554" s="56"/>
      <c r="BM554" s="56">
        <f t="shared" si="395"/>
        <v>0</v>
      </c>
      <c r="BN554" s="56"/>
      <c r="BO554" s="56"/>
      <c r="BP554" s="56"/>
      <c r="BQ554" s="56"/>
      <c r="BR554" s="56"/>
      <c r="BS554" s="47">
        <f t="shared" si="389"/>
        <v>0</v>
      </c>
      <c r="BT554" s="56"/>
      <c r="BU554" s="47">
        <f t="shared" si="390"/>
        <v>0</v>
      </c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56"/>
      <c r="CP554" s="57"/>
      <c r="CQ554" s="56"/>
      <c r="CR554" s="47">
        <f t="shared" si="401"/>
        <v>0</v>
      </c>
      <c r="CS554" s="56"/>
      <c r="CT554" s="56"/>
      <c r="CU554" s="56"/>
      <c r="CV554" s="56"/>
      <c r="CW554" s="47">
        <f t="shared" si="384"/>
        <v>0</v>
      </c>
      <c r="CX554" s="46"/>
      <c r="CY554" s="47">
        <f t="shared" si="402"/>
        <v>0</v>
      </c>
      <c r="CZ554" s="56"/>
      <c r="DA554" s="56"/>
      <c r="DB554" s="56"/>
      <c r="DC554" s="56"/>
      <c r="DD554" s="47"/>
      <c r="DE554" s="56"/>
      <c r="DF554" s="46"/>
      <c r="DG554" s="56"/>
      <c r="DH554" s="57">
        <f t="shared" si="403"/>
        <v>0</v>
      </c>
      <c r="DI554" s="56"/>
      <c r="DJ554" s="56"/>
      <c r="DK554" s="47">
        <f t="shared" si="410"/>
        <v>0</v>
      </c>
      <c r="DL554" s="47">
        <f t="shared" si="404"/>
        <v>0</v>
      </c>
      <c r="DM554" s="56"/>
      <c r="DN554" s="46">
        <f t="shared" si="405"/>
        <v>0</v>
      </c>
      <c r="DO554" s="56"/>
      <c r="DP554" s="46">
        <f t="shared" si="396"/>
        <v>0</v>
      </c>
      <c r="DQ554" s="56" t="s">
        <v>99</v>
      </c>
      <c r="DR554" s="46">
        <f t="shared" si="406"/>
        <v>0</v>
      </c>
      <c r="DS554" s="56"/>
      <c r="DT554" s="46">
        <f t="shared" si="392"/>
        <v>0</v>
      </c>
      <c r="DU554" s="56"/>
      <c r="DV554" s="46">
        <f t="shared" si="393"/>
        <v>0</v>
      </c>
      <c r="DW554" s="56"/>
      <c r="DX554" s="47">
        <f t="shared" si="377"/>
        <v>0</v>
      </c>
      <c r="DY554" s="56"/>
      <c r="DZ554" s="56"/>
      <c r="EA554" s="56"/>
      <c r="EB554" s="56"/>
      <c r="EC554" s="56"/>
      <c r="ED554" s="56"/>
      <c r="EE554" s="47">
        <f t="shared" si="411"/>
        <v>0</v>
      </c>
      <c r="EF554" s="56"/>
      <c r="EG554" s="56"/>
      <c r="EH554" s="56"/>
      <c r="EI554" s="56"/>
      <c r="EJ554" s="56"/>
      <c r="EK554" s="47">
        <f t="shared" si="407"/>
        <v>0</v>
      </c>
      <c r="EL554" s="46">
        <f t="shared" si="408"/>
        <v>0</v>
      </c>
      <c r="EM554" s="56"/>
      <c r="EN554" s="61">
        <f t="shared" si="409"/>
        <v>0</v>
      </c>
    </row>
    <row r="555" spans="2:144" s="51" customFormat="1" ht="15" customHeight="1" x14ac:dyDescent="0.25">
      <c r="B555" s="41">
        <v>75</v>
      </c>
      <c r="C555" s="52"/>
      <c r="D555" s="53"/>
      <c r="E555" s="52"/>
      <c r="F555" s="52"/>
      <c r="G555" s="52"/>
      <c r="H555" s="52"/>
      <c r="I555" s="52"/>
      <c r="J555" s="52"/>
      <c r="K555" s="52"/>
      <c r="L555" s="52"/>
      <c r="M555" s="52"/>
      <c r="N555" s="54"/>
      <c r="O555" s="54"/>
      <c r="P555" s="52"/>
      <c r="Q555" s="55"/>
      <c r="R555" s="55"/>
      <c r="S555" s="55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60">
        <f t="shared" si="380"/>
        <v>0</v>
      </c>
      <c r="AO555" s="57">
        <f t="shared" si="381"/>
        <v>0</v>
      </c>
      <c r="AP555" s="56" t="s">
        <v>135</v>
      </c>
      <c r="AQ555" s="46">
        <f t="shared" si="378"/>
        <v>0</v>
      </c>
      <c r="AR555" s="56"/>
      <c r="AS555" s="56"/>
      <c r="AT555" s="56"/>
      <c r="AU555" s="60">
        <f t="shared" si="398"/>
        <v>0</v>
      </c>
      <c r="AV555" s="56"/>
      <c r="AW555" s="47">
        <f>AQ555+AR555+AU555+AV555</f>
        <v>0</v>
      </c>
      <c r="AX555" s="56"/>
      <c r="AY555" s="56"/>
      <c r="AZ555" s="56"/>
      <c r="BA555" s="56"/>
      <c r="BB555" s="56"/>
      <c r="BC555" s="47">
        <f t="shared" si="399"/>
        <v>0</v>
      </c>
      <c r="BD555" s="56"/>
      <c r="BE555" s="47">
        <f t="shared" si="400"/>
        <v>0</v>
      </c>
      <c r="BF555" s="56"/>
      <c r="BG555" s="56"/>
      <c r="BH555" s="56"/>
      <c r="BI555" s="56"/>
      <c r="BJ555" s="56"/>
      <c r="BK555" s="56"/>
      <c r="BL555" s="56"/>
      <c r="BM555" s="46">
        <f>BK555</f>
        <v>0</v>
      </c>
      <c r="BN555" s="56"/>
      <c r="BO555" s="56"/>
      <c r="BP555" s="56"/>
      <c r="BQ555" s="56"/>
      <c r="BR555" s="56"/>
      <c r="BS555" s="47">
        <f t="shared" si="389"/>
        <v>0</v>
      </c>
      <c r="BT555" s="56"/>
      <c r="BU555" s="47">
        <f t="shared" si="390"/>
        <v>0</v>
      </c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56"/>
      <c r="CP555" s="57">
        <f>CN555*CO555</f>
        <v>0</v>
      </c>
      <c r="CQ555" s="56"/>
      <c r="CR555" s="47">
        <f t="shared" si="401"/>
        <v>0</v>
      </c>
      <c r="CS555" s="56"/>
      <c r="CT555" s="56"/>
      <c r="CU555" s="56"/>
      <c r="CV555" s="56"/>
      <c r="CW555" s="47">
        <f t="shared" si="384"/>
        <v>0</v>
      </c>
      <c r="CX555" s="46"/>
      <c r="CY555" s="47">
        <f t="shared" si="402"/>
        <v>0</v>
      </c>
      <c r="CZ555" s="56"/>
      <c r="DA555" s="56"/>
      <c r="DB555" s="56"/>
      <c r="DC555" s="56"/>
      <c r="DD555" s="47">
        <f>+DB555*DC555</f>
        <v>0</v>
      </c>
      <c r="DE555" s="56"/>
      <c r="DF555" s="46">
        <f>DC555</f>
        <v>0</v>
      </c>
      <c r="DG555" s="56"/>
      <c r="DH555" s="57">
        <f t="shared" si="403"/>
        <v>0</v>
      </c>
      <c r="DI555" s="56"/>
      <c r="DJ555" s="56"/>
      <c r="DK555" s="47">
        <f t="shared" si="410"/>
        <v>0</v>
      </c>
      <c r="DL555" s="47">
        <f t="shared" si="404"/>
        <v>0</v>
      </c>
      <c r="DM555" s="56"/>
      <c r="DN555" s="46">
        <f t="shared" si="405"/>
        <v>0</v>
      </c>
      <c r="DO555" s="56"/>
      <c r="DP555" s="46">
        <f>10%*AQ555</f>
        <v>0</v>
      </c>
      <c r="DQ555" s="56" t="s">
        <v>99</v>
      </c>
      <c r="DR555" s="46">
        <f t="shared" si="406"/>
        <v>0</v>
      </c>
      <c r="DS555" s="56"/>
      <c r="DT555" s="46">
        <f t="shared" si="392"/>
        <v>0</v>
      </c>
      <c r="DU555" s="56"/>
      <c r="DV555" s="46">
        <f t="shared" si="393"/>
        <v>0</v>
      </c>
      <c r="DW555" s="56"/>
      <c r="DX555" s="47">
        <f t="shared" si="377"/>
        <v>0</v>
      </c>
      <c r="DY555" s="56"/>
      <c r="DZ555" s="56"/>
      <c r="EA555" s="56"/>
      <c r="EB555" s="56"/>
      <c r="EC555" s="56"/>
      <c r="ED555" s="56"/>
      <c r="EE555" s="47">
        <f t="shared" si="411"/>
        <v>0</v>
      </c>
      <c r="EF555" s="56"/>
      <c r="EG555" s="56"/>
      <c r="EH555" s="56"/>
      <c r="EI555" s="56"/>
      <c r="EJ555" s="56"/>
      <c r="EK555" s="47">
        <f t="shared" si="407"/>
        <v>0</v>
      </c>
      <c r="EL555" s="46">
        <f t="shared" si="408"/>
        <v>0</v>
      </c>
      <c r="EM555" s="56"/>
      <c r="EN555" s="61">
        <f t="shared" si="409"/>
        <v>0</v>
      </c>
    </row>
    <row r="556" spans="2:144" s="48" customFormat="1" ht="15" customHeight="1" x14ac:dyDescent="0.25">
      <c r="B556" s="41">
        <v>76</v>
      </c>
      <c r="C556" s="42"/>
      <c r="D556" s="43"/>
      <c r="E556" s="52"/>
      <c r="F556" s="42"/>
      <c r="G556" s="42"/>
      <c r="H556" s="42"/>
      <c r="I556" s="42"/>
      <c r="J556" s="42"/>
      <c r="K556" s="42"/>
      <c r="L556" s="42"/>
      <c r="M556" s="42"/>
      <c r="N556" s="41"/>
      <c r="O556" s="41"/>
      <c r="P556" s="42"/>
      <c r="Q556" s="45"/>
      <c r="R556" s="45"/>
      <c r="S556" s="42"/>
      <c r="T556" s="46"/>
      <c r="U556" s="46"/>
      <c r="V556" s="42"/>
      <c r="W556" s="42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7">
        <f t="shared" si="380"/>
        <v>0</v>
      </c>
      <c r="AO556" s="47">
        <f t="shared" si="381"/>
        <v>0</v>
      </c>
      <c r="AP556" s="46" t="s">
        <v>135</v>
      </c>
      <c r="AQ556" s="46">
        <f t="shared" si="378"/>
        <v>0</v>
      </c>
      <c r="AR556" s="46"/>
      <c r="AS556" s="46"/>
      <c r="AT556" s="46"/>
      <c r="AU556" s="47">
        <f t="shared" si="398"/>
        <v>0</v>
      </c>
      <c r="AV556" s="46"/>
      <c r="AW556" s="47">
        <f t="shared" ref="AW556:AW580" si="412">AQ556+AU556+AV556+AR556</f>
        <v>0</v>
      </c>
      <c r="AX556" s="46"/>
      <c r="AY556" s="46"/>
      <c r="AZ556" s="46"/>
      <c r="BA556" s="46"/>
      <c r="BB556" s="46"/>
      <c r="BC556" s="47">
        <f t="shared" si="399"/>
        <v>0</v>
      </c>
      <c r="BD556" s="46"/>
      <c r="BE556" s="47">
        <f t="shared" si="400"/>
        <v>0</v>
      </c>
      <c r="BF556" s="46"/>
      <c r="BG556" s="46"/>
      <c r="BH556" s="46"/>
      <c r="BI556" s="46"/>
      <c r="BJ556" s="46"/>
      <c r="BK556" s="46">
        <f>BI556*BJ556</f>
        <v>0</v>
      </c>
      <c r="BL556" s="46"/>
      <c r="BM556" s="46">
        <f>BK556</f>
        <v>0</v>
      </c>
      <c r="BN556" s="46"/>
      <c r="BO556" s="46"/>
      <c r="BP556" s="46"/>
      <c r="BQ556" s="46"/>
      <c r="BR556" s="46"/>
      <c r="BS556" s="47">
        <f t="shared" si="389"/>
        <v>0</v>
      </c>
      <c r="BT556" s="46"/>
      <c r="BU556" s="47">
        <f t="shared" si="390"/>
        <v>0</v>
      </c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  <c r="CK556" s="46"/>
      <c r="CL556" s="46"/>
      <c r="CM556" s="46"/>
      <c r="CN556" s="46"/>
      <c r="CO556" s="46"/>
      <c r="CP556" s="46">
        <f>CN556*CO556</f>
        <v>0</v>
      </c>
      <c r="CQ556" s="46"/>
      <c r="CR556" s="47">
        <f t="shared" si="401"/>
        <v>0</v>
      </c>
      <c r="CS556" s="46"/>
      <c r="CT556" s="46"/>
      <c r="CU556" s="46"/>
      <c r="CV556" s="46"/>
      <c r="CW556" s="47">
        <f t="shared" si="384"/>
        <v>0</v>
      </c>
      <c r="CX556" s="46"/>
      <c r="CY556" s="47">
        <f t="shared" si="402"/>
        <v>0</v>
      </c>
      <c r="CZ556" s="46"/>
      <c r="DA556" s="46"/>
      <c r="DB556" s="46"/>
      <c r="DC556" s="46"/>
      <c r="DD556" s="47">
        <f>+DB556*DC556</f>
        <v>0</v>
      </c>
      <c r="DE556" s="46"/>
      <c r="DF556" s="46">
        <f>DC556</f>
        <v>0</v>
      </c>
      <c r="DG556" s="46"/>
      <c r="DH556" s="46">
        <f t="shared" si="403"/>
        <v>0</v>
      </c>
      <c r="DI556" s="46"/>
      <c r="DJ556" s="46"/>
      <c r="DK556" s="47">
        <f t="shared" si="410"/>
        <v>0</v>
      </c>
      <c r="DL556" s="47">
        <f t="shared" si="404"/>
        <v>0</v>
      </c>
      <c r="DM556" s="46"/>
      <c r="DN556" s="46">
        <f t="shared" si="405"/>
        <v>0</v>
      </c>
      <c r="DO556" s="46"/>
      <c r="DP556" s="46">
        <f>10%*AQ556</f>
        <v>0</v>
      </c>
      <c r="DQ556" s="46" t="s">
        <v>100</v>
      </c>
      <c r="DR556" s="46">
        <f t="shared" si="406"/>
        <v>0</v>
      </c>
      <c r="DS556" s="46"/>
      <c r="DT556" s="46">
        <f t="shared" si="392"/>
        <v>0</v>
      </c>
      <c r="DU556" s="46"/>
      <c r="DV556" s="46">
        <f t="shared" si="393"/>
        <v>0</v>
      </c>
      <c r="DW556" s="46"/>
      <c r="DX556" s="47">
        <f t="shared" si="377"/>
        <v>0</v>
      </c>
      <c r="DY556" s="46"/>
      <c r="DZ556" s="46"/>
      <c r="EA556" s="46"/>
      <c r="EB556" s="46"/>
      <c r="EC556" s="46"/>
      <c r="ED556" s="46"/>
      <c r="EE556" s="47">
        <f t="shared" si="411"/>
        <v>0</v>
      </c>
      <c r="EF556" s="46"/>
      <c r="EG556" s="46"/>
      <c r="EH556" s="46"/>
      <c r="EI556" s="46"/>
      <c r="EJ556" s="46"/>
      <c r="EK556" s="47">
        <f t="shared" si="407"/>
        <v>0</v>
      </c>
      <c r="EL556" s="46">
        <f t="shared" si="408"/>
        <v>0</v>
      </c>
      <c r="EM556" s="46"/>
      <c r="EN556" s="46">
        <f t="shared" si="409"/>
        <v>0</v>
      </c>
    </row>
    <row r="557" spans="2:144" s="51" customFormat="1" ht="15" customHeight="1" x14ac:dyDescent="0.25">
      <c r="B557" s="41">
        <v>77</v>
      </c>
      <c r="C557" s="52"/>
      <c r="D557" s="53"/>
      <c r="E557" s="52"/>
      <c r="F557" s="52"/>
      <c r="G557" s="52"/>
      <c r="H557" s="52"/>
      <c r="I557" s="52"/>
      <c r="J557" s="52"/>
      <c r="K557" s="52"/>
      <c r="L557" s="52"/>
      <c r="M557" s="52"/>
      <c r="N557" s="54"/>
      <c r="O557" s="54"/>
      <c r="P557" s="52"/>
      <c r="Q557" s="55"/>
      <c r="R557" s="55"/>
      <c r="S557" s="55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47">
        <f t="shared" si="380"/>
        <v>0</v>
      </c>
      <c r="AO557" s="46">
        <f t="shared" si="381"/>
        <v>0</v>
      </c>
      <c r="AP557" s="56" t="s">
        <v>136</v>
      </c>
      <c r="AQ557" s="46">
        <f>23%*AO557</f>
        <v>0</v>
      </c>
      <c r="AR557" s="56"/>
      <c r="AS557" s="56"/>
      <c r="AT557" s="56"/>
      <c r="AU557" s="60">
        <f t="shared" si="398"/>
        <v>0</v>
      </c>
      <c r="AV557" s="56"/>
      <c r="AW557" s="47">
        <f t="shared" si="412"/>
        <v>0</v>
      </c>
      <c r="AX557" s="56"/>
      <c r="AY557" s="56"/>
      <c r="AZ557" s="56"/>
      <c r="BA557" s="56"/>
      <c r="BB557" s="56"/>
      <c r="BC557" s="47">
        <f t="shared" si="399"/>
        <v>0</v>
      </c>
      <c r="BD557" s="56"/>
      <c r="BE557" s="47">
        <f t="shared" si="400"/>
        <v>0</v>
      </c>
      <c r="BF557" s="56"/>
      <c r="BG557" s="56"/>
      <c r="BH557" s="56"/>
      <c r="BI557" s="56"/>
      <c r="BJ557" s="56"/>
      <c r="BK557" s="47">
        <f>+BI557*BJ557</f>
        <v>0</v>
      </c>
      <c r="BL557" s="56"/>
      <c r="BM557" s="56">
        <f>BK557+BL557</f>
        <v>0</v>
      </c>
      <c r="BN557" s="56"/>
      <c r="BO557" s="56"/>
      <c r="BP557" s="56"/>
      <c r="BQ557" s="56"/>
      <c r="BR557" s="56"/>
      <c r="BS557" s="47">
        <f t="shared" si="389"/>
        <v>0</v>
      </c>
      <c r="BT557" s="56"/>
      <c r="BU557" s="47">
        <f t="shared" si="390"/>
        <v>0</v>
      </c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  <c r="CL557" s="56"/>
      <c r="CM557" s="56"/>
      <c r="CN557" s="56"/>
      <c r="CO557" s="56"/>
      <c r="CP557" s="57"/>
      <c r="CQ557" s="56"/>
      <c r="CR557" s="47">
        <f t="shared" si="401"/>
        <v>0</v>
      </c>
      <c r="CS557" s="56"/>
      <c r="CT557" s="56"/>
      <c r="CU557" s="56"/>
      <c r="CV557" s="56"/>
      <c r="CW557" s="47">
        <f t="shared" si="384"/>
        <v>0</v>
      </c>
      <c r="CX557" s="46"/>
      <c r="CY557" s="47">
        <f t="shared" si="402"/>
        <v>0</v>
      </c>
      <c r="CZ557" s="56"/>
      <c r="DA557" s="56"/>
      <c r="DB557" s="56"/>
      <c r="DC557" s="56"/>
      <c r="DD557" s="47"/>
      <c r="DE557" s="56"/>
      <c r="DF557" s="46"/>
      <c r="DG557" s="56"/>
      <c r="DH557" s="57">
        <f t="shared" si="403"/>
        <v>0</v>
      </c>
      <c r="DI557" s="56"/>
      <c r="DJ557" s="56"/>
      <c r="DK557" s="47">
        <f t="shared" si="410"/>
        <v>0</v>
      </c>
      <c r="DL557" s="47">
        <f t="shared" si="404"/>
        <v>0</v>
      </c>
      <c r="DM557" s="56"/>
      <c r="DN557" s="46">
        <f t="shared" si="405"/>
        <v>0</v>
      </c>
      <c r="DO557" s="56"/>
      <c r="DP557" s="46">
        <f t="shared" ref="DP557:DP579" si="413">DN557</f>
        <v>0</v>
      </c>
      <c r="DQ557" s="56" t="s">
        <v>99</v>
      </c>
      <c r="DR557" s="46">
        <f t="shared" si="406"/>
        <v>0</v>
      </c>
      <c r="DS557" s="56"/>
      <c r="DT557" s="46">
        <f t="shared" si="392"/>
        <v>0</v>
      </c>
      <c r="DU557" s="56"/>
      <c r="DV557" s="46">
        <f t="shared" si="393"/>
        <v>0</v>
      </c>
      <c r="DW557" s="56"/>
      <c r="DX557" s="47">
        <f t="shared" si="377"/>
        <v>0</v>
      </c>
      <c r="DY557" s="56"/>
      <c r="DZ557" s="56"/>
      <c r="EA557" s="56"/>
      <c r="EB557" s="56"/>
      <c r="EC557" s="56"/>
      <c r="ED557" s="56"/>
      <c r="EE557" s="47">
        <f t="shared" si="411"/>
        <v>0</v>
      </c>
      <c r="EF557" s="56"/>
      <c r="EG557" s="56"/>
      <c r="EH557" s="56"/>
      <c r="EI557" s="56"/>
      <c r="EJ557" s="56"/>
      <c r="EK557" s="47">
        <f t="shared" si="407"/>
        <v>0</v>
      </c>
      <c r="EL557" s="46">
        <f t="shared" si="408"/>
        <v>0</v>
      </c>
      <c r="EM557" s="56"/>
      <c r="EN557" s="61">
        <f t="shared" si="409"/>
        <v>0</v>
      </c>
    </row>
    <row r="558" spans="2:144" s="51" customFormat="1" ht="15" customHeight="1" x14ac:dyDescent="0.25">
      <c r="B558" s="41">
        <v>79</v>
      </c>
      <c r="C558" s="52"/>
      <c r="D558" s="53"/>
      <c r="E558" s="52"/>
      <c r="F558" s="52"/>
      <c r="G558" s="52"/>
      <c r="H558" s="52"/>
      <c r="I558" s="52"/>
      <c r="J558" s="52"/>
      <c r="K558" s="52"/>
      <c r="L558" s="52"/>
      <c r="M558" s="52"/>
      <c r="N558" s="54"/>
      <c r="O558" s="54"/>
      <c r="P558" s="52"/>
      <c r="Q558" s="55"/>
      <c r="R558" s="55"/>
      <c r="S558" s="55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47">
        <f t="shared" si="380"/>
        <v>0</v>
      </c>
      <c r="AO558" s="46">
        <f t="shared" si="381"/>
        <v>0</v>
      </c>
      <c r="AP558" s="56" t="s">
        <v>135</v>
      </c>
      <c r="AQ558" s="46">
        <f>20%*AO558</f>
        <v>0</v>
      </c>
      <c r="AR558" s="56"/>
      <c r="AS558" s="56"/>
      <c r="AT558" s="56"/>
      <c r="AU558" s="60">
        <f t="shared" si="398"/>
        <v>0</v>
      </c>
      <c r="AV558" s="56"/>
      <c r="AW558" s="47">
        <f t="shared" si="412"/>
        <v>0</v>
      </c>
      <c r="AX558" s="56"/>
      <c r="AY558" s="56"/>
      <c r="AZ558" s="56"/>
      <c r="BA558" s="56"/>
      <c r="BB558" s="56"/>
      <c r="BC558" s="47">
        <f t="shared" si="399"/>
        <v>0</v>
      </c>
      <c r="BD558" s="56"/>
      <c r="BE558" s="47">
        <f t="shared" si="400"/>
        <v>0</v>
      </c>
      <c r="BF558" s="56"/>
      <c r="BG558" s="56"/>
      <c r="BH558" s="56"/>
      <c r="BI558" s="56"/>
      <c r="BJ558" s="56"/>
      <c r="BK558" s="47">
        <f>+BI558*BJ558</f>
        <v>0</v>
      </c>
      <c r="BL558" s="56"/>
      <c r="BM558" s="56">
        <f>BK558+BL558</f>
        <v>0</v>
      </c>
      <c r="BN558" s="56"/>
      <c r="BO558" s="56"/>
      <c r="BP558" s="56"/>
      <c r="BQ558" s="56"/>
      <c r="BR558" s="56"/>
      <c r="BS558" s="47">
        <f t="shared" si="389"/>
        <v>0</v>
      </c>
      <c r="BT558" s="56"/>
      <c r="BU558" s="47">
        <f t="shared" si="390"/>
        <v>0</v>
      </c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  <c r="CL558" s="56"/>
      <c r="CM558" s="56"/>
      <c r="CN558" s="56"/>
      <c r="CO558" s="56"/>
      <c r="CP558" s="57"/>
      <c r="CQ558" s="56"/>
      <c r="CR558" s="47">
        <f t="shared" si="401"/>
        <v>0</v>
      </c>
      <c r="CS558" s="56"/>
      <c r="CT558" s="56"/>
      <c r="CU558" s="56"/>
      <c r="CV558" s="56"/>
      <c r="CW558" s="47">
        <f t="shared" si="384"/>
        <v>0</v>
      </c>
      <c r="CX558" s="46"/>
      <c r="CY558" s="47">
        <f t="shared" si="402"/>
        <v>0</v>
      </c>
      <c r="CZ558" s="56"/>
      <c r="DA558" s="56"/>
      <c r="DB558" s="56"/>
      <c r="DC558" s="56"/>
      <c r="DD558" s="47"/>
      <c r="DE558" s="56"/>
      <c r="DF558" s="46"/>
      <c r="DG558" s="56"/>
      <c r="DH558" s="57">
        <f t="shared" si="403"/>
        <v>0</v>
      </c>
      <c r="DI558" s="56"/>
      <c r="DJ558" s="56"/>
      <c r="DK558" s="47">
        <f t="shared" si="410"/>
        <v>0</v>
      </c>
      <c r="DL558" s="47">
        <f t="shared" si="404"/>
        <v>0</v>
      </c>
      <c r="DM558" s="56"/>
      <c r="DN558" s="46">
        <f t="shared" si="405"/>
        <v>0</v>
      </c>
      <c r="DO558" s="56"/>
      <c r="DP558" s="46">
        <f t="shared" si="413"/>
        <v>0</v>
      </c>
      <c r="DQ558" s="56" t="s">
        <v>100</v>
      </c>
      <c r="DR558" s="46">
        <f t="shared" si="406"/>
        <v>0</v>
      </c>
      <c r="DS558" s="56"/>
      <c r="DT558" s="46">
        <f t="shared" si="392"/>
        <v>0</v>
      </c>
      <c r="DU558" s="56"/>
      <c r="DV558" s="46">
        <f t="shared" si="393"/>
        <v>0</v>
      </c>
      <c r="DW558" s="56"/>
      <c r="DX558" s="47">
        <f t="shared" si="377"/>
        <v>0</v>
      </c>
      <c r="DY558" s="56"/>
      <c r="DZ558" s="56"/>
      <c r="EA558" s="56"/>
      <c r="EB558" s="56"/>
      <c r="EC558" s="56"/>
      <c r="ED558" s="56"/>
      <c r="EE558" s="47">
        <f t="shared" si="411"/>
        <v>0</v>
      </c>
      <c r="EF558" s="56"/>
      <c r="EG558" s="56"/>
      <c r="EH558" s="56"/>
      <c r="EI558" s="56"/>
      <c r="EJ558" s="56"/>
      <c r="EK558" s="47">
        <f t="shared" si="407"/>
        <v>0</v>
      </c>
      <c r="EL558" s="46">
        <f t="shared" si="408"/>
        <v>0</v>
      </c>
      <c r="EM558" s="56"/>
      <c r="EN558" s="61">
        <f t="shared" si="409"/>
        <v>0</v>
      </c>
    </row>
    <row r="559" spans="2:144" s="51" customFormat="1" ht="15" customHeight="1" x14ac:dyDescent="0.25">
      <c r="B559" s="41">
        <v>80</v>
      </c>
      <c r="C559" s="52"/>
      <c r="D559" s="53"/>
      <c r="E559" s="52"/>
      <c r="F559" s="52"/>
      <c r="G559" s="52"/>
      <c r="H559" s="52"/>
      <c r="I559" s="52"/>
      <c r="J559" s="52"/>
      <c r="K559" s="52"/>
      <c r="L559" s="52"/>
      <c r="M559" s="52"/>
      <c r="N559" s="54"/>
      <c r="O559" s="54"/>
      <c r="P559" s="52"/>
      <c r="Q559" s="55"/>
      <c r="R559" s="55"/>
      <c r="S559" s="55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47">
        <f t="shared" si="380"/>
        <v>0</v>
      </c>
      <c r="AO559" s="46">
        <f t="shared" si="381"/>
        <v>0</v>
      </c>
      <c r="AP559" s="56" t="s">
        <v>135</v>
      </c>
      <c r="AQ559" s="46">
        <f>20%*AO559</f>
        <v>0</v>
      </c>
      <c r="AR559" s="56"/>
      <c r="AS559" s="56"/>
      <c r="AT559" s="56"/>
      <c r="AU559" s="60">
        <f t="shared" si="398"/>
        <v>0</v>
      </c>
      <c r="AV559" s="56"/>
      <c r="AW559" s="47">
        <f t="shared" si="412"/>
        <v>0</v>
      </c>
      <c r="AX559" s="56"/>
      <c r="AY559" s="56"/>
      <c r="AZ559" s="56"/>
      <c r="BA559" s="56"/>
      <c r="BB559" s="56"/>
      <c r="BC559" s="47">
        <f t="shared" si="399"/>
        <v>0</v>
      </c>
      <c r="BD559" s="56"/>
      <c r="BE559" s="47">
        <f t="shared" si="400"/>
        <v>0</v>
      </c>
      <c r="BF559" s="56"/>
      <c r="BG559" s="56"/>
      <c r="BH559" s="56"/>
      <c r="BI559" s="56"/>
      <c r="BJ559" s="56"/>
      <c r="BK559" s="47">
        <f>+BI559*BJ559</f>
        <v>0</v>
      </c>
      <c r="BL559" s="56"/>
      <c r="BM559" s="56">
        <f>BK559+BL559</f>
        <v>0</v>
      </c>
      <c r="BN559" s="56"/>
      <c r="BO559" s="56"/>
      <c r="BP559" s="56"/>
      <c r="BQ559" s="56"/>
      <c r="BR559" s="56"/>
      <c r="BS559" s="47">
        <f t="shared" si="389"/>
        <v>0</v>
      </c>
      <c r="BT559" s="56"/>
      <c r="BU559" s="47">
        <f t="shared" si="390"/>
        <v>0</v>
      </c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56"/>
      <c r="CP559" s="57"/>
      <c r="CQ559" s="56"/>
      <c r="CR559" s="47">
        <f t="shared" si="401"/>
        <v>0</v>
      </c>
      <c r="CS559" s="56"/>
      <c r="CT559" s="56"/>
      <c r="CU559" s="56"/>
      <c r="CV559" s="56"/>
      <c r="CW559" s="47">
        <f t="shared" si="384"/>
        <v>0</v>
      </c>
      <c r="CX559" s="46"/>
      <c r="CY559" s="47">
        <f t="shared" si="402"/>
        <v>0</v>
      </c>
      <c r="CZ559" s="56"/>
      <c r="DA559" s="56"/>
      <c r="DB559" s="56"/>
      <c r="DC559" s="56"/>
      <c r="DD559" s="47"/>
      <c r="DE559" s="56"/>
      <c r="DF559" s="46"/>
      <c r="DG559" s="56"/>
      <c r="DH559" s="57">
        <f t="shared" si="403"/>
        <v>0</v>
      </c>
      <c r="DI559" s="56"/>
      <c r="DJ559" s="56"/>
      <c r="DK559" s="47">
        <f t="shared" si="410"/>
        <v>0</v>
      </c>
      <c r="DL559" s="47">
        <f t="shared" si="404"/>
        <v>0</v>
      </c>
      <c r="DM559" s="56"/>
      <c r="DN559" s="46">
        <f t="shared" si="405"/>
        <v>0</v>
      </c>
      <c r="DO559" s="56"/>
      <c r="DP559" s="46">
        <f t="shared" si="413"/>
        <v>0</v>
      </c>
      <c r="DQ559" s="56" t="s">
        <v>100</v>
      </c>
      <c r="DR559" s="46">
        <f t="shared" si="406"/>
        <v>0</v>
      </c>
      <c r="DS559" s="56"/>
      <c r="DT559" s="46">
        <f t="shared" si="392"/>
        <v>0</v>
      </c>
      <c r="DU559" s="56"/>
      <c r="DV559" s="46">
        <f t="shared" si="393"/>
        <v>0</v>
      </c>
      <c r="DW559" s="56"/>
      <c r="DX559" s="47">
        <f t="shared" si="377"/>
        <v>0</v>
      </c>
      <c r="DY559" s="56"/>
      <c r="DZ559" s="56"/>
      <c r="EA559" s="56"/>
      <c r="EB559" s="56"/>
      <c r="EC559" s="56"/>
      <c r="ED559" s="56"/>
      <c r="EE559" s="47">
        <f t="shared" si="411"/>
        <v>0</v>
      </c>
      <c r="EF559" s="56"/>
      <c r="EG559" s="56"/>
      <c r="EH559" s="56"/>
      <c r="EI559" s="56"/>
      <c r="EJ559" s="56"/>
      <c r="EK559" s="47">
        <f t="shared" si="407"/>
        <v>0</v>
      </c>
      <c r="EL559" s="46">
        <f t="shared" si="408"/>
        <v>0</v>
      </c>
      <c r="EM559" s="56"/>
      <c r="EN559" s="61">
        <f t="shared" si="409"/>
        <v>0</v>
      </c>
    </row>
    <row r="560" spans="2:144" s="51" customFormat="1" ht="15" customHeight="1" x14ac:dyDescent="0.25">
      <c r="B560" s="41">
        <v>81</v>
      </c>
      <c r="C560" s="52"/>
      <c r="D560" s="53"/>
      <c r="E560" s="52"/>
      <c r="F560" s="52"/>
      <c r="G560" s="52"/>
      <c r="H560" s="52"/>
      <c r="I560" s="52"/>
      <c r="J560" s="52"/>
      <c r="K560" s="52"/>
      <c r="L560" s="52"/>
      <c r="M560" s="52"/>
      <c r="N560" s="54"/>
      <c r="O560" s="54"/>
      <c r="P560" s="52"/>
      <c r="Q560" s="55"/>
      <c r="R560" s="55"/>
      <c r="S560" s="55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47">
        <f t="shared" si="380"/>
        <v>0</v>
      </c>
      <c r="AO560" s="46">
        <f t="shared" si="381"/>
        <v>0</v>
      </c>
      <c r="AP560" s="56" t="s">
        <v>104</v>
      </c>
      <c r="AQ560" s="46">
        <f>20%*AO560</f>
        <v>0</v>
      </c>
      <c r="AR560" s="56"/>
      <c r="AS560" s="56"/>
      <c r="AT560" s="56"/>
      <c r="AU560" s="60">
        <f t="shared" si="398"/>
        <v>0</v>
      </c>
      <c r="AV560" s="56"/>
      <c r="AW560" s="47">
        <f t="shared" si="412"/>
        <v>0</v>
      </c>
      <c r="AX560" s="56"/>
      <c r="AY560" s="56"/>
      <c r="AZ560" s="56"/>
      <c r="BA560" s="56"/>
      <c r="BB560" s="56"/>
      <c r="BC560" s="47">
        <f t="shared" si="399"/>
        <v>0</v>
      </c>
      <c r="BD560" s="56"/>
      <c r="BE560" s="47">
        <f t="shared" si="400"/>
        <v>0</v>
      </c>
      <c r="BF560" s="56"/>
      <c r="BG560" s="56"/>
      <c r="BH560" s="56"/>
      <c r="BI560" s="56"/>
      <c r="BJ560" s="56"/>
      <c r="BK560" s="47">
        <f>+BI560*BJ560</f>
        <v>0</v>
      </c>
      <c r="BL560" s="56"/>
      <c r="BM560" s="56">
        <f>BK560+BL560</f>
        <v>0</v>
      </c>
      <c r="BN560" s="56"/>
      <c r="BO560" s="56"/>
      <c r="BP560" s="56"/>
      <c r="BQ560" s="56"/>
      <c r="BR560" s="56"/>
      <c r="BS560" s="47">
        <f t="shared" si="389"/>
        <v>0</v>
      </c>
      <c r="BT560" s="56"/>
      <c r="BU560" s="47">
        <f t="shared" si="390"/>
        <v>0</v>
      </c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56"/>
      <c r="CP560" s="57"/>
      <c r="CQ560" s="56"/>
      <c r="CR560" s="47">
        <f t="shared" si="401"/>
        <v>0</v>
      </c>
      <c r="CS560" s="56"/>
      <c r="CT560" s="56"/>
      <c r="CU560" s="56"/>
      <c r="CV560" s="56"/>
      <c r="CW560" s="47">
        <f t="shared" si="384"/>
        <v>0</v>
      </c>
      <c r="CX560" s="46"/>
      <c r="CY560" s="47">
        <f t="shared" si="402"/>
        <v>0</v>
      </c>
      <c r="CZ560" s="56"/>
      <c r="DA560" s="56"/>
      <c r="DB560" s="56"/>
      <c r="DC560" s="56"/>
      <c r="DD560" s="47"/>
      <c r="DE560" s="56"/>
      <c r="DF560" s="46"/>
      <c r="DG560" s="56"/>
      <c r="DH560" s="57">
        <f t="shared" si="403"/>
        <v>0</v>
      </c>
      <c r="DI560" s="56"/>
      <c r="DJ560" s="56"/>
      <c r="DK560" s="47">
        <f t="shared" si="410"/>
        <v>0</v>
      </c>
      <c r="DL560" s="47">
        <f t="shared" si="404"/>
        <v>0</v>
      </c>
      <c r="DM560" s="56"/>
      <c r="DN560" s="46">
        <f t="shared" si="405"/>
        <v>0</v>
      </c>
      <c r="DO560" s="56"/>
      <c r="DP560" s="46">
        <f t="shared" si="413"/>
        <v>0</v>
      </c>
      <c r="DQ560" s="56" t="s">
        <v>100</v>
      </c>
      <c r="DR560" s="46">
        <f t="shared" si="406"/>
        <v>0</v>
      </c>
      <c r="DS560" s="56"/>
      <c r="DT560" s="46">
        <f t="shared" si="392"/>
        <v>0</v>
      </c>
      <c r="DU560" s="56"/>
      <c r="DV560" s="46">
        <f t="shared" si="393"/>
        <v>0</v>
      </c>
      <c r="DW560" s="56"/>
      <c r="DX560" s="47">
        <f t="shared" si="377"/>
        <v>0</v>
      </c>
      <c r="DY560" s="56"/>
      <c r="DZ560" s="56"/>
      <c r="EA560" s="56"/>
      <c r="EB560" s="56"/>
      <c r="EC560" s="56"/>
      <c r="ED560" s="56"/>
      <c r="EE560" s="47">
        <f t="shared" si="411"/>
        <v>0</v>
      </c>
      <c r="EF560" s="56"/>
      <c r="EG560" s="56"/>
      <c r="EH560" s="56"/>
      <c r="EI560" s="56"/>
      <c r="EJ560" s="56"/>
      <c r="EK560" s="47">
        <f t="shared" si="407"/>
        <v>0</v>
      </c>
      <c r="EL560" s="46">
        <f t="shared" si="408"/>
        <v>0</v>
      </c>
      <c r="EM560" s="56"/>
      <c r="EN560" s="61">
        <f t="shared" si="409"/>
        <v>0</v>
      </c>
    </row>
    <row r="561" spans="2:144" s="48" customFormat="1" ht="15" customHeight="1" x14ac:dyDescent="0.25">
      <c r="B561" s="41">
        <v>82</v>
      </c>
      <c r="C561" s="42"/>
      <c r="D561" s="43"/>
      <c r="E561" s="52"/>
      <c r="F561" s="42"/>
      <c r="G561" s="42"/>
      <c r="H561" s="42"/>
      <c r="I561" s="42"/>
      <c r="J561" s="42"/>
      <c r="K561" s="42"/>
      <c r="L561" s="42"/>
      <c r="M561" s="42"/>
      <c r="N561" s="41"/>
      <c r="O561" s="41"/>
      <c r="P561" s="42"/>
      <c r="Q561" s="45"/>
      <c r="R561" s="45"/>
      <c r="S561" s="42"/>
      <c r="T561" s="46"/>
      <c r="U561" s="46"/>
      <c r="V561" s="42"/>
      <c r="W561" s="42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7">
        <f t="shared" si="380"/>
        <v>0</v>
      </c>
      <c r="AO561" s="47">
        <f t="shared" si="381"/>
        <v>0</v>
      </c>
      <c r="AP561" s="46" t="s">
        <v>136</v>
      </c>
      <c r="AQ561" s="46">
        <f>23%*AO561</f>
        <v>0</v>
      </c>
      <c r="AR561" s="46"/>
      <c r="AS561" s="46"/>
      <c r="AT561" s="46"/>
      <c r="AU561" s="47">
        <f t="shared" si="398"/>
        <v>0</v>
      </c>
      <c r="AV561" s="46"/>
      <c r="AW561" s="47">
        <f t="shared" si="412"/>
        <v>0</v>
      </c>
      <c r="AX561" s="46"/>
      <c r="AY561" s="46"/>
      <c r="AZ561" s="46"/>
      <c r="BA561" s="46"/>
      <c r="BB561" s="46"/>
      <c r="BC561" s="47">
        <f t="shared" si="399"/>
        <v>0</v>
      </c>
      <c r="BD561" s="46"/>
      <c r="BE561" s="47">
        <f t="shared" si="400"/>
        <v>0</v>
      </c>
      <c r="BF561" s="46"/>
      <c r="BG561" s="46"/>
      <c r="BH561" s="46"/>
      <c r="BI561" s="46"/>
      <c r="BJ561" s="46"/>
      <c r="BK561" s="46">
        <f>BI561*BJ561</f>
        <v>0</v>
      </c>
      <c r="BL561" s="46"/>
      <c r="BM561" s="46">
        <f>BK561</f>
        <v>0</v>
      </c>
      <c r="BN561" s="46"/>
      <c r="BO561" s="46"/>
      <c r="BP561" s="46"/>
      <c r="BQ561" s="46"/>
      <c r="BR561" s="46"/>
      <c r="BS561" s="47">
        <f t="shared" si="389"/>
        <v>0</v>
      </c>
      <c r="BT561" s="46"/>
      <c r="BU561" s="47">
        <f t="shared" si="390"/>
        <v>0</v>
      </c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  <c r="CK561" s="46"/>
      <c r="CL561" s="46"/>
      <c r="CM561" s="46"/>
      <c r="CN561" s="46"/>
      <c r="CO561" s="46"/>
      <c r="CP561" s="46">
        <f>CN561*CO561</f>
        <v>0</v>
      </c>
      <c r="CQ561" s="46"/>
      <c r="CR561" s="47">
        <f t="shared" si="401"/>
        <v>0</v>
      </c>
      <c r="CS561" s="46"/>
      <c r="CT561" s="46"/>
      <c r="CU561" s="46"/>
      <c r="CV561" s="46"/>
      <c r="CW561" s="47">
        <f t="shared" si="384"/>
        <v>0</v>
      </c>
      <c r="CX561" s="46"/>
      <c r="CY561" s="47">
        <f t="shared" si="402"/>
        <v>0</v>
      </c>
      <c r="CZ561" s="46"/>
      <c r="DA561" s="46"/>
      <c r="DB561" s="46"/>
      <c r="DC561" s="46"/>
      <c r="DD561" s="47"/>
      <c r="DE561" s="46"/>
      <c r="DF561" s="46">
        <f>DC561</f>
        <v>0</v>
      </c>
      <c r="DG561" s="46"/>
      <c r="DH561" s="46">
        <f t="shared" si="403"/>
        <v>0</v>
      </c>
      <c r="DI561" s="46"/>
      <c r="DJ561" s="46"/>
      <c r="DK561" s="47">
        <f t="shared" si="410"/>
        <v>0</v>
      </c>
      <c r="DL561" s="47">
        <f t="shared" si="404"/>
        <v>0</v>
      </c>
      <c r="DM561" s="46"/>
      <c r="DN561" s="46">
        <f t="shared" si="405"/>
        <v>0</v>
      </c>
      <c r="DO561" s="46"/>
      <c r="DP561" s="46">
        <f t="shared" si="413"/>
        <v>0</v>
      </c>
      <c r="DQ561" s="46" t="s">
        <v>100</v>
      </c>
      <c r="DR561" s="46">
        <f t="shared" si="406"/>
        <v>0</v>
      </c>
      <c r="DS561" s="46"/>
      <c r="DT561" s="46">
        <f t="shared" si="392"/>
        <v>0</v>
      </c>
      <c r="DU561" s="46"/>
      <c r="DV561" s="46">
        <f t="shared" si="393"/>
        <v>0</v>
      </c>
      <c r="DW561" s="46"/>
      <c r="DX561" s="47">
        <f t="shared" si="377"/>
        <v>0</v>
      </c>
      <c r="DY561" s="46"/>
      <c r="DZ561" s="46"/>
      <c r="EA561" s="46"/>
      <c r="EB561" s="46"/>
      <c r="EC561" s="46"/>
      <c r="ED561" s="46"/>
      <c r="EE561" s="47">
        <f t="shared" si="411"/>
        <v>0</v>
      </c>
      <c r="EF561" s="46"/>
      <c r="EG561" s="46"/>
      <c r="EH561" s="46"/>
      <c r="EI561" s="46"/>
      <c r="EJ561" s="46"/>
      <c r="EK561" s="47">
        <f t="shared" si="407"/>
        <v>0</v>
      </c>
      <c r="EL561" s="46">
        <f t="shared" si="408"/>
        <v>0</v>
      </c>
      <c r="EM561" s="46"/>
      <c r="EN561" s="46">
        <f t="shared" si="409"/>
        <v>0</v>
      </c>
    </row>
    <row r="562" spans="2:144" s="51" customFormat="1" ht="15" customHeight="1" x14ac:dyDescent="0.25">
      <c r="B562" s="41">
        <v>83</v>
      </c>
      <c r="C562" s="52"/>
      <c r="D562" s="53"/>
      <c r="E562" s="52"/>
      <c r="F562" s="52"/>
      <c r="G562" s="52"/>
      <c r="H562" s="52"/>
      <c r="I562" s="52"/>
      <c r="J562" s="52"/>
      <c r="K562" s="52"/>
      <c r="L562" s="52"/>
      <c r="M562" s="52"/>
      <c r="N562" s="54"/>
      <c r="O562" s="54"/>
      <c r="P562" s="52"/>
      <c r="Q562" s="55"/>
      <c r="R562" s="55"/>
      <c r="S562" s="55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47">
        <f t="shared" si="380"/>
        <v>0</v>
      </c>
      <c r="AO562" s="46">
        <f t="shared" si="381"/>
        <v>0</v>
      </c>
      <c r="AP562" s="56" t="s">
        <v>104</v>
      </c>
      <c r="AQ562" s="46">
        <f t="shared" ref="AQ562:AQ574" si="414">20%*AO562</f>
        <v>0</v>
      </c>
      <c r="AR562" s="56"/>
      <c r="AS562" s="56"/>
      <c r="AT562" s="56"/>
      <c r="AU562" s="60">
        <f t="shared" si="398"/>
        <v>0</v>
      </c>
      <c r="AV562" s="56"/>
      <c r="AW562" s="47">
        <f t="shared" si="412"/>
        <v>0</v>
      </c>
      <c r="AX562" s="56"/>
      <c r="AY562" s="56"/>
      <c r="AZ562" s="56"/>
      <c r="BA562" s="56"/>
      <c r="BB562" s="56"/>
      <c r="BC562" s="47">
        <f t="shared" si="399"/>
        <v>0</v>
      </c>
      <c r="BD562" s="56"/>
      <c r="BE562" s="47">
        <f t="shared" si="400"/>
        <v>0</v>
      </c>
      <c r="BF562" s="56"/>
      <c r="BG562" s="56"/>
      <c r="BH562" s="56"/>
      <c r="BI562" s="56"/>
      <c r="BJ562" s="56"/>
      <c r="BK562" s="47">
        <f t="shared" ref="BK562:BK579" si="415">+BI562*BJ562</f>
        <v>0</v>
      </c>
      <c r="BL562" s="56"/>
      <c r="BM562" s="56">
        <f t="shared" ref="BM562:BM579" si="416">BK562+BL562</f>
        <v>0</v>
      </c>
      <c r="BN562" s="56"/>
      <c r="BO562" s="56"/>
      <c r="BP562" s="56"/>
      <c r="BQ562" s="56"/>
      <c r="BR562" s="56"/>
      <c r="BS562" s="47">
        <f t="shared" si="389"/>
        <v>0</v>
      </c>
      <c r="BT562" s="56"/>
      <c r="BU562" s="47">
        <f t="shared" si="390"/>
        <v>0</v>
      </c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  <c r="CL562" s="56"/>
      <c r="CM562" s="56"/>
      <c r="CN562" s="56"/>
      <c r="CO562" s="56"/>
      <c r="CP562" s="57"/>
      <c r="CQ562" s="56"/>
      <c r="CR562" s="47">
        <f t="shared" si="401"/>
        <v>0</v>
      </c>
      <c r="CS562" s="56"/>
      <c r="CT562" s="56"/>
      <c r="CU562" s="56"/>
      <c r="CV562" s="56"/>
      <c r="CW562" s="47">
        <f t="shared" si="384"/>
        <v>0</v>
      </c>
      <c r="CX562" s="46"/>
      <c r="CY562" s="47">
        <f t="shared" si="402"/>
        <v>0</v>
      </c>
      <c r="CZ562" s="56"/>
      <c r="DA562" s="56"/>
      <c r="DB562" s="56"/>
      <c r="DC562" s="56"/>
      <c r="DD562" s="47"/>
      <c r="DE562" s="56"/>
      <c r="DF562" s="46"/>
      <c r="DG562" s="56"/>
      <c r="DH562" s="57">
        <f t="shared" si="403"/>
        <v>0</v>
      </c>
      <c r="DI562" s="56"/>
      <c r="DJ562" s="56"/>
      <c r="DK562" s="47">
        <f t="shared" si="410"/>
        <v>0</v>
      </c>
      <c r="DL562" s="47">
        <f t="shared" si="404"/>
        <v>0</v>
      </c>
      <c r="DM562" s="56"/>
      <c r="DN562" s="46">
        <f t="shared" si="405"/>
        <v>0</v>
      </c>
      <c r="DO562" s="56"/>
      <c r="DP562" s="46">
        <f t="shared" si="413"/>
        <v>0</v>
      </c>
      <c r="DQ562" s="56" t="s">
        <v>100</v>
      </c>
      <c r="DR562" s="46">
        <f t="shared" si="406"/>
        <v>0</v>
      </c>
      <c r="DS562" s="56"/>
      <c r="DT562" s="46">
        <f t="shared" si="392"/>
        <v>0</v>
      </c>
      <c r="DU562" s="56"/>
      <c r="DV562" s="46">
        <f t="shared" si="393"/>
        <v>0</v>
      </c>
      <c r="DW562" s="56"/>
      <c r="DX562" s="47">
        <f t="shared" si="377"/>
        <v>0</v>
      </c>
      <c r="DY562" s="56"/>
      <c r="DZ562" s="56"/>
      <c r="EA562" s="56"/>
      <c r="EB562" s="56"/>
      <c r="EC562" s="56"/>
      <c r="ED562" s="56"/>
      <c r="EE562" s="47">
        <f t="shared" si="411"/>
        <v>0</v>
      </c>
      <c r="EF562" s="56"/>
      <c r="EG562" s="56"/>
      <c r="EH562" s="56"/>
      <c r="EI562" s="56"/>
      <c r="EJ562" s="56"/>
      <c r="EK562" s="47">
        <f t="shared" si="407"/>
        <v>0</v>
      </c>
      <c r="EL562" s="46">
        <f t="shared" si="408"/>
        <v>0</v>
      </c>
      <c r="EM562" s="56"/>
      <c r="EN562" s="61">
        <f t="shared" si="409"/>
        <v>0</v>
      </c>
    </row>
    <row r="563" spans="2:144" s="51" customFormat="1" ht="15" customHeight="1" x14ac:dyDescent="0.25">
      <c r="B563" s="41">
        <v>84</v>
      </c>
      <c r="C563" s="52"/>
      <c r="D563" s="53"/>
      <c r="E563" s="52"/>
      <c r="F563" s="52"/>
      <c r="G563" s="52"/>
      <c r="H563" s="52"/>
      <c r="I563" s="52"/>
      <c r="J563" s="52"/>
      <c r="K563" s="52"/>
      <c r="L563" s="52"/>
      <c r="M563" s="52"/>
      <c r="N563" s="54"/>
      <c r="O563" s="54"/>
      <c r="P563" s="52"/>
      <c r="Q563" s="55"/>
      <c r="R563" s="55"/>
      <c r="S563" s="55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47">
        <f t="shared" si="380"/>
        <v>0</v>
      </c>
      <c r="AO563" s="46">
        <f t="shared" si="381"/>
        <v>0</v>
      </c>
      <c r="AP563" s="56" t="s">
        <v>135</v>
      </c>
      <c r="AQ563" s="46">
        <f t="shared" si="414"/>
        <v>0</v>
      </c>
      <c r="AR563" s="56"/>
      <c r="AS563" s="56"/>
      <c r="AT563" s="56"/>
      <c r="AU563" s="60">
        <f t="shared" si="398"/>
        <v>0</v>
      </c>
      <c r="AV563" s="56"/>
      <c r="AW563" s="47">
        <f t="shared" si="412"/>
        <v>0</v>
      </c>
      <c r="AX563" s="56"/>
      <c r="AY563" s="56"/>
      <c r="AZ563" s="56"/>
      <c r="BA563" s="56"/>
      <c r="BB563" s="56"/>
      <c r="BC563" s="47">
        <f t="shared" si="399"/>
        <v>0</v>
      </c>
      <c r="BD563" s="56"/>
      <c r="BE563" s="47">
        <f t="shared" si="400"/>
        <v>0</v>
      </c>
      <c r="BF563" s="56"/>
      <c r="BG563" s="56"/>
      <c r="BH563" s="56"/>
      <c r="BI563" s="56"/>
      <c r="BJ563" s="56"/>
      <c r="BK563" s="47">
        <f t="shared" si="415"/>
        <v>0</v>
      </c>
      <c r="BL563" s="56"/>
      <c r="BM563" s="56">
        <f t="shared" si="416"/>
        <v>0</v>
      </c>
      <c r="BN563" s="56"/>
      <c r="BO563" s="56"/>
      <c r="BP563" s="56"/>
      <c r="BQ563" s="56"/>
      <c r="BR563" s="56"/>
      <c r="BS563" s="47">
        <f t="shared" si="389"/>
        <v>0</v>
      </c>
      <c r="BT563" s="56"/>
      <c r="BU563" s="47">
        <f t="shared" si="390"/>
        <v>0</v>
      </c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  <c r="CL563" s="56"/>
      <c r="CM563" s="56"/>
      <c r="CN563" s="56"/>
      <c r="CO563" s="56"/>
      <c r="CP563" s="57"/>
      <c r="CQ563" s="56"/>
      <c r="CR563" s="47">
        <f t="shared" si="401"/>
        <v>0</v>
      </c>
      <c r="CS563" s="56"/>
      <c r="CT563" s="56"/>
      <c r="CU563" s="56"/>
      <c r="CV563" s="56"/>
      <c r="CW563" s="47">
        <f t="shared" si="384"/>
        <v>0</v>
      </c>
      <c r="CX563" s="46"/>
      <c r="CY563" s="47">
        <f t="shared" si="402"/>
        <v>0</v>
      </c>
      <c r="CZ563" s="56"/>
      <c r="DA563" s="56"/>
      <c r="DB563" s="56"/>
      <c r="DC563" s="56"/>
      <c r="DD563" s="47"/>
      <c r="DE563" s="56"/>
      <c r="DF563" s="46"/>
      <c r="DG563" s="56"/>
      <c r="DH563" s="57">
        <f t="shared" si="403"/>
        <v>0</v>
      </c>
      <c r="DI563" s="56"/>
      <c r="DJ563" s="56"/>
      <c r="DK563" s="47">
        <f t="shared" si="410"/>
        <v>0</v>
      </c>
      <c r="DL563" s="47">
        <f t="shared" si="404"/>
        <v>0</v>
      </c>
      <c r="DM563" s="56"/>
      <c r="DN563" s="46">
        <f t="shared" si="405"/>
        <v>0</v>
      </c>
      <c r="DO563" s="56"/>
      <c r="DP563" s="46">
        <f t="shared" si="413"/>
        <v>0</v>
      </c>
      <c r="DQ563" s="56" t="s">
        <v>99</v>
      </c>
      <c r="DR563" s="46">
        <f t="shared" si="406"/>
        <v>0</v>
      </c>
      <c r="DS563" s="56"/>
      <c r="DT563" s="46">
        <f t="shared" si="392"/>
        <v>0</v>
      </c>
      <c r="DU563" s="56"/>
      <c r="DV563" s="46">
        <f t="shared" si="393"/>
        <v>0</v>
      </c>
      <c r="DW563" s="56"/>
      <c r="DX563" s="47">
        <f t="shared" si="377"/>
        <v>0</v>
      </c>
      <c r="DY563" s="56"/>
      <c r="DZ563" s="56"/>
      <c r="EA563" s="56"/>
      <c r="EB563" s="56"/>
      <c r="EC563" s="56"/>
      <c r="ED563" s="56"/>
      <c r="EE563" s="47">
        <f t="shared" si="411"/>
        <v>0</v>
      </c>
      <c r="EF563" s="56"/>
      <c r="EG563" s="56"/>
      <c r="EH563" s="56"/>
      <c r="EI563" s="56"/>
      <c r="EJ563" s="56"/>
      <c r="EK563" s="47">
        <f t="shared" si="407"/>
        <v>0</v>
      </c>
      <c r="EL563" s="46">
        <f t="shared" si="408"/>
        <v>0</v>
      </c>
      <c r="EM563" s="56"/>
      <c r="EN563" s="61">
        <f t="shared" si="409"/>
        <v>0</v>
      </c>
    </row>
    <row r="564" spans="2:144" s="51" customFormat="1" ht="15" customHeight="1" x14ac:dyDescent="0.25">
      <c r="B564" s="41">
        <v>85</v>
      </c>
      <c r="C564" s="52"/>
      <c r="D564" s="53"/>
      <c r="E564" s="52"/>
      <c r="F564" s="52"/>
      <c r="G564" s="52"/>
      <c r="H564" s="52"/>
      <c r="I564" s="52"/>
      <c r="J564" s="52"/>
      <c r="K564" s="52"/>
      <c r="L564" s="52"/>
      <c r="M564" s="52"/>
      <c r="N564" s="54"/>
      <c r="O564" s="54"/>
      <c r="P564" s="52"/>
      <c r="Q564" s="55"/>
      <c r="R564" s="55"/>
      <c r="S564" s="55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47">
        <f t="shared" si="380"/>
        <v>0</v>
      </c>
      <c r="AO564" s="46">
        <f t="shared" si="381"/>
        <v>0</v>
      </c>
      <c r="AP564" s="56" t="s">
        <v>135</v>
      </c>
      <c r="AQ564" s="46">
        <f t="shared" si="414"/>
        <v>0</v>
      </c>
      <c r="AR564" s="56"/>
      <c r="AS564" s="56"/>
      <c r="AT564" s="56"/>
      <c r="AU564" s="60">
        <f t="shared" si="398"/>
        <v>0</v>
      </c>
      <c r="AV564" s="56"/>
      <c r="AW564" s="47">
        <f t="shared" si="412"/>
        <v>0</v>
      </c>
      <c r="AX564" s="56"/>
      <c r="AY564" s="56"/>
      <c r="AZ564" s="56"/>
      <c r="BA564" s="56"/>
      <c r="BB564" s="56"/>
      <c r="BC564" s="47">
        <f t="shared" si="399"/>
        <v>0</v>
      </c>
      <c r="BD564" s="56"/>
      <c r="BE564" s="47">
        <f t="shared" si="400"/>
        <v>0</v>
      </c>
      <c r="BF564" s="56"/>
      <c r="BG564" s="56"/>
      <c r="BH564" s="56"/>
      <c r="BI564" s="56"/>
      <c r="BJ564" s="56"/>
      <c r="BK564" s="47">
        <f t="shared" si="415"/>
        <v>0</v>
      </c>
      <c r="BL564" s="56"/>
      <c r="BM564" s="56">
        <f t="shared" si="416"/>
        <v>0</v>
      </c>
      <c r="BN564" s="56"/>
      <c r="BO564" s="56"/>
      <c r="BP564" s="56"/>
      <c r="BQ564" s="56"/>
      <c r="BR564" s="56"/>
      <c r="BS564" s="47">
        <f t="shared" si="389"/>
        <v>0</v>
      </c>
      <c r="BT564" s="56"/>
      <c r="BU564" s="47">
        <f t="shared" si="390"/>
        <v>0</v>
      </c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56"/>
      <c r="CP564" s="57"/>
      <c r="CQ564" s="56"/>
      <c r="CR564" s="47">
        <f t="shared" si="401"/>
        <v>0</v>
      </c>
      <c r="CS564" s="56"/>
      <c r="CT564" s="56"/>
      <c r="CU564" s="47"/>
      <c r="CV564" s="47"/>
      <c r="CW564" s="47">
        <f t="shared" si="384"/>
        <v>0</v>
      </c>
      <c r="CX564" s="46"/>
      <c r="CY564" s="47">
        <f t="shared" si="402"/>
        <v>0</v>
      </c>
      <c r="CZ564" s="56"/>
      <c r="DA564" s="56"/>
      <c r="DB564" s="56"/>
      <c r="DC564" s="56"/>
      <c r="DD564" s="47"/>
      <c r="DE564" s="56"/>
      <c r="DF564" s="46"/>
      <c r="DG564" s="56"/>
      <c r="DH564" s="57">
        <f t="shared" si="403"/>
        <v>0</v>
      </c>
      <c r="DI564" s="56"/>
      <c r="DJ564" s="56"/>
      <c r="DK564" s="47">
        <f t="shared" si="410"/>
        <v>0</v>
      </c>
      <c r="DL564" s="47">
        <f t="shared" si="404"/>
        <v>0</v>
      </c>
      <c r="DM564" s="56"/>
      <c r="DN564" s="46">
        <f t="shared" si="405"/>
        <v>0</v>
      </c>
      <c r="DO564" s="56"/>
      <c r="DP564" s="46">
        <f t="shared" si="413"/>
        <v>0</v>
      </c>
      <c r="DQ564" s="56" t="s">
        <v>99</v>
      </c>
      <c r="DR564" s="46">
        <f t="shared" si="406"/>
        <v>0</v>
      </c>
      <c r="DS564" s="56"/>
      <c r="DT564" s="46">
        <f t="shared" si="392"/>
        <v>0</v>
      </c>
      <c r="DU564" s="56"/>
      <c r="DV564" s="46">
        <f t="shared" si="393"/>
        <v>0</v>
      </c>
      <c r="DW564" s="56"/>
      <c r="DX564" s="47">
        <f t="shared" si="377"/>
        <v>0</v>
      </c>
      <c r="DY564" s="56"/>
      <c r="DZ564" s="56"/>
      <c r="EA564" s="56"/>
      <c r="EB564" s="56"/>
      <c r="EC564" s="56"/>
      <c r="ED564" s="56"/>
      <c r="EE564" s="47">
        <f t="shared" ref="EE564:EE587" si="417">+AW564+BE564+BM564+CR564+CY564+DF564+DL564+DX564+DY564+DZ564+EB564+EC564</f>
        <v>0</v>
      </c>
      <c r="EF564" s="56"/>
      <c r="EG564" s="56"/>
      <c r="EH564" s="56"/>
      <c r="EI564" s="56"/>
      <c r="EJ564" s="56"/>
      <c r="EK564" s="47">
        <f t="shared" si="407"/>
        <v>0</v>
      </c>
      <c r="EL564" s="46">
        <f t="shared" si="408"/>
        <v>0</v>
      </c>
      <c r="EM564" s="56"/>
      <c r="EN564" s="61">
        <f t="shared" si="409"/>
        <v>0</v>
      </c>
    </row>
    <row r="565" spans="2:144" s="51" customFormat="1" ht="15" customHeight="1" x14ac:dyDescent="0.25">
      <c r="B565" s="41">
        <v>86</v>
      </c>
      <c r="C565" s="52"/>
      <c r="D565" s="53"/>
      <c r="E565" s="52"/>
      <c r="F565" s="52"/>
      <c r="G565" s="52"/>
      <c r="H565" s="52"/>
      <c r="I565" s="52"/>
      <c r="J565" s="52"/>
      <c r="K565" s="52"/>
      <c r="L565" s="52"/>
      <c r="M565" s="52"/>
      <c r="N565" s="54"/>
      <c r="O565" s="54"/>
      <c r="P565" s="52"/>
      <c r="Q565" s="55"/>
      <c r="R565" s="55"/>
      <c r="S565" s="55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47">
        <f t="shared" si="380"/>
        <v>0</v>
      </c>
      <c r="AO565" s="46">
        <f t="shared" si="381"/>
        <v>0</v>
      </c>
      <c r="AP565" s="56" t="s">
        <v>135</v>
      </c>
      <c r="AQ565" s="46">
        <f t="shared" si="414"/>
        <v>0</v>
      </c>
      <c r="AR565" s="56"/>
      <c r="AS565" s="56"/>
      <c r="AT565" s="56"/>
      <c r="AU565" s="60">
        <f t="shared" si="398"/>
        <v>0</v>
      </c>
      <c r="AV565" s="56"/>
      <c r="AW565" s="47">
        <f t="shared" si="412"/>
        <v>0</v>
      </c>
      <c r="AX565" s="56"/>
      <c r="AY565" s="56"/>
      <c r="AZ565" s="56"/>
      <c r="BA565" s="56"/>
      <c r="BB565" s="56"/>
      <c r="BC565" s="47">
        <f t="shared" si="399"/>
        <v>0</v>
      </c>
      <c r="BD565" s="56"/>
      <c r="BE565" s="47">
        <f t="shared" si="400"/>
        <v>0</v>
      </c>
      <c r="BF565" s="56"/>
      <c r="BG565" s="56"/>
      <c r="BH565" s="56"/>
      <c r="BI565" s="56"/>
      <c r="BJ565" s="56"/>
      <c r="BK565" s="47">
        <f t="shared" si="415"/>
        <v>0</v>
      </c>
      <c r="BL565" s="56"/>
      <c r="BM565" s="56">
        <f t="shared" si="416"/>
        <v>0</v>
      </c>
      <c r="BN565" s="56"/>
      <c r="BO565" s="56"/>
      <c r="BP565" s="56"/>
      <c r="BQ565" s="56"/>
      <c r="BR565" s="56"/>
      <c r="BS565" s="47">
        <f t="shared" si="389"/>
        <v>0</v>
      </c>
      <c r="BT565" s="56"/>
      <c r="BU565" s="47">
        <f t="shared" si="390"/>
        <v>0</v>
      </c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56"/>
      <c r="CP565" s="57"/>
      <c r="CQ565" s="56"/>
      <c r="CR565" s="47">
        <f t="shared" si="401"/>
        <v>0</v>
      </c>
      <c r="CS565" s="56"/>
      <c r="CT565" s="56"/>
      <c r="CU565" s="56"/>
      <c r="CV565" s="56"/>
      <c r="CW565" s="47">
        <f t="shared" si="384"/>
        <v>0</v>
      </c>
      <c r="CX565" s="46"/>
      <c r="CY565" s="47">
        <f t="shared" si="402"/>
        <v>0</v>
      </c>
      <c r="CZ565" s="56"/>
      <c r="DA565" s="56"/>
      <c r="DB565" s="56"/>
      <c r="DC565" s="56"/>
      <c r="DD565" s="47"/>
      <c r="DE565" s="56"/>
      <c r="DF565" s="46"/>
      <c r="DG565" s="56"/>
      <c r="DH565" s="57">
        <f t="shared" si="403"/>
        <v>0</v>
      </c>
      <c r="DI565" s="56"/>
      <c r="DJ565" s="56"/>
      <c r="DK565" s="47">
        <f t="shared" si="410"/>
        <v>0</v>
      </c>
      <c r="DL565" s="47">
        <f t="shared" si="404"/>
        <v>0</v>
      </c>
      <c r="DM565" s="56"/>
      <c r="DN565" s="46">
        <f t="shared" si="405"/>
        <v>0</v>
      </c>
      <c r="DO565" s="56"/>
      <c r="DP565" s="46">
        <f t="shared" si="413"/>
        <v>0</v>
      </c>
      <c r="DQ565" s="56" t="s">
        <v>100</v>
      </c>
      <c r="DR565" s="46">
        <f t="shared" si="406"/>
        <v>0</v>
      </c>
      <c r="DS565" s="56"/>
      <c r="DT565" s="46">
        <f t="shared" si="392"/>
        <v>0</v>
      </c>
      <c r="DU565" s="56"/>
      <c r="DV565" s="46">
        <f t="shared" si="393"/>
        <v>0</v>
      </c>
      <c r="DW565" s="56"/>
      <c r="DX565" s="47">
        <f t="shared" ref="DX565:DX626" si="418">+DN565+DP565+DR565+DT565+DV565</f>
        <v>0</v>
      </c>
      <c r="DY565" s="56"/>
      <c r="DZ565" s="56"/>
      <c r="EA565" s="56"/>
      <c r="EB565" s="56"/>
      <c r="EC565" s="56"/>
      <c r="ED565" s="56"/>
      <c r="EE565" s="47">
        <f t="shared" si="417"/>
        <v>0</v>
      </c>
      <c r="EF565" s="56"/>
      <c r="EG565" s="56"/>
      <c r="EH565" s="56"/>
      <c r="EI565" s="56"/>
      <c r="EJ565" s="56"/>
      <c r="EK565" s="47">
        <f t="shared" si="407"/>
        <v>0</v>
      </c>
      <c r="EL565" s="46">
        <f t="shared" si="408"/>
        <v>0</v>
      </c>
      <c r="EM565" s="56"/>
      <c r="EN565" s="61">
        <f t="shared" si="409"/>
        <v>0</v>
      </c>
    </row>
    <row r="566" spans="2:144" s="51" customFormat="1" ht="15" customHeight="1" x14ac:dyDescent="0.25">
      <c r="B566" s="41">
        <v>87</v>
      </c>
      <c r="C566" s="52"/>
      <c r="D566" s="53"/>
      <c r="E566" s="52"/>
      <c r="F566" s="52"/>
      <c r="G566" s="52"/>
      <c r="H566" s="52"/>
      <c r="I566" s="52"/>
      <c r="J566" s="52"/>
      <c r="K566" s="52"/>
      <c r="L566" s="52"/>
      <c r="M566" s="52"/>
      <c r="N566" s="54"/>
      <c r="O566" s="54"/>
      <c r="P566" s="52"/>
      <c r="Q566" s="55"/>
      <c r="R566" s="55"/>
      <c r="S566" s="55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47">
        <f t="shared" si="380"/>
        <v>0</v>
      </c>
      <c r="AO566" s="46">
        <f t="shared" si="381"/>
        <v>0</v>
      </c>
      <c r="AP566" s="56" t="s">
        <v>135</v>
      </c>
      <c r="AQ566" s="46">
        <f t="shared" si="414"/>
        <v>0</v>
      </c>
      <c r="AR566" s="56"/>
      <c r="AS566" s="56"/>
      <c r="AT566" s="56"/>
      <c r="AU566" s="60">
        <f t="shared" si="398"/>
        <v>0</v>
      </c>
      <c r="AV566" s="56"/>
      <c r="AW566" s="47">
        <f t="shared" si="412"/>
        <v>0</v>
      </c>
      <c r="AX566" s="56"/>
      <c r="AY566" s="56"/>
      <c r="AZ566" s="56"/>
      <c r="BA566" s="56"/>
      <c r="BB566" s="56"/>
      <c r="BC566" s="47">
        <f t="shared" si="399"/>
        <v>0</v>
      </c>
      <c r="BD566" s="56"/>
      <c r="BE566" s="47">
        <f t="shared" si="400"/>
        <v>0</v>
      </c>
      <c r="BF566" s="56"/>
      <c r="BG566" s="56"/>
      <c r="BH566" s="56"/>
      <c r="BI566" s="56"/>
      <c r="BJ566" s="56"/>
      <c r="BK566" s="47">
        <f t="shared" si="415"/>
        <v>0</v>
      </c>
      <c r="BL566" s="56"/>
      <c r="BM566" s="56">
        <f t="shared" si="416"/>
        <v>0</v>
      </c>
      <c r="BN566" s="56"/>
      <c r="BO566" s="56"/>
      <c r="BP566" s="56"/>
      <c r="BQ566" s="56"/>
      <c r="BR566" s="56"/>
      <c r="BS566" s="47">
        <f t="shared" si="389"/>
        <v>0</v>
      </c>
      <c r="BT566" s="56"/>
      <c r="BU566" s="47">
        <f t="shared" si="390"/>
        <v>0</v>
      </c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  <c r="CL566" s="56"/>
      <c r="CM566" s="56"/>
      <c r="CN566" s="56"/>
      <c r="CO566" s="56"/>
      <c r="CP566" s="57"/>
      <c r="CQ566" s="56"/>
      <c r="CR566" s="47">
        <f t="shared" si="401"/>
        <v>0</v>
      </c>
      <c r="CS566" s="56"/>
      <c r="CT566" s="56"/>
      <c r="CU566" s="56"/>
      <c r="CV566" s="56"/>
      <c r="CW566" s="47">
        <f t="shared" si="384"/>
        <v>0</v>
      </c>
      <c r="CX566" s="46"/>
      <c r="CY566" s="47">
        <f t="shared" si="402"/>
        <v>0</v>
      </c>
      <c r="CZ566" s="56"/>
      <c r="DA566" s="56"/>
      <c r="DB566" s="56"/>
      <c r="DC566" s="56"/>
      <c r="DD566" s="47"/>
      <c r="DE566" s="56"/>
      <c r="DF566" s="46"/>
      <c r="DG566" s="56"/>
      <c r="DH566" s="57">
        <f t="shared" si="403"/>
        <v>0</v>
      </c>
      <c r="DI566" s="56"/>
      <c r="DJ566" s="56"/>
      <c r="DK566" s="47">
        <f t="shared" si="410"/>
        <v>0</v>
      </c>
      <c r="DL566" s="47">
        <f t="shared" si="404"/>
        <v>0</v>
      </c>
      <c r="DM566" s="56"/>
      <c r="DN566" s="46">
        <f t="shared" si="405"/>
        <v>0</v>
      </c>
      <c r="DO566" s="56"/>
      <c r="DP566" s="46">
        <f t="shared" si="413"/>
        <v>0</v>
      </c>
      <c r="DQ566" s="56" t="s">
        <v>100</v>
      </c>
      <c r="DR566" s="46">
        <f t="shared" si="406"/>
        <v>0</v>
      </c>
      <c r="DS566" s="56"/>
      <c r="DT566" s="46">
        <f t="shared" si="392"/>
        <v>0</v>
      </c>
      <c r="DU566" s="56"/>
      <c r="DV566" s="46">
        <f t="shared" si="393"/>
        <v>0</v>
      </c>
      <c r="DW566" s="56"/>
      <c r="DX566" s="47">
        <f t="shared" si="418"/>
        <v>0</v>
      </c>
      <c r="DY566" s="56"/>
      <c r="DZ566" s="56"/>
      <c r="EA566" s="56"/>
      <c r="EB566" s="56"/>
      <c r="EC566" s="56"/>
      <c r="ED566" s="56"/>
      <c r="EE566" s="47">
        <f t="shared" si="417"/>
        <v>0</v>
      </c>
      <c r="EF566" s="56"/>
      <c r="EG566" s="56"/>
      <c r="EH566" s="56"/>
      <c r="EI566" s="56"/>
      <c r="EJ566" s="56"/>
      <c r="EK566" s="47">
        <f t="shared" si="407"/>
        <v>0</v>
      </c>
      <c r="EL566" s="46">
        <f t="shared" si="408"/>
        <v>0</v>
      </c>
      <c r="EM566" s="56"/>
      <c r="EN566" s="61">
        <f t="shared" si="409"/>
        <v>0</v>
      </c>
    </row>
    <row r="567" spans="2:144" s="51" customFormat="1" ht="15" customHeight="1" x14ac:dyDescent="0.25">
      <c r="B567" s="41">
        <v>88</v>
      </c>
      <c r="C567" s="52"/>
      <c r="D567" s="53"/>
      <c r="E567" s="52"/>
      <c r="F567" s="52"/>
      <c r="G567" s="52"/>
      <c r="H567" s="52"/>
      <c r="I567" s="52"/>
      <c r="J567" s="52"/>
      <c r="K567" s="52"/>
      <c r="L567" s="52"/>
      <c r="M567" s="52"/>
      <c r="N567" s="54"/>
      <c r="O567" s="54"/>
      <c r="P567" s="52"/>
      <c r="Q567" s="55"/>
      <c r="R567" s="55"/>
      <c r="S567" s="55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47">
        <f t="shared" si="380"/>
        <v>0</v>
      </c>
      <c r="AO567" s="46">
        <f t="shared" si="381"/>
        <v>0</v>
      </c>
      <c r="AP567" s="56" t="s">
        <v>135</v>
      </c>
      <c r="AQ567" s="46">
        <f t="shared" si="414"/>
        <v>0</v>
      </c>
      <c r="AR567" s="56"/>
      <c r="AS567" s="56"/>
      <c r="AT567" s="56"/>
      <c r="AU567" s="60">
        <f t="shared" si="398"/>
        <v>0</v>
      </c>
      <c r="AV567" s="56"/>
      <c r="AW567" s="47">
        <f t="shared" si="412"/>
        <v>0</v>
      </c>
      <c r="AX567" s="56"/>
      <c r="AY567" s="56"/>
      <c r="AZ567" s="56"/>
      <c r="BA567" s="56"/>
      <c r="BB567" s="56"/>
      <c r="BC567" s="47">
        <f t="shared" si="399"/>
        <v>0</v>
      </c>
      <c r="BD567" s="56"/>
      <c r="BE567" s="47">
        <f t="shared" si="400"/>
        <v>0</v>
      </c>
      <c r="BF567" s="56"/>
      <c r="BG567" s="56"/>
      <c r="BH567" s="56"/>
      <c r="BI567" s="56"/>
      <c r="BJ567" s="56"/>
      <c r="BK567" s="47">
        <f t="shared" si="415"/>
        <v>0</v>
      </c>
      <c r="BL567" s="56"/>
      <c r="BM567" s="56">
        <f t="shared" si="416"/>
        <v>0</v>
      </c>
      <c r="BN567" s="56"/>
      <c r="BO567" s="56"/>
      <c r="BP567" s="56"/>
      <c r="BQ567" s="56"/>
      <c r="BR567" s="56"/>
      <c r="BS567" s="47">
        <f t="shared" si="389"/>
        <v>0</v>
      </c>
      <c r="BT567" s="56"/>
      <c r="BU567" s="47">
        <f t="shared" si="390"/>
        <v>0</v>
      </c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  <c r="CL567" s="56"/>
      <c r="CM567" s="56"/>
      <c r="CN567" s="56"/>
      <c r="CO567" s="56"/>
      <c r="CP567" s="57"/>
      <c r="CQ567" s="56"/>
      <c r="CR567" s="47">
        <f t="shared" si="401"/>
        <v>0</v>
      </c>
      <c r="CS567" s="56"/>
      <c r="CT567" s="56"/>
      <c r="CU567" s="56"/>
      <c r="CV567" s="56"/>
      <c r="CW567" s="47">
        <f t="shared" si="384"/>
        <v>0</v>
      </c>
      <c r="CX567" s="46"/>
      <c r="CY567" s="47">
        <f t="shared" si="402"/>
        <v>0</v>
      </c>
      <c r="CZ567" s="56"/>
      <c r="DA567" s="56"/>
      <c r="DB567" s="56"/>
      <c r="DC567" s="56"/>
      <c r="DD567" s="47"/>
      <c r="DE567" s="56"/>
      <c r="DF567" s="46"/>
      <c r="DG567" s="56"/>
      <c r="DH567" s="57">
        <f t="shared" si="403"/>
        <v>0</v>
      </c>
      <c r="DI567" s="56"/>
      <c r="DJ567" s="56"/>
      <c r="DK567" s="47">
        <f t="shared" si="410"/>
        <v>0</v>
      </c>
      <c r="DL567" s="47">
        <f t="shared" si="404"/>
        <v>0</v>
      </c>
      <c r="DM567" s="56"/>
      <c r="DN567" s="46">
        <f t="shared" si="405"/>
        <v>0</v>
      </c>
      <c r="DO567" s="56"/>
      <c r="DP567" s="46">
        <f t="shared" si="413"/>
        <v>0</v>
      </c>
      <c r="DQ567" s="56" t="s">
        <v>100</v>
      </c>
      <c r="DR567" s="46">
        <f t="shared" si="406"/>
        <v>0</v>
      </c>
      <c r="DS567" s="56"/>
      <c r="DT567" s="46">
        <f t="shared" si="392"/>
        <v>0</v>
      </c>
      <c r="DU567" s="56"/>
      <c r="DV567" s="46">
        <f t="shared" si="393"/>
        <v>0</v>
      </c>
      <c r="DW567" s="56"/>
      <c r="DX567" s="47">
        <f t="shared" si="418"/>
        <v>0</v>
      </c>
      <c r="DY567" s="56"/>
      <c r="DZ567" s="56"/>
      <c r="EA567" s="56"/>
      <c r="EB567" s="56"/>
      <c r="EC567" s="56"/>
      <c r="ED567" s="56"/>
      <c r="EE567" s="47">
        <f t="shared" si="417"/>
        <v>0</v>
      </c>
      <c r="EF567" s="56"/>
      <c r="EG567" s="56"/>
      <c r="EH567" s="56"/>
      <c r="EI567" s="56"/>
      <c r="EJ567" s="56"/>
      <c r="EK567" s="47">
        <f t="shared" si="407"/>
        <v>0</v>
      </c>
      <c r="EL567" s="46">
        <f t="shared" si="408"/>
        <v>0</v>
      </c>
      <c r="EM567" s="56"/>
      <c r="EN567" s="61">
        <f t="shared" si="409"/>
        <v>0</v>
      </c>
    </row>
    <row r="568" spans="2:144" s="51" customFormat="1" ht="15" customHeight="1" x14ac:dyDescent="0.25">
      <c r="B568" s="41">
        <v>90</v>
      </c>
      <c r="C568" s="52"/>
      <c r="D568" s="53"/>
      <c r="E568" s="52"/>
      <c r="F568" s="52"/>
      <c r="G568" s="52"/>
      <c r="H568" s="52"/>
      <c r="I568" s="52"/>
      <c r="J568" s="52"/>
      <c r="K568" s="52"/>
      <c r="L568" s="52"/>
      <c r="M568" s="52"/>
      <c r="N568" s="54"/>
      <c r="O568" s="54"/>
      <c r="P568" s="52"/>
      <c r="Q568" s="55"/>
      <c r="R568" s="55"/>
      <c r="S568" s="55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47">
        <f t="shared" si="380"/>
        <v>0</v>
      </c>
      <c r="AO568" s="46">
        <f t="shared" si="381"/>
        <v>0</v>
      </c>
      <c r="AP568" s="56" t="s">
        <v>135</v>
      </c>
      <c r="AQ568" s="46">
        <f t="shared" si="414"/>
        <v>0</v>
      </c>
      <c r="AR568" s="56"/>
      <c r="AS568" s="56"/>
      <c r="AT568" s="56"/>
      <c r="AU568" s="60">
        <f t="shared" si="398"/>
        <v>0</v>
      </c>
      <c r="AV568" s="56"/>
      <c r="AW568" s="47">
        <f t="shared" si="412"/>
        <v>0</v>
      </c>
      <c r="AX568" s="56"/>
      <c r="AY568" s="56"/>
      <c r="AZ568" s="56"/>
      <c r="BA568" s="56"/>
      <c r="BB568" s="56"/>
      <c r="BC568" s="47">
        <f t="shared" si="399"/>
        <v>0</v>
      </c>
      <c r="BD568" s="56"/>
      <c r="BE568" s="47">
        <f t="shared" si="400"/>
        <v>0</v>
      </c>
      <c r="BF568" s="56"/>
      <c r="BG568" s="56"/>
      <c r="BH568" s="56"/>
      <c r="BI568" s="56"/>
      <c r="BJ568" s="56"/>
      <c r="BK568" s="47">
        <f t="shared" si="415"/>
        <v>0</v>
      </c>
      <c r="BL568" s="56"/>
      <c r="BM568" s="56">
        <f t="shared" si="416"/>
        <v>0</v>
      </c>
      <c r="BN568" s="56"/>
      <c r="BO568" s="56"/>
      <c r="BP568" s="56"/>
      <c r="BQ568" s="56"/>
      <c r="BR568" s="56"/>
      <c r="BS568" s="47">
        <f t="shared" si="389"/>
        <v>0</v>
      </c>
      <c r="BT568" s="56"/>
      <c r="BU568" s="47">
        <f t="shared" si="390"/>
        <v>0</v>
      </c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  <c r="CL568" s="56"/>
      <c r="CM568" s="56"/>
      <c r="CN568" s="56"/>
      <c r="CO568" s="56"/>
      <c r="CP568" s="57"/>
      <c r="CQ568" s="56"/>
      <c r="CR568" s="47">
        <f t="shared" si="401"/>
        <v>0</v>
      </c>
      <c r="CS568" s="56"/>
      <c r="CT568" s="56"/>
      <c r="CU568" s="56"/>
      <c r="CV568" s="56"/>
      <c r="CW568" s="47">
        <f t="shared" si="384"/>
        <v>0</v>
      </c>
      <c r="CX568" s="46"/>
      <c r="CY568" s="47">
        <f t="shared" si="402"/>
        <v>0</v>
      </c>
      <c r="CZ568" s="56"/>
      <c r="DA568" s="56"/>
      <c r="DB568" s="56"/>
      <c r="DC568" s="56"/>
      <c r="DD568" s="47"/>
      <c r="DE568" s="56"/>
      <c r="DF568" s="46"/>
      <c r="DG568" s="56"/>
      <c r="DH568" s="57">
        <f t="shared" si="403"/>
        <v>0</v>
      </c>
      <c r="DI568" s="56"/>
      <c r="DJ568" s="56"/>
      <c r="DK568" s="47">
        <f t="shared" si="410"/>
        <v>0</v>
      </c>
      <c r="DL568" s="47">
        <f t="shared" si="404"/>
        <v>0</v>
      </c>
      <c r="DM568" s="56"/>
      <c r="DN568" s="46">
        <f t="shared" si="405"/>
        <v>0</v>
      </c>
      <c r="DO568" s="56"/>
      <c r="DP568" s="46">
        <f t="shared" si="413"/>
        <v>0</v>
      </c>
      <c r="DQ568" s="56" t="s">
        <v>100</v>
      </c>
      <c r="DR568" s="46">
        <f t="shared" si="406"/>
        <v>0</v>
      </c>
      <c r="DS568" s="56"/>
      <c r="DT568" s="46">
        <f t="shared" si="392"/>
        <v>0</v>
      </c>
      <c r="DU568" s="56"/>
      <c r="DV568" s="46">
        <f t="shared" si="393"/>
        <v>0</v>
      </c>
      <c r="DW568" s="56"/>
      <c r="DX568" s="47">
        <f t="shared" si="418"/>
        <v>0</v>
      </c>
      <c r="DY568" s="56"/>
      <c r="DZ568" s="56"/>
      <c r="EA568" s="56"/>
      <c r="EB568" s="56"/>
      <c r="EC568" s="56"/>
      <c r="ED568" s="56"/>
      <c r="EE568" s="47">
        <f t="shared" si="417"/>
        <v>0</v>
      </c>
      <c r="EF568" s="56"/>
      <c r="EG568" s="56"/>
      <c r="EH568" s="56"/>
      <c r="EI568" s="56"/>
      <c r="EJ568" s="56"/>
      <c r="EK568" s="47">
        <f t="shared" si="407"/>
        <v>0</v>
      </c>
      <c r="EL568" s="46">
        <f t="shared" si="408"/>
        <v>0</v>
      </c>
      <c r="EM568" s="56"/>
      <c r="EN568" s="61">
        <f t="shared" si="409"/>
        <v>0</v>
      </c>
    </row>
    <row r="569" spans="2:144" s="51" customFormat="1" ht="15" customHeight="1" x14ac:dyDescent="0.25">
      <c r="B569" s="41">
        <v>91</v>
      </c>
      <c r="C569" s="52"/>
      <c r="D569" s="53"/>
      <c r="E569" s="52"/>
      <c r="F569" s="52"/>
      <c r="G569" s="52"/>
      <c r="H569" s="52"/>
      <c r="I569" s="52"/>
      <c r="J569" s="52"/>
      <c r="K569" s="52"/>
      <c r="L569" s="52"/>
      <c r="M569" s="52"/>
      <c r="N569" s="54"/>
      <c r="O569" s="54"/>
      <c r="P569" s="52"/>
      <c r="Q569" s="55"/>
      <c r="R569" s="55"/>
      <c r="S569" s="55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47">
        <f t="shared" si="380"/>
        <v>0</v>
      </c>
      <c r="AO569" s="46">
        <f t="shared" si="381"/>
        <v>0</v>
      </c>
      <c r="AP569" s="56" t="s">
        <v>135</v>
      </c>
      <c r="AQ569" s="46">
        <f t="shared" si="414"/>
        <v>0</v>
      </c>
      <c r="AR569" s="56"/>
      <c r="AS569" s="56"/>
      <c r="AT569" s="56"/>
      <c r="AU569" s="60">
        <f t="shared" si="398"/>
        <v>0</v>
      </c>
      <c r="AV569" s="56"/>
      <c r="AW569" s="47">
        <f t="shared" si="412"/>
        <v>0</v>
      </c>
      <c r="AX569" s="56"/>
      <c r="AY569" s="56"/>
      <c r="AZ569" s="56"/>
      <c r="BA569" s="56"/>
      <c r="BB569" s="56"/>
      <c r="BC569" s="47">
        <f t="shared" si="399"/>
        <v>0</v>
      </c>
      <c r="BD569" s="56"/>
      <c r="BE569" s="47">
        <f t="shared" si="400"/>
        <v>0</v>
      </c>
      <c r="BF569" s="56"/>
      <c r="BG569" s="56"/>
      <c r="BH569" s="56"/>
      <c r="BI569" s="56"/>
      <c r="BJ569" s="56"/>
      <c r="BK569" s="47">
        <f t="shared" si="415"/>
        <v>0</v>
      </c>
      <c r="BL569" s="56"/>
      <c r="BM569" s="56">
        <f t="shared" si="416"/>
        <v>0</v>
      </c>
      <c r="BN569" s="56"/>
      <c r="BO569" s="56"/>
      <c r="BP569" s="56"/>
      <c r="BQ569" s="56"/>
      <c r="BR569" s="56"/>
      <c r="BS569" s="47">
        <f t="shared" si="389"/>
        <v>0</v>
      </c>
      <c r="BT569" s="56"/>
      <c r="BU569" s="47">
        <f t="shared" si="390"/>
        <v>0</v>
      </c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  <c r="CL569" s="56"/>
      <c r="CM569" s="56"/>
      <c r="CN569" s="56"/>
      <c r="CO569" s="56"/>
      <c r="CP569" s="57"/>
      <c r="CQ569" s="56"/>
      <c r="CR569" s="47">
        <f t="shared" si="401"/>
        <v>0</v>
      </c>
      <c r="CS569" s="56"/>
      <c r="CT569" s="56"/>
      <c r="CU569" s="56"/>
      <c r="CV569" s="56"/>
      <c r="CW569" s="47">
        <f t="shared" si="384"/>
        <v>0</v>
      </c>
      <c r="CX569" s="46"/>
      <c r="CY569" s="47">
        <f t="shared" si="402"/>
        <v>0</v>
      </c>
      <c r="CZ569" s="56"/>
      <c r="DA569" s="56"/>
      <c r="DB569" s="56"/>
      <c r="DC569" s="56"/>
      <c r="DD569" s="47"/>
      <c r="DE569" s="56"/>
      <c r="DF569" s="46"/>
      <c r="DG569" s="56"/>
      <c r="DH569" s="57">
        <f t="shared" si="403"/>
        <v>0</v>
      </c>
      <c r="DI569" s="56"/>
      <c r="DJ569" s="56"/>
      <c r="DK569" s="47">
        <f t="shared" si="410"/>
        <v>0</v>
      </c>
      <c r="DL569" s="47">
        <f t="shared" si="404"/>
        <v>0</v>
      </c>
      <c r="DM569" s="56"/>
      <c r="DN569" s="46">
        <f t="shared" si="405"/>
        <v>0</v>
      </c>
      <c r="DO569" s="56"/>
      <c r="DP569" s="46">
        <f t="shared" si="413"/>
        <v>0</v>
      </c>
      <c r="DQ569" s="56" t="s">
        <v>100</v>
      </c>
      <c r="DR569" s="46">
        <f t="shared" si="406"/>
        <v>0</v>
      </c>
      <c r="DS569" s="56"/>
      <c r="DT569" s="46">
        <f t="shared" si="392"/>
        <v>0</v>
      </c>
      <c r="DU569" s="56"/>
      <c r="DV569" s="46">
        <f t="shared" si="393"/>
        <v>0</v>
      </c>
      <c r="DW569" s="56"/>
      <c r="DX569" s="47">
        <f t="shared" si="418"/>
        <v>0</v>
      </c>
      <c r="DY569" s="56"/>
      <c r="DZ569" s="56"/>
      <c r="EA569" s="56"/>
      <c r="EB569" s="56"/>
      <c r="EC569" s="56"/>
      <c r="ED569" s="56"/>
      <c r="EE569" s="47">
        <f t="shared" si="417"/>
        <v>0</v>
      </c>
      <c r="EF569" s="56"/>
      <c r="EG569" s="56"/>
      <c r="EH569" s="56"/>
      <c r="EI569" s="56"/>
      <c r="EJ569" s="56"/>
      <c r="EK569" s="47">
        <f t="shared" si="407"/>
        <v>0</v>
      </c>
      <c r="EL569" s="46">
        <f t="shared" si="408"/>
        <v>0</v>
      </c>
      <c r="EM569" s="56"/>
      <c r="EN569" s="61">
        <f t="shared" si="409"/>
        <v>0</v>
      </c>
    </row>
    <row r="570" spans="2:144" s="51" customFormat="1" ht="15" customHeight="1" x14ac:dyDescent="0.25">
      <c r="B570" s="41">
        <v>92</v>
      </c>
      <c r="C570" s="52"/>
      <c r="D570" s="53"/>
      <c r="E570" s="52"/>
      <c r="F570" s="52"/>
      <c r="G570" s="52"/>
      <c r="H570" s="52"/>
      <c r="I570" s="52"/>
      <c r="J570" s="52"/>
      <c r="K570" s="52"/>
      <c r="L570" s="52"/>
      <c r="M570" s="52"/>
      <c r="N570" s="54"/>
      <c r="O570" s="54"/>
      <c r="P570" s="52"/>
      <c r="Q570" s="55"/>
      <c r="R570" s="55"/>
      <c r="S570" s="55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47">
        <f t="shared" si="380"/>
        <v>0</v>
      </c>
      <c r="AO570" s="46">
        <f t="shared" si="381"/>
        <v>0</v>
      </c>
      <c r="AP570" s="56" t="s">
        <v>135</v>
      </c>
      <c r="AQ570" s="46">
        <f t="shared" si="414"/>
        <v>0</v>
      </c>
      <c r="AR570" s="56"/>
      <c r="AS570" s="56"/>
      <c r="AT570" s="56"/>
      <c r="AU570" s="60">
        <f t="shared" si="398"/>
        <v>0</v>
      </c>
      <c r="AV570" s="56"/>
      <c r="AW570" s="47">
        <f t="shared" si="412"/>
        <v>0</v>
      </c>
      <c r="AX570" s="56"/>
      <c r="AY570" s="56"/>
      <c r="AZ570" s="56"/>
      <c r="BA570" s="56"/>
      <c r="BB570" s="56"/>
      <c r="BC570" s="47">
        <f t="shared" si="399"/>
        <v>0</v>
      </c>
      <c r="BD570" s="56"/>
      <c r="BE570" s="47">
        <f t="shared" si="400"/>
        <v>0</v>
      </c>
      <c r="BF570" s="56"/>
      <c r="BG570" s="56"/>
      <c r="BH570" s="56"/>
      <c r="BI570" s="56"/>
      <c r="BJ570" s="56"/>
      <c r="BK570" s="47">
        <f t="shared" si="415"/>
        <v>0</v>
      </c>
      <c r="BL570" s="56"/>
      <c r="BM570" s="56">
        <f t="shared" si="416"/>
        <v>0</v>
      </c>
      <c r="BN570" s="56"/>
      <c r="BO570" s="56"/>
      <c r="BP570" s="56"/>
      <c r="BQ570" s="56"/>
      <c r="BR570" s="56"/>
      <c r="BS570" s="47">
        <f t="shared" si="389"/>
        <v>0</v>
      </c>
      <c r="BT570" s="56"/>
      <c r="BU570" s="47">
        <f t="shared" si="390"/>
        <v>0</v>
      </c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  <c r="CL570" s="56"/>
      <c r="CM570" s="56"/>
      <c r="CN570" s="56"/>
      <c r="CO570" s="56"/>
      <c r="CP570" s="57"/>
      <c r="CQ570" s="56"/>
      <c r="CR570" s="47">
        <f t="shared" si="401"/>
        <v>0</v>
      </c>
      <c r="CS570" s="56"/>
      <c r="CT570" s="56"/>
      <c r="CU570" s="56"/>
      <c r="CV570" s="56"/>
      <c r="CW570" s="47">
        <f t="shared" si="384"/>
        <v>0</v>
      </c>
      <c r="CX570" s="46"/>
      <c r="CY570" s="47">
        <f t="shared" si="402"/>
        <v>0</v>
      </c>
      <c r="CZ570" s="56"/>
      <c r="DA570" s="56"/>
      <c r="DB570" s="56"/>
      <c r="DC570" s="56"/>
      <c r="DD570" s="47"/>
      <c r="DE570" s="56"/>
      <c r="DF570" s="46"/>
      <c r="DG570" s="56"/>
      <c r="DH570" s="57">
        <f t="shared" si="403"/>
        <v>0</v>
      </c>
      <c r="DI570" s="56"/>
      <c r="DJ570" s="56"/>
      <c r="DK570" s="47">
        <f t="shared" si="410"/>
        <v>0</v>
      </c>
      <c r="DL570" s="47">
        <f t="shared" si="404"/>
        <v>0</v>
      </c>
      <c r="DM570" s="56"/>
      <c r="DN570" s="46">
        <f t="shared" si="405"/>
        <v>0</v>
      </c>
      <c r="DO570" s="56"/>
      <c r="DP570" s="46">
        <f t="shared" si="413"/>
        <v>0</v>
      </c>
      <c r="DQ570" s="56" t="s">
        <v>100</v>
      </c>
      <c r="DR570" s="46">
        <f t="shared" si="406"/>
        <v>0</v>
      </c>
      <c r="DS570" s="56"/>
      <c r="DT570" s="46">
        <f t="shared" si="392"/>
        <v>0</v>
      </c>
      <c r="DU570" s="56"/>
      <c r="DV570" s="46">
        <f t="shared" si="393"/>
        <v>0</v>
      </c>
      <c r="DW570" s="56"/>
      <c r="DX570" s="47">
        <f t="shared" si="418"/>
        <v>0</v>
      </c>
      <c r="DY570" s="56"/>
      <c r="DZ570" s="56"/>
      <c r="EA570" s="56"/>
      <c r="EB570" s="56"/>
      <c r="EC570" s="56"/>
      <c r="ED570" s="56"/>
      <c r="EE570" s="47">
        <f t="shared" si="417"/>
        <v>0</v>
      </c>
      <c r="EF570" s="56"/>
      <c r="EG570" s="56"/>
      <c r="EH570" s="56"/>
      <c r="EI570" s="56"/>
      <c r="EJ570" s="56"/>
      <c r="EK570" s="47">
        <f t="shared" si="407"/>
        <v>0</v>
      </c>
      <c r="EL570" s="46">
        <f t="shared" si="408"/>
        <v>0</v>
      </c>
      <c r="EM570" s="56"/>
      <c r="EN570" s="61">
        <f t="shared" si="409"/>
        <v>0</v>
      </c>
    </row>
    <row r="571" spans="2:144" s="51" customFormat="1" ht="15" customHeight="1" x14ac:dyDescent="0.25">
      <c r="B571" s="41">
        <v>93</v>
      </c>
      <c r="C571" s="52"/>
      <c r="D571" s="53"/>
      <c r="E571" s="52"/>
      <c r="F571" s="52"/>
      <c r="G571" s="52"/>
      <c r="H571" s="52"/>
      <c r="I571" s="52"/>
      <c r="J571" s="52"/>
      <c r="K571" s="52"/>
      <c r="L571" s="52"/>
      <c r="M571" s="52"/>
      <c r="N571" s="54"/>
      <c r="O571" s="54"/>
      <c r="P571" s="52"/>
      <c r="Q571" s="55"/>
      <c r="R571" s="55"/>
      <c r="S571" s="55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47">
        <f t="shared" si="380"/>
        <v>0</v>
      </c>
      <c r="AO571" s="46">
        <f t="shared" si="381"/>
        <v>0</v>
      </c>
      <c r="AP571" s="56" t="s">
        <v>135</v>
      </c>
      <c r="AQ571" s="46">
        <f t="shared" si="414"/>
        <v>0</v>
      </c>
      <c r="AR571" s="56"/>
      <c r="AS571" s="56"/>
      <c r="AT571" s="56"/>
      <c r="AU571" s="60">
        <f t="shared" si="398"/>
        <v>0</v>
      </c>
      <c r="AV571" s="56"/>
      <c r="AW571" s="47">
        <f t="shared" si="412"/>
        <v>0</v>
      </c>
      <c r="AX571" s="56"/>
      <c r="AY571" s="56"/>
      <c r="AZ571" s="56"/>
      <c r="BA571" s="56"/>
      <c r="BB571" s="56"/>
      <c r="BC571" s="47">
        <f t="shared" si="399"/>
        <v>0</v>
      </c>
      <c r="BD571" s="56"/>
      <c r="BE571" s="47">
        <f t="shared" si="400"/>
        <v>0</v>
      </c>
      <c r="BF571" s="56"/>
      <c r="BG571" s="56"/>
      <c r="BH571" s="56"/>
      <c r="BI571" s="56"/>
      <c r="BJ571" s="56"/>
      <c r="BK571" s="47">
        <f t="shared" si="415"/>
        <v>0</v>
      </c>
      <c r="BL571" s="56"/>
      <c r="BM571" s="56">
        <f t="shared" si="416"/>
        <v>0</v>
      </c>
      <c r="BN571" s="56"/>
      <c r="BO571" s="56"/>
      <c r="BP571" s="56"/>
      <c r="BQ571" s="56"/>
      <c r="BR571" s="56"/>
      <c r="BS571" s="47">
        <f t="shared" si="389"/>
        <v>0</v>
      </c>
      <c r="BT571" s="56"/>
      <c r="BU571" s="47">
        <f t="shared" si="390"/>
        <v>0</v>
      </c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  <c r="CL571" s="56"/>
      <c r="CM571" s="56"/>
      <c r="CN571" s="56"/>
      <c r="CO571" s="56"/>
      <c r="CP571" s="57"/>
      <c r="CQ571" s="56"/>
      <c r="CR571" s="47">
        <f t="shared" si="401"/>
        <v>0</v>
      </c>
      <c r="CS571" s="56"/>
      <c r="CT571" s="56"/>
      <c r="CU571" s="56"/>
      <c r="CV571" s="56"/>
      <c r="CW571" s="47">
        <f t="shared" si="384"/>
        <v>0</v>
      </c>
      <c r="CX571" s="46"/>
      <c r="CY571" s="47">
        <f t="shared" si="402"/>
        <v>0</v>
      </c>
      <c r="CZ571" s="56"/>
      <c r="DA571" s="56"/>
      <c r="DB571" s="56"/>
      <c r="DC571" s="56"/>
      <c r="DD571" s="47"/>
      <c r="DE571" s="56"/>
      <c r="DF571" s="46"/>
      <c r="DG571" s="56"/>
      <c r="DH571" s="57">
        <f t="shared" si="403"/>
        <v>0</v>
      </c>
      <c r="DI571" s="56"/>
      <c r="DJ571" s="56"/>
      <c r="DK571" s="47">
        <f t="shared" si="410"/>
        <v>0</v>
      </c>
      <c r="DL571" s="47">
        <f t="shared" si="404"/>
        <v>0</v>
      </c>
      <c r="DM571" s="56"/>
      <c r="DN571" s="46">
        <f t="shared" si="405"/>
        <v>0</v>
      </c>
      <c r="DO571" s="56"/>
      <c r="DP571" s="46">
        <f t="shared" si="413"/>
        <v>0</v>
      </c>
      <c r="DQ571" s="56" t="s">
        <v>100</v>
      </c>
      <c r="DR571" s="46">
        <f t="shared" si="406"/>
        <v>0</v>
      </c>
      <c r="DS571" s="56"/>
      <c r="DT571" s="46">
        <f t="shared" si="392"/>
        <v>0</v>
      </c>
      <c r="DU571" s="56"/>
      <c r="DV571" s="46">
        <f t="shared" si="393"/>
        <v>0</v>
      </c>
      <c r="DW571" s="56"/>
      <c r="DX571" s="47">
        <f t="shared" si="418"/>
        <v>0</v>
      </c>
      <c r="DY571" s="56"/>
      <c r="DZ571" s="56"/>
      <c r="EA571" s="56"/>
      <c r="EB571" s="56"/>
      <c r="EC571" s="56"/>
      <c r="ED571" s="56"/>
      <c r="EE571" s="47">
        <f t="shared" si="417"/>
        <v>0</v>
      </c>
      <c r="EF571" s="56"/>
      <c r="EG571" s="56"/>
      <c r="EH571" s="56"/>
      <c r="EI571" s="56"/>
      <c r="EJ571" s="56"/>
      <c r="EK571" s="47">
        <f t="shared" si="407"/>
        <v>0</v>
      </c>
      <c r="EL571" s="46">
        <f t="shared" si="408"/>
        <v>0</v>
      </c>
      <c r="EM571" s="56"/>
      <c r="EN571" s="61">
        <f t="shared" si="409"/>
        <v>0</v>
      </c>
    </row>
    <row r="572" spans="2:144" s="51" customFormat="1" ht="15" customHeight="1" x14ac:dyDescent="0.25">
      <c r="B572" s="41">
        <v>94</v>
      </c>
      <c r="C572" s="52"/>
      <c r="D572" s="53"/>
      <c r="E572" s="52"/>
      <c r="F572" s="52"/>
      <c r="G572" s="52"/>
      <c r="H572" s="52"/>
      <c r="I572" s="52"/>
      <c r="J572" s="52"/>
      <c r="K572" s="52"/>
      <c r="L572" s="52"/>
      <c r="M572" s="52"/>
      <c r="N572" s="54"/>
      <c r="O572" s="54"/>
      <c r="P572" s="52"/>
      <c r="Q572" s="55"/>
      <c r="R572" s="55"/>
      <c r="S572" s="55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47">
        <f t="shared" si="380"/>
        <v>0</v>
      </c>
      <c r="AO572" s="46">
        <f t="shared" si="381"/>
        <v>0</v>
      </c>
      <c r="AP572" s="56" t="s">
        <v>135</v>
      </c>
      <c r="AQ572" s="46">
        <f t="shared" si="414"/>
        <v>0</v>
      </c>
      <c r="AR572" s="56"/>
      <c r="AS572" s="56"/>
      <c r="AT572" s="56"/>
      <c r="AU572" s="60">
        <f t="shared" si="398"/>
        <v>0</v>
      </c>
      <c r="AV572" s="56"/>
      <c r="AW572" s="47">
        <f t="shared" si="412"/>
        <v>0</v>
      </c>
      <c r="AX572" s="56"/>
      <c r="AY572" s="56"/>
      <c r="AZ572" s="56"/>
      <c r="BA572" s="56"/>
      <c r="BB572" s="56"/>
      <c r="BC572" s="47">
        <f t="shared" si="399"/>
        <v>0</v>
      </c>
      <c r="BD572" s="56"/>
      <c r="BE572" s="47">
        <f t="shared" si="400"/>
        <v>0</v>
      </c>
      <c r="BF572" s="56"/>
      <c r="BG572" s="56"/>
      <c r="BH572" s="56"/>
      <c r="BI572" s="56"/>
      <c r="BJ572" s="56"/>
      <c r="BK572" s="47">
        <f t="shared" si="415"/>
        <v>0</v>
      </c>
      <c r="BL572" s="56"/>
      <c r="BM572" s="56">
        <f t="shared" si="416"/>
        <v>0</v>
      </c>
      <c r="BN572" s="56"/>
      <c r="BO572" s="56"/>
      <c r="BP572" s="56"/>
      <c r="BQ572" s="56"/>
      <c r="BR572" s="56"/>
      <c r="BS572" s="47">
        <f t="shared" si="389"/>
        <v>0</v>
      </c>
      <c r="BT572" s="56"/>
      <c r="BU572" s="47">
        <f t="shared" si="390"/>
        <v>0</v>
      </c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56"/>
      <c r="CP572" s="57"/>
      <c r="CQ572" s="56"/>
      <c r="CR572" s="47">
        <f t="shared" si="401"/>
        <v>0</v>
      </c>
      <c r="CS572" s="56"/>
      <c r="CT572" s="56"/>
      <c r="CU572" s="56"/>
      <c r="CV572" s="56"/>
      <c r="CW572" s="47">
        <f t="shared" si="384"/>
        <v>0</v>
      </c>
      <c r="CX572" s="46"/>
      <c r="CY572" s="47">
        <f t="shared" si="402"/>
        <v>0</v>
      </c>
      <c r="CZ572" s="56"/>
      <c r="DA572" s="56"/>
      <c r="DB572" s="56"/>
      <c r="DC572" s="56"/>
      <c r="DD572" s="47"/>
      <c r="DE572" s="56"/>
      <c r="DF572" s="46"/>
      <c r="DG572" s="56"/>
      <c r="DH572" s="57">
        <f t="shared" si="403"/>
        <v>0</v>
      </c>
      <c r="DI572" s="56"/>
      <c r="DJ572" s="56"/>
      <c r="DK572" s="47">
        <f t="shared" si="410"/>
        <v>0</v>
      </c>
      <c r="DL572" s="47">
        <f t="shared" si="404"/>
        <v>0</v>
      </c>
      <c r="DM572" s="56"/>
      <c r="DN572" s="46">
        <f t="shared" si="405"/>
        <v>0</v>
      </c>
      <c r="DO572" s="56"/>
      <c r="DP572" s="46">
        <f t="shared" si="413"/>
        <v>0</v>
      </c>
      <c r="DQ572" s="56" t="s">
        <v>100</v>
      </c>
      <c r="DR572" s="46">
        <f t="shared" si="406"/>
        <v>0</v>
      </c>
      <c r="DS572" s="56"/>
      <c r="DT572" s="46">
        <f t="shared" si="392"/>
        <v>0</v>
      </c>
      <c r="DU572" s="56"/>
      <c r="DV572" s="46">
        <f t="shared" si="393"/>
        <v>0</v>
      </c>
      <c r="DW572" s="56"/>
      <c r="DX572" s="47">
        <f t="shared" si="418"/>
        <v>0</v>
      </c>
      <c r="DY572" s="56"/>
      <c r="DZ572" s="56"/>
      <c r="EA572" s="56"/>
      <c r="EB572" s="56"/>
      <c r="EC572" s="56"/>
      <c r="ED572" s="56"/>
      <c r="EE572" s="47">
        <f t="shared" si="417"/>
        <v>0</v>
      </c>
      <c r="EF572" s="56"/>
      <c r="EG572" s="56"/>
      <c r="EH572" s="56"/>
      <c r="EI572" s="56"/>
      <c r="EJ572" s="56"/>
      <c r="EK572" s="47">
        <f t="shared" si="407"/>
        <v>0</v>
      </c>
      <c r="EL572" s="46">
        <f t="shared" si="408"/>
        <v>0</v>
      </c>
      <c r="EM572" s="56"/>
      <c r="EN572" s="61">
        <f t="shared" si="409"/>
        <v>0</v>
      </c>
    </row>
    <row r="573" spans="2:144" s="51" customFormat="1" ht="15" customHeight="1" x14ac:dyDescent="0.25">
      <c r="B573" s="41">
        <v>95</v>
      </c>
      <c r="C573" s="52"/>
      <c r="D573" s="53"/>
      <c r="E573" s="52"/>
      <c r="F573" s="52"/>
      <c r="G573" s="52"/>
      <c r="H573" s="52"/>
      <c r="I573" s="52"/>
      <c r="J573" s="52"/>
      <c r="K573" s="52"/>
      <c r="L573" s="52"/>
      <c r="M573" s="52"/>
      <c r="N573" s="54"/>
      <c r="O573" s="54"/>
      <c r="P573" s="52"/>
      <c r="Q573" s="55"/>
      <c r="R573" s="55"/>
      <c r="S573" s="55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47">
        <f t="shared" si="380"/>
        <v>0</v>
      </c>
      <c r="AO573" s="46">
        <f t="shared" si="381"/>
        <v>0</v>
      </c>
      <c r="AP573" s="56" t="s">
        <v>135</v>
      </c>
      <c r="AQ573" s="46">
        <f t="shared" si="414"/>
        <v>0</v>
      </c>
      <c r="AR573" s="56"/>
      <c r="AS573" s="56"/>
      <c r="AT573" s="56"/>
      <c r="AU573" s="60">
        <f t="shared" si="398"/>
        <v>0</v>
      </c>
      <c r="AV573" s="56"/>
      <c r="AW573" s="47">
        <f t="shared" si="412"/>
        <v>0</v>
      </c>
      <c r="AX573" s="56"/>
      <c r="AY573" s="56"/>
      <c r="AZ573" s="56"/>
      <c r="BA573" s="56"/>
      <c r="BB573" s="56"/>
      <c r="BC573" s="47">
        <f t="shared" si="399"/>
        <v>0</v>
      </c>
      <c r="BD573" s="56"/>
      <c r="BE573" s="47">
        <f t="shared" si="400"/>
        <v>0</v>
      </c>
      <c r="BF573" s="56"/>
      <c r="BG573" s="56"/>
      <c r="BH573" s="56"/>
      <c r="BI573" s="56"/>
      <c r="BJ573" s="56"/>
      <c r="BK573" s="47">
        <f t="shared" si="415"/>
        <v>0</v>
      </c>
      <c r="BL573" s="56"/>
      <c r="BM573" s="56">
        <f t="shared" si="416"/>
        <v>0</v>
      </c>
      <c r="BN573" s="56"/>
      <c r="BO573" s="56"/>
      <c r="BP573" s="56"/>
      <c r="BQ573" s="56"/>
      <c r="BR573" s="56"/>
      <c r="BS573" s="47">
        <f t="shared" si="389"/>
        <v>0</v>
      </c>
      <c r="BT573" s="56"/>
      <c r="BU573" s="47">
        <f t="shared" si="390"/>
        <v>0</v>
      </c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  <c r="CL573" s="56"/>
      <c r="CM573" s="56"/>
      <c r="CN573" s="56"/>
      <c r="CO573" s="56"/>
      <c r="CP573" s="57"/>
      <c r="CQ573" s="56"/>
      <c r="CR573" s="47">
        <f t="shared" si="401"/>
        <v>0</v>
      </c>
      <c r="CS573" s="56"/>
      <c r="CT573" s="56"/>
      <c r="CU573" s="56"/>
      <c r="CV573" s="56"/>
      <c r="CW573" s="47">
        <f t="shared" si="384"/>
        <v>0</v>
      </c>
      <c r="CX573" s="46"/>
      <c r="CY573" s="47">
        <f t="shared" si="402"/>
        <v>0</v>
      </c>
      <c r="CZ573" s="56"/>
      <c r="DA573" s="56"/>
      <c r="DB573" s="56"/>
      <c r="DC573" s="56"/>
      <c r="DD573" s="47"/>
      <c r="DE573" s="56"/>
      <c r="DF573" s="46"/>
      <c r="DG573" s="56"/>
      <c r="DH573" s="57">
        <f t="shared" si="403"/>
        <v>0</v>
      </c>
      <c r="DI573" s="56"/>
      <c r="DJ573" s="56"/>
      <c r="DK573" s="47">
        <f t="shared" si="410"/>
        <v>0</v>
      </c>
      <c r="DL573" s="47">
        <f t="shared" si="404"/>
        <v>0</v>
      </c>
      <c r="DM573" s="56"/>
      <c r="DN573" s="46">
        <f t="shared" si="405"/>
        <v>0</v>
      </c>
      <c r="DO573" s="56"/>
      <c r="DP573" s="46">
        <f t="shared" si="413"/>
        <v>0</v>
      </c>
      <c r="DQ573" s="56" t="s">
        <v>100</v>
      </c>
      <c r="DR573" s="46">
        <f t="shared" si="406"/>
        <v>0</v>
      </c>
      <c r="DS573" s="56"/>
      <c r="DT573" s="46">
        <f t="shared" si="392"/>
        <v>0</v>
      </c>
      <c r="DU573" s="56"/>
      <c r="DV573" s="46">
        <f t="shared" si="393"/>
        <v>0</v>
      </c>
      <c r="DW573" s="56"/>
      <c r="DX573" s="47">
        <f t="shared" si="418"/>
        <v>0</v>
      </c>
      <c r="DY573" s="56"/>
      <c r="DZ573" s="56"/>
      <c r="EA573" s="56"/>
      <c r="EB573" s="56"/>
      <c r="EC573" s="56"/>
      <c r="ED573" s="56"/>
      <c r="EE573" s="47">
        <f t="shared" si="417"/>
        <v>0</v>
      </c>
      <c r="EF573" s="56"/>
      <c r="EG573" s="56"/>
      <c r="EH573" s="56"/>
      <c r="EI573" s="56"/>
      <c r="EJ573" s="56"/>
      <c r="EK573" s="47">
        <f t="shared" si="407"/>
        <v>0</v>
      </c>
      <c r="EL573" s="46">
        <f t="shared" si="408"/>
        <v>0</v>
      </c>
      <c r="EM573" s="56"/>
      <c r="EN573" s="61">
        <f t="shared" si="409"/>
        <v>0</v>
      </c>
    </row>
    <row r="574" spans="2:144" s="51" customFormat="1" ht="15" customHeight="1" x14ac:dyDescent="0.25">
      <c r="B574" s="41">
        <v>96</v>
      </c>
      <c r="C574" s="52"/>
      <c r="D574" s="53"/>
      <c r="E574" s="52"/>
      <c r="F574" s="52"/>
      <c r="G574" s="52"/>
      <c r="H574" s="52"/>
      <c r="I574" s="52"/>
      <c r="J574" s="52"/>
      <c r="K574" s="52"/>
      <c r="L574" s="52"/>
      <c r="M574" s="52"/>
      <c r="N574" s="54"/>
      <c r="O574" s="54"/>
      <c r="P574" s="52"/>
      <c r="Q574" s="55"/>
      <c r="R574" s="55"/>
      <c r="S574" s="55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47">
        <f t="shared" si="380"/>
        <v>0</v>
      </c>
      <c r="AO574" s="46">
        <f t="shared" si="381"/>
        <v>0</v>
      </c>
      <c r="AP574" s="56" t="s">
        <v>135</v>
      </c>
      <c r="AQ574" s="46">
        <f t="shared" si="414"/>
        <v>0</v>
      </c>
      <c r="AR574" s="56"/>
      <c r="AS574" s="56"/>
      <c r="AT574" s="56"/>
      <c r="AU574" s="60">
        <f t="shared" si="398"/>
        <v>0</v>
      </c>
      <c r="AV574" s="56"/>
      <c r="AW574" s="47">
        <f t="shared" si="412"/>
        <v>0</v>
      </c>
      <c r="AX574" s="56"/>
      <c r="AY574" s="56"/>
      <c r="AZ574" s="56"/>
      <c r="BA574" s="56"/>
      <c r="BB574" s="56"/>
      <c r="BC574" s="47">
        <f t="shared" si="399"/>
        <v>0</v>
      </c>
      <c r="BD574" s="56"/>
      <c r="BE574" s="47">
        <f t="shared" si="400"/>
        <v>0</v>
      </c>
      <c r="BF574" s="56"/>
      <c r="BG574" s="56"/>
      <c r="BH574" s="56"/>
      <c r="BI574" s="56"/>
      <c r="BJ574" s="56"/>
      <c r="BK574" s="47">
        <f t="shared" si="415"/>
        <v>0</v>
      </c>
      <c r="BL574" s="56"/>
      <c r="BM574" s="56">
        <f t="shared" si="416"/>
        <v>0</v>
      </c>
      <c r="BN574" s="56"/>
      <c r="BO574" s="56"/>
      <c r="BP574" s="56"/>
      <c r="BQ574" s="56"/>
      <c r="BR574" s="56"/>
      <c r="BS574" s="47">
        <f t="shared" si="389"/>
        <v>0</v>
      </c>
      <c r="BT574" s="56"/>
      <c r="BU574" s="47">
        <f t="shared" si="390"/>
        <v>0</v>
      </c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  <c r="CL574" s="56"/>
      <c r="CM574" s="56"/>
      <c r="CN574" s="56"/>
      <c r="CO574" s="56"/>
      <c r="CP574" s="57"/>
      <c r="CQ574" s="56"/>
      <c r="CR574" s="47">
        <f t="shared" si="401"/>
        <v>0</v>
      </c>
      <c r="CS574" s="56"/>
      <c r="CT574" s="56"/>
      <c r="CU574" s="56"/>
      <c r="CV574" s="56"/>
      <c r="CW574" s="47">
        <f t="shared" si="384"/>
        <v>0</v>
      </c>
      <c r="CX574" s="46"/>
      <c r="CY574" s="47">
        <f t="shared" si="402"/>
        <v>0</v>
      </c>
      <c r="CZ574" s="56"/>
      <c r="DA574" s="56"/>
      <c r="DB574" s="56"/>
      <c r="DC574" s="56"/>
      <c r="DD574" s="47"/>
      <c r="DE574" s="56"/>
      <c r="DF574" s="46"/>
      <c r="DG574" s="56"/>
      <c r="DH574" s="57">
        <f t="shared" si="403"/>
        <v>0</v>
      </c>
      <c r="DI574" s="56"/>
      <c r="DJ574" s="56"/>
      <c r="DK574" s="47">
        <f t="shared" si="410"/>
        <v>0</v>
      </c>
      <c r="DL574" s="47">
        <f t="shared" si="404"/>
        <v>0</v>
      </c>
      <c r="DM574" s="56"/>
      <c r="DN574" s="46">
        <f t="shared" si="405"/>
        <v>0</v>
      </c>
      <c r="DO574" s="56"/>
      <c r="DP574" s="46">
        <f t="shared" si="413"/>
        <v>0</v>
      </c>
      <c r="DQ574" s="56" t="s">
        <v>100</v>
      </c>
      <c r="DR574" s="46">
        <f t="shared" si="406"/>
        <v>0</v>
      </c>
      <c r="DS574" s="56"/>
      <c r="DT574" s="46">
        <f t="shared" si="392"/>
        <v>0</v>
      </c>
      <c r="DU574" s="56"/>
      <c r="DV574" s="46">
        <f t="shared" si="393"/>
        <v>0</v>
      </c>
      <c r="DW574" s="56"/>
      <c r="DX574" s="47">
        <f t="shared" si="418"/>
        <v>0</v>
      </c>
      <c r="DY574" s="56"/>
      <c r="DZ574" s="56"/>
      <c r="EA574" s="56"/>
      <c r="EB574" s="56"/>
      <c r="EC574" s="56"/>
      <c r="ED574" s="56"/>
      <c r="EE574" s="47">
        <f t="shared" si="417"/>
        <v>0</v>
      </c>
      <c r="EF574" s="56"/>
      <c r="EG574" s="56"/>
      <c r="EH574" s="56"/>
      <c r="EI574" s="56"/>
      <c r="EJ574" s="56"/>
      <c r="EK574" s="47">
        <f t="shared" si="407"/>
        <v>0</v>
      </c>
      <c r="EL574" s="46">
        <f t="shared" si="408"/>
        <v>0</v>
      </c>
      <c r="EM574" s="56"/>
      <c r="EN574" s="61">
        <f t="shared" si="409"/>
        <v>0</v>
      </c>
    </row>
    <row r="575" spans="2:144" s="51" customFormat="1" ht="15" customHeight="1" x14ac:dyDescent="0.25">
      <c r="B575" s="41">
        <v>98</v>
      </c>
      <c r="C575" s="52"/>
      <c r="D575" s="53"/>
      <c r="E575" s="52"/>
      <c r="F575" s="52"/>
      <c r="G575" s="52"/>
      <c r="H575" s="52"/>
      <c r="I575" s="52"/>
      <c r="J575" s="52"/>
      <c r="K575" s="52"/>
      <c r="L575" s="52"/>
      <c r="M575" s="52"/>
      <c r="N575" s="54"/>
      <c r="O575" s="54"/>
      <c r="P575" s="52"/>
      <c r="Q575" s="55"/>
      <c r="R575" s="55"/>
      <c r="S575" s="55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47">
        <f t="shared" si="380"/>
        <v>0</v>
      </c>
      <c r="AO575" s="46">
        <f t="shared" si="381"/>
        <v>0</v>
      </c>
      <c r="AP575" s="56" t="s">
        <v>136</v>
      </c>
      <c r="AQ575" s="46">
        <f>23%*AO575</f>
        <v>0</v>
      </c>
      <c r="AR575" s="56"/>
      <c r="AS575" s="56"/>
      <c r="AT575" s="56"/>
      <c r="AU575" s="60">
        <f t="shared" si="398"/>
        <v>0</v>
      </c>
      <c r="AV575" s="56"/>
      <c r="AW575" s="47">
        <f t="shared" si="412"/>
        <v>0</v>
      </c>
      <c r="AX575" s="56"/>
      <c r="AY575" s="56"/>
      <c r="AZ575" s="56"/>
      <c r="BA575" s="56"/>
      <c r="BB575" s="56"/>
      <c r="BC575" s="47">
        <f t="shared" si="399"/>
        <v>0</v>
      </c>
      <c r="BD575" s="56"/>
      <c r="BE575" s="47">
        <f t="shared" si="400"/>
        <v>0</v>
      </c>
      <c r="BF575" s="56"/>
      <c r="BG575" s="56"/>
      <c r="BH575" s="56"/>
      <c r="BI575" s="56"/>
      <c r="BJ575" s="56"/>
      <c r="BK575" s="47">
        <f t="shared" si="415"/>
        <v>0</v>
      </c>
      <c r="BL575" s="56"/>
      <c r="BM575" s="56">
        <f t="shared" si="416"/>
        <v>0</v>
      </c>
      <c r="BN575" s="56"/>
      <c r="BO575" s="56"/>
      <c r="BP575" s="56"/>
      <c r="BQ575" s="56"/>
      <c r="BR575" s="56"/>
      <c r="BS575" s="47">
        <f t="shared" si="389"/>
        <v>0</v>
      </c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  <c r="CL575" s="56"/>
      <c r="CM575" s="56"/>
      <c r="CN575" s="56"/>
      <c r="CO575" s="56"/>
      <c r="CP575" s="57"/>
      <c r="CQ575" s="56"/>
      <c r="CR575" s="47">
        <f t="shared" si="401"/>
        <v>0</v>
      </c>
      <c r="CS575" s="56"/>
      <c r="CT575" s="56"/>
      <c r="CU575" s="56"/>
      <c r="CV575" s="56"/>
      <c r="CW575" s="47">
        <f t="shared" si="384"/>
        <v>0</v>
      </c>
      <c r="CX575" s="46"/>
      <c r="CY575" s="47">
        <f t="shared" si="402"/>
        <v>0</v>
      </c>
      <c r="CZ575" s="56"/>
      <c r="DA575" s="56"/>
      <c r="DB575" s="56"/>
      <c r="DC575" s="56"/>
      <c r="DD575" s="47"/>
      <c r="DE575" s="56"/>
      <c r="DF575" s="46"/>
      <c r="DG575" s="56"/>
      <c r="DH575" s="57">
        <f t="shared" si="403"/>
        <v>0</v>
      </c>
      <c r="DI575" s="56"/>
      <c r="DJ575" s="56"/>
      <c r="DK575" s="47">
        <f t="shared" si="410"/>
        <v>0</v>
      </c>
      <c r="DL575" s="47">
        <f t="shared" si="404"/>
        <v>0</v>
      </c>
      <c r="DM575" s="56"/>
      <c r="DN575" s="46">
        <f t="shared" si="405"/>
        <v>0</v>
      </c>
      <c r="DO575" s="56"/>
      <c r="DP575" s="46">
        <f t="shared" si="413"/>
        <v>0</v>
      </c>
      <c r="DQ575" s="56" t="s">
        <v>100</v>
      </c>
      <c r="DR575" s="46">
        <f t="shared" si="406"/>
        <v>0</v>
      </c>
      <c r="DS575" s="56"/>
      <c r="DT575" s="46">
        <f t="shared" si="392"/>
        <v>0</v>
      </c>
      <c r="DU575" s="56"/>
      <c r="DV575" s="46">
        <f t="shared" si="393"/>
        <v>0</v>
      </c>
      <c r="DW575" s="56"/>
      <c r="DX575" s="47">
        <f t="shared" si="418"/>
        <v>0</v>
      </c>
      <c r="DY575" s="56"/>
      <c r="DZ575" s="56"/>
      <c r="EA575" s="56"/>
      <c r="EB575" s="56"/>
      <c r="EC575" s="56"/>
      <c r="ED575" s="56"/>
      <c r="EE575" s="47">
        <f t="shared" si="417"/>
        <v>0</v>
      </c>
      <c r="EF575" s="56"/>
      <c r="EG575" s="56"/>
      <c r="EH575" s="56"/>
      <c r="EI575" s="56"/>
      <c r="EJ575" s="56"/>
      <c r="EK575" s="47">
        <f t="shared" si="407"/>
        <v>0</v>
      </c>
      <c r="EL575" s="46">
        <f t="shared" si="408"/>
        <v>0</v>
      </c>
      <c r="EM575" s="56"/>
      <c r="EN575" s="61">
        <f t="shared" si="409"/>
        <v>0</v>
      </c>
    </row>
    <row r="576" spans="2:144" s="144" customFormat="1" ht="15" customHeight="1" x14ac:dyDescent="0.25">
      <c r="B576" s="41">
        <v>99</v>
      </c>
      <c r="C576" s="97"/>
      <c r="D576" s="98"/>
      <c r="E576" s="97"/>
      <c r="F576" s="97"/>
      <c r="G576" s="97"/>
      <c r="H576" s="97"/>
      <c r="I576" s="97"/>
      <c r="J576" s="97"/>
      <c r="K576" s="97"/>
      <c r="L576" s="97"/>
      <c r="M576" s="97"/>
      <c r="N576" s="142"/>
      <c r="O576" s="142"/>
      <c r="P576" s="97"/>
      <c r="Q576" s="143"/>
      <c r="R576" s="143"/>
      <c r="S576" s="143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47">
        <f t="shared" si="380"/>
        <v>0</v>
      </c>
      <c r="AO576" s="46">
        <f t="shared" si="381"/>
        <v>0</v>
      </c>
      <c r="AP576" s="61" t="s">
        <v>135</v>
      </c>
      <c r="AQ576" s="46">
        <f>20%*AO576</f>
        <v>0</v>
      </c>
      <c r="AR576" s="61"/>
      <c r="AS576" s="61"/>
      <c r="AT576" s="61"/>
      <c r="AU576" s="60">
        <f t="shared" si="398"/>
        <v>0</v>
      </c>
      <c r="AV576" s="61"/>
      <c r="AW576" s="47">
        <f t="shared" si="412"/>
        <v>0</v>
      </c>
      <c r="AX576" s="61"/>
      <c r="AY576" s="61"/>
      <c r="AZ576" s="61"/>
      <c r="BA576" s="61"/>
      <c r="BB576" s="61"/>
      <c r="BC576" s="47">
        <f t="shared" si="399"/>
        <v>0</v>
      </c>
      <c r="BD576" s="61"/>
      <c r="BE576" s="47">
        <f t="shared" si="400"/>
        <v>0</v>
      </c>
      <c r="BF576" s="61"/>
      <c r="BG576" s="61"/>
      <c r="BH576" s="61"/>
      <c r="BI576" s="61"/>
      <c r="BJ576" s="61"/>
      <c r="BK576" s="47">
        <f t="shared" si="415"/>
        <v>0</v>
      </c>
      <c r="BL576" s="61"/>
      <c r="BM576" s="61">
        <f t="shared" si="416"/>
        <v>0</v>
      </c>
      <c r="BN576" s="61"/>
      <c r="BO576" s="61"/>
      <c r="BP576" s="61"/>
      <c r="BQ576" s="61"/>
      <c r="BR576" s="61"/>
      <c r="BS576" s="47">
        <f t="shared" si="389"/>
        <v>0</v>
      </c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  <c r="CN576" s="61"/>
      <c r="CO576" s="61"/>
      <c r="CP576" s="57"/>
      <c r="CQ576" s="61"/>
      <c r="CR576" s="47">
        <f t="shared" si="401"/>
        <v>0</v>
      </c>
      <c r="CS576" s="61"/>
      <c r="CT576" s="61"/>
      <c r="CU576" s="61"/>
      <c r="CV576" s="61"/>
      <c r="CW576" s="47">
        <f t="shared" si="384"/>
        <v>0</v>
      </c>
      <c r="CX576" s="46"/>
      <c r="CY576" s="47">
        <f t="shared" si="402"/>
        <v>0</v>
      </c>
      <c r="CZ576" s="61"/>
      <c r="DA576" s="61"/>
      <c r="DB576" s="61"/>
      <c r="DC576" s="61"/>
      <c r="DD576" s="47"/>
      <c r="DE576" s="61"/>
      <c r="DF576" s="46"/>
      <c r="DG576" s="61"/>
      <c r="DH576" s="57">
        <f t="shared" si="403"/>
        <v>0</v>
      </c>
      <c r="DI576" s="61"/>
      <c r="DJ576" s="61"/>
      <c r="DK576" s="47">
        <f t="shared" si="410"/>
        <v>0</v>
      </c>
      <c r="DL576" s="47">
        <f t="shared" si="404"/>
        <v>0</v>
      </c>
      <c r="DM576" s="61"/>
      <c r="DN576" s="46">
        <f t="shared" si="405"/>
        <v>0</v>
      </c>
      <c r="DO576" s="61"/>
      <c r="DP576" s="46">
        <f t="shared" si="413"/>
        <v>0</v>
      </c>
      <c r="DQ576" s="61" t="s">
        <v>100</v>
      </c>
      <c r="DR576" s="46">
        <f t="shared" si="406"/>
        <v>0</v>
      </c>
      <c r="DS576" s="61"/>
      <c r="DT576" s="46">
        <f t="shared" si="392"/>
        <v>0</v>
      </c>
      <c r="DU576" s="61"/>
      <c r="DV576" s="46">
        <f t="shared" si="393"/>
        <v>0</v>
      </c>
      <c r="DW576" s="61"/>
      <c r="DX576" s="47">
        <f t="shared" si="418"/>
        <v>0</v>
      </c>
      <c r="DY576" s="61"/>
      <c r="DZ576" s="61"/>
      <c r="EA576" s="61"/>
      <c r="EB576" s="61"/>
      <c r="EC576" s="61"/>
      <c r="ED576" s="61"/>
      <c r="EE576" s="47">
        <f t="shared" si="417"/>
        <v>0</v>
      </c>
      <c r="EF576" s="61"/>
      <c r="EG576" s="61"/>
      <c r="EH576" s="61"/>
      <c r="EI576" s="61"/>
      <c r="EJ576" s="61"/>
      <c r="EK576" s="47">
        <f t="shared" si="407"/>
        <v>0</v>
      </c>
      <c r="EL576" s="46">
        <f t="shared" si="408"/>
        <v>0</v>
      </c>
      <c r="EM576" s="61"/>
      <c r="EN576" s="61">
        <f t="shared" si="409"/>
        <v>0</v>
      </c>
    </row>
    <row r="577" spans="2:144" s="144" customFormat="1" ht="15" customHeight="1" x14ac:dyDescent="0.25">
      <c r="B577" s="41">
        <v>100</v>
      </c>
      <c r="C577" s="97"/>
      <c r="D577" s="98"/>
      <c r="E577" s="97"/>
      <c r="F577" s="97"/>
      <c r="G577" s="97"/>
      <c r="H577" s="97"/>
      <c r="I577" s="97"/>
      <c r="J577" s="97"/>
      <c r="K577" s="97"/>
      <c r="L577" s="97"/>
      <c r="M577" s="97"/>
      <c r="N577" s="142"/>
      <c r="O577" s="142"/>
      <c r="P577" s="97"/>
      <c r="Q577" s="143"/>
      <c r="R577" s="143"/>
      <c r="S577" s="143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47">
        <f t="shared" si="380"/>
        <v>0</v>
      </c>
      <c r="AO577" s="46">
        <f t="shared" si="381"/>
        <v>0</v>
      </c>
      <c r="AP577" s="61" t="s">
        <v>135</v>
      </c>
      <c r="AQ577" s="46">
        <f>20%*AO577</f>
        <v>0</v>
      </c>
      <c r="AR577" s="61"/>
      <c r="AS577" s="61"/>
      <c r="AT577" s="61"/>
      <c r="AU577" s="60">
        <f t="shared" si="398"/>
        <v>0</v>
      </c>
      <c r="AV577" s="61"/>
      <c r="AW577" s="47">
        <f t="shared" si="412"/>
        <v>0</v>
      </c>
      <c r="AX577" s="61"/>
      <c r="AY577" s="61"/>
      <c r="AZ577" s="61"/>
      <c r="BA577" s="61"/>
      <c r="BB577" s="61"/>
      <c r="BC577" s="47">
        <f t="shared" si="399"/>
        <v>0</v>
      </c>
      <c r="BD577" s="61"/>
      <c r="BE577" s="47">
        <f t="shared" si="400"/>
        <v>0</v>
      </c>
      <c r="BF577" s="61"/>
      <c r="BG577" s="61"/>
      <c r="BH577" s="61"/>
      <c r="BI577" s="61"/>
      <c r="BJ577" s="61"/>
      <c r="BK577" s="47">
        <f t="shared" si="415"/>
        <v>0</v>
      </c>
      <c r="BL577" s="61"/>
      <c r="BM577" s="61">
        <f t="shared" si="416"/>
        <v>0</v>
      </c>
      <c r="BN577" s="61"/>
      <c r="BO577" s="61"/>
      <c r="BP577" s="61"/>
      <c r="BQ577" s="61"/>
      <c r="BR577" s="61"/>
      <c r="BS577" s="47">
        <f t="shared" si="389"/>
        <v>0</v>
      </c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  <c r="CN577" s="61"/>
      <c r="CO577" s="61"/>
      <c r="CP577" s="57"/>
      <c r="CQ577" s="61"/>
      <c r="CR577" s="47">
        <f t="shared" si="401"/>
        <v>0</v>
      </c>
      <c r="CS577" s="61"/>
      <c r="CT577" s="61"/>
      <c r="CU577" s="61"/>
      <c r="CV577" s="61"/>
      <c r="CW577" s="47">
        <f t="shared" si="384"/>
        <v>0</v>
      </c>
      <c r="CX577" s="46"/>
      <c r="CY577" s="47">
        <f t="shared" si="402"/>
        <v>0</v>
      </c>
      <c r="CZ577" s="61"/>
      <c r="DA577" s="61"/>
      <c r="DB577" s="61"/>
      <c r="DC577" s="61"/>
      <c r="DD577" s="47"/>
      <c r="DE577" s="61"/>
      <c r="DF577" s="46"/>
      <c r="DG577" s="61"/>
      <c r="DH577" s="57">
        <f t="shared" si="403"/>
        <v>0</v>
      </c>
      <c r="DI577" s="61"/>
      <c r="DJ577" s="61"/>
      <c r="DK577" s="47">
        <f t="shared" si="410"/>
        <v>0</v>
      </c>
      <c r="DL577" s="47">
        <f t="shared" si="404"/>
        <v>0</v>
      </c>
      <c r="DM577" s="61"/>
      <c r="DN577" s="46">
        <f t="shared" si="405"/>
        <v>0</v>
      </c>
      <c r="DO577" s="61"/>
      <c r="DP577" s="46">
        <f t="shared" si="413"/>
        <v>0</v>
      </c>
      <c r="DQ577" s="61" t="s">
        <v>100</v>
      </c>
      <c r="DR577" s="46">
        <f t="shared" si="406"/>
        <v>0</v>
      </c>
      <c r="DS577" s="61"/>
      <c r="DT577" s="46">
        <f t="shared" si="392"/>
        <v>0</v>
      </c>
      <c r="DU577" s="61"/>
      <c r="DV577" s="46">
        <f t="shared" si="393"/>
        <v>0</v>
      </c>
      <c r="DW577" s="61"/>
      <c r="DX577" s="47">
        <f t="shared" si="418"/>
        <v>0</v>
      </c>
      <c r="DY577" s="61"/>
      <c r="DZ577" s="61"/>
      <c r="EA577" s="61"/>
      <c r="EB577" s="61"/>
      <c r="EC577" s="61"/>
      <c r="ED577" s="61"/>
      <c r="EE577" s="47">
        <f t="shared" si="417"/>
        <v>0</v>
      </c>
      <c r="EF577" s="61"/>
      <c r="EG577" s="61"/>
      <c r="EH577" s="61"/>
      <c r="EI577" s="61"/>
      <c r="EJ577" s="61"/>
      <c r="EK577" s="47">
        <f t="shared" si="407"/>
        <v>0</v>
      </c>
      <c r="EL577" s="46">
        <f t="shared" si="408"/>
        <v>0</v>
      </c>
      <c r="EM577" s="61"/>
      <c r="EN577" s="61">
        <f t="shared" si="409"/>
        <v>0</v>
      </c>
    </row>
    <row r="578" spans="2:144" s="51" customFormat="1" ht="15" customHeight="1" x14ac:dyDescent="0.25">
      <c r="B578" s="41">
        <v>101</v>
      </c>
      <c r="C578" s="52"/>
      <c r="D578" s="53"/>
      <c r="E578" s="52"/>
      <c r="F578" s="52"/>
      <c r="G578" s="52"/>
      <c r="H578" s="52"/>
      <c r="I578" s="52"/>
      <c r="J578" s="52"/>
      <c r="K578" s="52"/>
      <c r="L578" s="52"/>
      <c r="M578" s="52"/>
      <c r="N578" s="54"/>
      <c r="O578" s="54"/>
      <c r="P578" s="52"/>
      <c r="Q578" s="55"/>
      <c r="R578" s="55"/>
      <c r="S578" s="55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47">
        <f t="shared" si="380"/>
        <v>0</v>
      </c>
      <c r="AO578" s="46">
        <f t="shared" si="381"/>
        <v>0</v>
      </c>
      <c r="AP578" s="56" t="s">
        <v>135</v>
      </c>
      <c r="AQ578" s="46">
        <f>20%*AO578</f>
        <v>0</v>
      </c>
      <c r="AR578" s="56"/>
      <c r="AS578" s="56"/>
      <c r="AT578" s="56"/>
      <c r="AU578" s="60">
        <f t="shared" si="398"/>
        <v>0</v>
      </c>
      <c r="AV578" s="56"/>
      <c r="AW578" s="47">
        <f t="shared" si="412"/>
        <v>0</v>
      </c>
      <c r="AX578" s="56"/>
      <c r="AY578" s="56"/>
      <c r="AZ578" s="56"/>
      <c r="BA578" s="56"/>
      <c r="BB578" s="56"/>
      <c r="BC578" s="47">
        <f t="shared" si="399"/>
        <v>0</v>
      </c>
      <c r="BD578" s="56"/>
      <c r="BE578" s="47">
        <f t="shared" si="400"/>
        <v>0</v>
      </c>
      <c r="BF578" s="56"/>
      <c r="BG578" s="56"/>
      <c r="BH578" s="56"/>
      <c r="BI578" s="56"/>
      <c r="BJ578" s="56"/>
      <c r="BK578" s="47">
        <f t="shared" si="415"/>
        <v>0</v>
      </c>
      <c r="BL578" s="56"/>
      <c r="BM578" s="56">
        <f t="shared" si="416"/>
        <v>0</v>
      </c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  <c r="CL578" s="56"/>
      <c r="CM578" s="56"/>
      <c r="CN578" s="56"/>
      <c r="CO578" s="56"/>
      <c r="CP578" s="57"/>
      <c r="CQ578" s="56"/>
      <c r="CR578" s="47">
        <f t="shared" si="401"/>
        <v>0</v>
      </c>
      <c r="CS578" s="56"/>
      <c r="CT578" s="56"/>
      <c r="CU578" s="56"/>
      <c r="CV578" s="56"/>
      <c r="CW578" s="47">
        <f t="shared" si="384"/>
        <v>0</v>
      </c>
      <c r="CX578" s="46"/>
      <c r="CY578" s="47">
        <f t="shared" si="402"/>
        <v>0</v>
      </c>
      <c r="CZ578" s="56"/>
      <c r="DA578" s="56"/>
      <c r="DB578" s="56"/>
      <c r="DC578" s="56"/>
      <c r="DD578" s="47"/>
      <c r="DE578" s="56"/>
      <c r="DF578" s="46"/>
      <c r="DG578" s="56"/>
      <c r="DH578" s="57">
        <f t="shared" si="403"/>
        <v>0</v>
      </c>
      <c r="DI578" s="56"/>
      <c r="DJ578" s="56"/>
      <c r="DK578" s="47">
        <f t="shared" si="410"/>
        <v>0</v>
      </c>
      <c r="DL578" s="47">
        <f t="shared" si="404"/>
        <v>0</v>
      </c>
      <c r="DM578" s="56"/>
      <c r="DN578" s="46">
        <f t="shared" si="405"/>
        <v>0</v>
      </c>
      <c r="DO578" s="56"/>
      <c r="DP578" s="46">
        <f t="shared" si="413"/>
        <v>0</v>
      </c>
      <c r="DQ578" s="56" t="s">
        <v>100</v>
      </c>
      <c r="DR578" s="46">
        <f t="shared" si="406"/>
        <v>0</v>
      </c>
      <c r="DS578" s="56"/>
      <c r="DT578" s="78">
        <f t="shared" si="392"/>
        <v>0</v>
      </c>
      <c r="DU578" s="56"/>
      <c r="DV578" s="46">
        <f t="shared" si="393"/>
        <v>0</v>
      </c>
      <c r="DW578" s="56"/>
      <c r="DX578" s="47">
        <f t="shared" si="418"/>
        <v>0</v>
      </c>
      <c r="DY578" s="56"/>
      <c r="DZ578" s="56"/>
      <c r="EA578" s="56"/>
      <c r="EB578" s="56"/>
      <c r="EC578" s="56"/>
      <c r="ED578" s="56"/>
      <c r="EE578" s="47">
        <f t="shared" si="417"/>
        <v>0</v>
      </c>
      <c r="EF578" s="56"/>
      <c r="EG578" s="56"/>
      <c r="EH578" s="56"/>
      <c r="EI578" s="56"/>
      <c r="EJ578" s="56"/>
      <c r="EK578" s="47">
        <f t="shared" si="407"/>
        <v>0</v>
      </c>
      <c r="EL578" s="46">
        <f t="shared" si="408"/>
        <v>0</v>
      </c>
      <c r="EM578" s="56"/>
      <c r="EN578" s="61">
        <f t="shared" si="409"/>
        <v>0</v>
      </c>
    </row>
    <row r="579" spans="2:144" s="51" customFormat="1" ht="15" customHeight="1" x14ac:dyDescent="0.25">
      <c r="B579" s="41">
        <v>102</v>
      </c>
      <c r="C579" s="52"/>
      <c r="D579" s="53"/>
      <c r="E579" s="52"/>
      <c r="F579" s="52"/>
      <c r="G579" s="52"/>
      <c r="H579" s="52"/>
      <c r="I579" s="52"/>
      <c r="J579" s="52"/>
      <c r="K579" s="52"/>
      <c r="L579" s="52"/>
      <c r="M579" s="52"/>
      <c r="N579" s="54"/>
      <c r="O579" s="54"/>
      <c r="P579" s="52"/>
      <c r="Q579" s="55"/>
      <c r="R579" s="55"/>
      <c r="S579" s="55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47">
        <f t="shared" si="380"/>
        <v>0</v>
      </c>
      <c r="AO579" s="46">
        <f t="shared" si="381"/>
        <v>0</v>
      </c>
      <c r="AP579" s="56" t="s">
        <v>135</v>
      </c>
      <c r="AQ579" s="46">
        <f>20%*AO579</f>
        <v>0</v>
      </c>
      <c r="AR579" s="56"/>
      <c r="AS579" s="56"/>
      <c r="AT579" s="56"/>
      <c r="AU579" s="60">
        <f t="shared" si="398"/>
        <v>0</v>
      </c>
      <c r="AV579" s="56"/>
      <c r="AW579" s="47">
        <f t="shared" si="412"/>
        <v>0</v>
      </c>
      <c r="AX579" s="56"/>
      <c r="AY579" s="56"/>
      <c r="AZ579" s="56"/>
      <c r="BA579" s="56"/>
      <c r="BB579" s="56"/>
      <c r="BC579" s="47">
        <f t="shared" si="399"/>
        <v>0</v>
      </c>
      <c r="BD579" s="56"/>
      <c r="BE579" s="47">
        <f t="shared" si="400"/>
        <v>0</v>
      </c>
      <c r="BF579" s="56"/>
      <c r="BG579" s="56"/>
      <c r="BH579" s="56"/>
      <c r="BI579" s="56"/>
      <c r="BJ579" s="56"/>
      <c r="BK579" s="47">
        <f t="shared" si="415"/>
        <v>0</v>
      </c>
      <c r="BL579" s="56"/>
      <c r="BM579" s="56">
        <f t="shared" si="416"/>
        <v>0</v>
      </c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  <c r="CL579" s="56"/>
      <c r="CM579" s="56"/>
      <c r="CN579" s="56"/>
      <c r="CO579" s="56"/>
      <c r="CP579" s="57"/>
      <c r="CQ579" s="56"/>
      <c r="CR579" s="47">
        <f t="shared" si="401"/>
        <v>0</v>
      </c>
      <c r="CS579" s="56"/>
      <c r="CT579" s="56"/>
      <c r="CU579" s="56"/>
      <c r="CV579" s="56"/>
      <c r="CW579" s="47">
        <f t="shared" si="384"/>
        <v>0</v>
      </c>
      <c r="CX579" s="46"/>
      <c r="CY579" s="47">
        <f t="shared" si="402"/>
        <v>0</v>
      </c>
      <c r="CZ579" s="56"/>
      <c r="DA579" s="56"/>
      <c r="DB579" s="56"/>
      <c r="DC579" s="56"/>
      <c r="DD579" s="47"/>
      <c r="DE579" s="56"/>
      <c r="DF579" s="46"/>
      <c r="DG579" s="56"/>
      <c r="DH579" s="57">
        <f t="shared" si="403"/>
        <v>0</v>
      </c>
      <c r="DI579" s="56"/>
      <c r="DJ579" s="56"/>
      <c r="DK579" s="47">
        <f t="shared" si="410"/>
        <v>0</v>
      </c>
      <c r="DL579" s="47">
        <f t="shared" si="404"/>
        <v>0</v>
      </c>
      <c r="DM579" s="56"/>
      <c r="DN579" s="46">
        <f t="shared" si="405"/>
        <v>0</v>
      </c>
      <c r="DO579" s="56"/>
      <c r="DP579" s="46">
        <f t="shared" si="413"/>
        <v>0</v>
      </c>
      <c r="DQ579" s="56" t="s">
        <v>100</v>
      </c>
      <c r="DR579" s="46">
        <f t="shared" si="406"/>
        <v>0</v>
      </c>
      <c r="DS579" s="56"/>
      <c r="DT579" s="78">
        <f t="shared" si="392"/>
        <v>0</v>
      </c>
      <c r="DU579" s="56"/>
      <c r="DV579" s="46">
        <f t="shared" si="393"/>
        <v>0</v>
      </c>
      <c r="DW579" s="56"/>
      <c r="DX579" s="47">
        <f t="shared" si="418"/>
        <v>0</v>
      </c>
      <c r="DY579" s="56"/>
      <c r="DZ579" s="56"/>
      <c r="EA579" s="56"/>
      <c r="EB579" s="56"/>
      <c r="EC579" s="56"/>
      <c r="ED579" s="56"/>
      <c r="EE579" s="47">
        <f t="shared" si="417"/>
        <v>0</v>
      </c>
      <c r="EF579" s="56"/>
      <c r="EG579" s="56"/>
      <c r="EH579" s="56"/>
      <c r="EI579" s="56"/>
      <c r="EJ579" s="56"/>
      <c r="EK579" s="47">
        <f t="shared" si="407"/>
        <v>0</v>
      </c>
      <c r="EL579" s="46">
        <f t="shared" si="408"/>
        <v>0</v>
      </c>
      <c r="EM579" s="56"/>
      <c r="EN579" s="61">
        <f t="shared" si="409"/>
        <v>0</v>
      </c>
    </row>
    <row r="580" spans="2:144" s="48" customFormat="1" ht="15" customHeight="1" x14ac:dyDescent="0.25">
      <c r="B580" s="41">
        <v>103</v>
      </c>
      <c r="C580" s="42"/>
      <c r="D580" s="43"/>
      <c r="E580" s="52"/>
      <c r="F580" s="42"/>
      <c r="G580" s="42"/>
      <c r="H580" s="42"/>
      <c r="I580" s="42"/>
      <c r="J580" s="42"/>
      <c r="K580" s="42"/>
      <c r="L580" s="42"/>
      <c r="M580" s="42"/>
      <c r="N580" s="41"/>
      <c r="O580" s="41"/>
      <c r="P580" s="42"/>
      <c r="Q580" s="45"/>
      <c r="R580" s="45"/>
      <c r="S580" s="42"/>
      <c r="T580" s="46"/>
      <c r="U580" s="46"/>
      <c r="V580" s="42"/>
      <c r="W580" s="42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7">
        <f t="shared" si="380"/>
        <v>0</v>
      </c>
      <c r="AO580" s="47">
        <f t="shared" si="381"/>
        <v>0</v>
      </c>
      <c r="AP580" s="56" t="s">
        <v>135</v>
      </c>
      <c r="AQ580" s="46">
        <f>18%*AO580</f>
        <v>0</v>
      </c>
      <c r="AR580" s="46"/>
      <c r="AS580" s="46"/>
      <c r="AT580" s="46"/>
      <c r="AU580" s="47">
        <f t="shared" si="398"/>
        <v>0</v>
      </c>
      <c r="AV580" s="46"/>
      <c r="AW580" s="47">
        <f t="shared" si="412"/>
        <v>0</v>
      </c>
      <c r="AX580" s="46"/>
      <c r="AY580" s="46"/>
      <c r="AZ580" s="46"/>
      <c r="BA580" s="46"/>
      <c r="BB580" s="46"/>
      <c r="BC580" s="47">
        <f t="shared" si="399"/>
        <v>0</v>
      </c>
      <c r="BD580" s="46"/>
      <c r="BE580" s="47">
        <f t="shared" si="400"/>
        <v>0</v>
      </c>
      <c r="BF580" s="46"/>
      <c r="BG580" s="46"/>
      <c r="BH580" s="46"/>
      <c r="BI580" s="46"/>
      <c r="BJ580" s="46"/>
      <c r="BK580" s="46">
        <f>BI580*BJ580</f>
        <v>0</v>
      </c>
      <c r="BL580" s="46"/>
      <c r="BM580" s="46">
        <f>BK580</f>
        <v>0</v>
      </c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  <c r="CK580" s="46"/>
      <c r="CL580" s="46"/>
      <c r="CM580" s="46"/>
      <c r="CN580" s="46"/>
      <c r="CO580" s="46"/>
      <c r="CP580" s="46"/>
      <c r="CQ580" s="46"/>
      <c r="CR580" s="47">
        <f t="shared" si="401"/>
        <v>0</v>
      </c>
      <c r="CS580" s="46"/>
      <c r="CT580" s="46"/>
      <c r="CU580" s="46"/>
      <c r="CV580" s="46"/>
      <c r="CW580" s="47">
        <f t="shared" si="384"/>
        <v>0</v>
      </c>
      <c r="CX580" s="46"/>
      <c r="CY580" s="47">
        <f t="shared" si="402"/>
        <v>0</v>
      </c>
      <c r="CZ580" s="46"/>
      <c r="DA580" s="46"/>
      <c r="DB580" s="46"/>
      <c r="DC580" s="46"/>
      <c r="DD580" s="47">
        <f>DB580*DC580</f>
        <v>0</v>
      </c>
      <c r="DE580" s="46"/>
      <c r="DF580" s="46">
        <f>DC580</f>
        <v>0</v>
      </c>
      <c r="DG580" s="46"/>
      <c r="DH580" s="46">
        <f t="shared" si="403"/>
        <v>0</v>
      </c>
      <c r="DI580" s="46"/>
      <c r="DJ580" s="46"/>
      <c r="DK580" s="47">
        <f t="shared" si="410"/>
        <v>0</v>
      </c>
      <c r="DL580" s="47">
        <f t="shared" si="404"/>
        <v>0</v>
      </c>
      <c r="DM580" s="46"/>
      <c r="DN580" s="46">
        <f>7%*AQ580</f>
        <v>0</v>
      </c>
      <c r="DO580" s="46"/>
      <c r="DP580" s="46">
        <f t="shared" ref="DP580:DP588" si="419">10%*AQ580</f>
        <v>0</v>
      </c>
      <c r="DQ580" s="46" t="s">
        <v>100</v>
      </c>
      <c r="DR580" s="46">
        <f t="shared" si="406"/>
        <v>0</v>
      </c>
      <c r="DS580" s="46"/>
      <c r="DT580" s="46">
        <f>75%*DP580</f>
        <v>0</v>
      </c>
      <c r="DU580" s="46"/>
      <c r="DV580" s="46">
        <f t="shared" si="393"/>
        <v>0</v>
      </c>
      <c r="DW580" s="46"/>
      <c r="DX580" s="47">
        <f t="shared" si="418"/>
        <v>0</v>
      </c>
      <c r="DY580" s="46"/>
      <c r="DZ580" s="46"/>
      <c r="EA580" s="46"/>
      <c r="EB580" s="46"/>
      <c r="EC580" s="46"/>
      <c r="ED580" s="46"/>
      <c r="EE580" s="47">
        <f t="shared" si="417"/>
        <v>0</v>
      </c>
      <c r="EF580" s="46"/>
      <c r="EG580" s="46"/>
      <c r="EH580" s="46"/>
      <c r="EI580" s="46"/>
      <c r="EJ580" s="46"/>
      <c r="EK580" s="47">
        <f t="shared" si="407"/>
        <v>0</v>
      </c>
      <c r="EL580" s="46">
        <f t="shared" si="408"/>
        <v>0</v>
      </c>
      <c r="EM580" s="46"/>
      <c r="EN580" s="46">
        <f t="shared" si="409"/>
        <v>0</v>
      </c>
    </row>
    <row r="581" spans="2:144" s="48" customFormat="1" ht="15" customHeight="1" x14ac:dyDescent="0.25">
      <c r="B581" s="41">
        <v>104</v>
      </c>
      <c r="C581" s="42"/>
      <c r="D581" s="43"/>
      <c r="E581" s="52"/>
      <c r="F581" s="42"/>
      <c r="G581" s="42"/>
      <c r="H581" s="42"/>
      <c r="I581" s="42"/>
      <c r="J581" s="42"/>
      <c r="K581" s="42"/>
      <c r="L581" s="42"/>
      <c r="M581" s="42"/>
      <c r="N581" s="41"/>
      <c r="O581" s="41"/>
      <c r="P581" s="42"/>
      <c r="Q581" s="45"/>
      <c r="R581" s="45"/>
      <c r="S581" s="42"/>
      <c r="T581" s="46"/>
      <c r="U581" s="46"/>
      <c r="V581" s="42"/>
      <c r="W581" s="42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>
        <f t="shared" ref="AN581:AN624" si="420">+X581+Y581+Z581+AA581+AB581+AC581+AD581+AE581+AF581+AG581+AH581+AI581+AJ581+AL581+AM581</f>
        <v>0</v>
      </c>
      <c r="AO581" s="47">
        <f t="shared" ref="AO581:AO624" si="421">+T581-AN581</f>
        <v>0</v>
      </c>
      <c r="AP581" s="56" t="s">
        <v>135</v>
      </c>
      <c r="AQ581" s="46">
        <f>18%*AO581</f>
        <v>0</v>
      </c>
      <c r="AR581" s="46"/>
      <c r="AS581" s="46"/>
      <c r="AT581" s="46"/>
      <c r="AU581" s="47">
        <f t="shared" si="398"/>
        <v>0</v>
      </c>
      <c r="AV581" s="46"/>
      <c r="AW581" s="47">
        <f>AQ581+AU581+AV581</f>
        <v>0</v>
      </c>
      <c r="AX581" s="46"/>
      <c r="AY581" s="46"/>
      <c r="AZ581" s="46"/>
      <c r="BA581" s="46"/>
      <c r="BB581" s="46"/>
      <c r="BC581" s="47">
        <f t="shared" si="399"/>
        <v>0</v>
      </c>
      <c r="BD581" s="46"/>
      <c r="BE581" s="47">
        <f t="shared" si="400"/>
        <v>0</v>
      </c>
      <c r="BF581" s="46"/>
      <c r="BG581" s="46"/>
      <c r="BH581" s="46"/>
      <c r="BI581" s="46"/>
      <c r="BJ581" s="46"/>
      <c r="BK581" s="46">
        <f>BI581*BJ581</f>
        <v>0</v>
      </c>
      <c r="BL581" s="46"/>
      <c r="BM581" s="47">
        <f>+BG581+BH581+BK581+BL581</f>
        <v>0</v>
      </c>
      <c r="BN581" s="46"/>
      <c r="BO581" s="46"/>
      <c r="BP581" s="46"/>
      <c r="BQ581" s="46"/>
      <c r="BR581" s="46"/>
      <c r="BS581" s="46">
        <f>BQ581*BR581</f>
        <v>0</v>
      </c>
      <c r="BT581" s="46"/>
      <c r="BU581" s="47">
        <f>+BO581+BP581+BS581+BT581</f>
        <v>0</v>
      </c>
      <c r="BV581" s="46"/>
      <c r="BW581" s="46"/>
      <c r="BX581" s="46"/>
      <c r="BY581" s="46"/>
      <c r="BZ581" s="46"/>
      <c r="CA581" s="46">
        <f>BY581*BZ581</f>
        <v>0</v>
      </c>
      <c r="CB581" s="46"/>
      <c r="CC581" s="47">
        <f>+BW581+BX581+CA581+CB581</f>
        <v>0</v>
      </c>
      <c r="CD581" s="46"/>
      <c r="CE581" s="46"/>
      <c r="CF581" s="46"/>
      <c r="CG581" s="46"/>
      <c r="CH581" s="46"/>
      <c r="CI581" s="46">
        <f>CG581*CH581</f>
        <v>0</v>
      </c>
      <c r="CJ581" s="46"/>
      <c r="CK581" s="47">
        <f>+CE581+CF581+CI581+CJ581</f>
        <v>0</v>
      </c>
      <c r="CL581" s="46"/>
      <c r="CM581" s="46"/>
      <c r="CN581" s="46"/>
      <c r="CO581" s="46"/>
      <c r="CP581" s="46">
        <f>CN581*CO581</f>
        <v>0</v>
      </c>
      <c r="CQ581" s="46"/>
      <c r="CR581" s="47">
        <f t="shared" si="401"/>
        <v>0</v>
      </c>
      <c r="CS581" s="46"/>
      <c r="CT581" s="46"/>
      <c r="CU581" s="46"/>
      <c r="CV581" s="46"/>
      <c r="CW581" s="47">
        <f t="shared" si="384"/>
        <v>0</v>
      </c>
      <c r="CX581" s="46"/>
      <c r="CY581" s="47">
        <f t="shared" si="402"/>
        <v>0</v>
      </c>
      <c r="CZ581" s="46"/>
      <c r="DA581" s="46"/>
      <c r="DB581" s="46"/>
      <c r="DC581" s="46"/>
      <c r="DD581" s="47">
        <v>0</v>
      </c>
      <c r="DE581" s="46"/>
      <c r="DF581" s="46">
        <f>DC581</f>
        <v>0</v>
      </c>
      <c r="DG581" s="46"/>
      <c r="DH581" s="46">
        <f t="shared" si="403"/>
        <v>0</v>
      </c>
      <c r="DI581" s="46"/>
      <c r="DJ581" s="46"/>
      <c r="DK581" s="47">
        <f t="shared" si="410"/>
        <v>0</v>
      </c>
      <c r="DL581" s="47">
        <f t="shared" si="404"/>
        <v>0</v>
      </c>
      <c r="DM581" s="46"/>
      <c r="DN581" s="46">
        <f>7%*AQ581</f>
        <v>0</v>
      </c>
      <c r="DO581" s="46"/>
      <c r="DP581" s="46">
        <f t="shared" si="419"/>
        <v>0</v>
      </c>
      <c r="DQ581" s="46" t="s">
        <v>100</v>
      </c>
      <c r="DR581" s="46">
        <f t="shared" si="406"/>
        <v>0</v>
      </c>
      <c r="DS581" s="46"/>
      <c r="DT581" s="46">
        <f>75%*DP581</f>
        <v>0</v>
      </c>
      <c r="DU581" s="46"/>
      <c r="DV581" s="46">
        <f t="shared" si="393"/>
        <v>0</v>
      </c>
      <c r="DW581" s="46"/>
      <c r="DX581" s="47">
        <f t="shared" si="418"/>
        <v>0</v>
      </c>
      <c r="DY581" s="46"/>
      <c r="DZ581" s="46"/>
      <c r="EA581" s="46"/>
      <c r="EB581" s="46"/>
      <c r="EC581" s="46"/>
      <c r="ED581" s="46"/>
      <c r="EE581" s="47">
        <f t="shared" si="417"/>
        <v>0</v>
      </c>
      <c r="EF581" s="46"/>
      <c r="EG581" s="46"/>
      <c r="EH581" s="46"/>
      <c r="EI581" s="46"/>
      <c r="EJ581" s="46"/>
      <c r="EK581" s="47">
        <f t="shared" si="407"/>
        <v>0</v>
      </c>
      <c r="EL581" s="46">
        <f t="shared" si="408"/>
        <v>0</v>
      </c>
      <c r="EM581" s="46"/>
      <c r="EN581" s="46">
        <f t="shared" si="409"/>
        <v>0</v>
      </c>
    </row>
    <row r="582" spans="2:144" s="48" customFormat="1" ht="15" customHeight="1" x14ac:dyDescent="0.25">
      <c r="B582" s="41">
        <v>105</v>
      </c>
      <c r="C582" s="49"/>
      <c r="D582" s="43"/>
      <c r="E582" s="52"/>
      <c r="F582" s="42"/>
      <c r="G582" s="42"/>
      <c r="H582" s="42"/>
      <c r="I582" s="42"/>
      <c r="J582" s="42"/>
      <c r="K582" s="42"/>
      <c r="L582" s="42"/>
      <c r="M582" s="42"/>
      <c r="N582" s="146"/>
      <c r="O582" s="41"/>
      <c r="P582" s="42"/>
      <c r="Q582" s="45"/>
      <c r="R582" s="45"/>
      <c r="S582" s="42"/>
      <c r="T582" s="46"/>
      <c r="U582" s="46"/>
      <c r="V582" s="42"/>
      <c r="W582" s="42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7">
        <f t="shared" si="420"/>
        <v>0</v>
      </c>
      <c r="AO582" s="47">
        <f t="shared" si="421"/>
        <v>0</v>
      </c>
      <c r="AP582" s="56" t="s">
        <v>136</v>
      </c>
      <c r="AQ582" s="46">
        <f>23%*AO582</f>
        <v>0</v>
      </c>
      <c r="AR582" s="46"/>
      <c r="AS582" s="46"/>
      <c r="AT582" s="46"/>
      <c r="AU582" s="47">
        <f t="shared" si="398"/>
        <v>0</v>
      </c>
      <c r="AV582" s="46"/>
      <c r="AW582" s="47">
        <f>AQ582+AU582+AV582</f>
        <v>0</v>
      </c>
      <c r="AX582" s="46"/>
      <c r="AY582" s="46"/>
      <c r="AZ582" s="46"/>
      <c r="BA582" s="46"/>
      <c r="BB582" s="46"/>
      <c r="BC582" s="47">
        <f t="shared" si="399"/>
        <v>0</v>
      </c>
      <c r="BD582" s="46"/>
      <c r="BE582" s="47">
        <f t="shared" si="400"/>
        <v>0</v>
      </c>
      <c r="BF582" s="46"/>
      <c r="BG582" s="46"/>
      <c r="BH582" s="46"/>
      <c r="BI582" s="46"/>
      <c r="BJ582" s="46"/>
      <c r="BK582" s="46">
        <f>BI582*BJ582</f>
        <v>0</v>
      </c>
      <c r="BL582" s="46"/>
      <c r="BM582" s="46">
        <f>BK582</f>
        <v>0</v>
      </c>
      <c r="BN582" s="46"/>
      <c r="BO582" s="46"/>
      <c r="BP582" s="46"/>
      <c r="BQ582" s="46"/>
      <c r="BR582" s="46"/>
      <c r="BS582" s="46">
        <f>BQ582*BR582</f>
        <v>0</v>
      </c>
      <c r="BT582" s="46"/>
      <c r="BU582" s="46">
        <f>BS582</f>
        <v>0</v>
      </c>
      <c r="BV582" s="46"/>
      <c r="BW582" s="46"/>
      <c r="BX582" s="46"/>
      <c r="BY582" s="46"/>
      <c r="BZ582" s="46"/>
      <c r="CA582" s="46">
        <f>BY582*BZ582</f>
        <v>0</v>
      </c>
      <c r="CB582" s="46"/>
      <c r="CC582" s="46">
        <f>CA582</f>
        <v>0</v>
      </c>
      <c r="CD582" s="46"/>
      <c r="CE582" s="46"/>
      <c r="CF582" s="46"/>
      <c r="CG582" s="46"/>
      <c r="CH582" s="46"/>
      <c r="CI582" s="46">
        <f>CG582*CH582</f>
        <v>0</v>
      </c>
      <c r="CJ582" s="46"/>
      <c r="CK582" s="46">
        <f>CI582</f>
        <v>0</v>
      </c>
      <c r="CL582" s="46"/>
      <c r="CM582" s="46"/>
      <c r="CN582" s="46"/>
      <c r="CO582" s="46"/>
      <c r="CP582" s="46">
        <f>CN582*CO582</f>
        <v>0</v>
      </c>
      <c r="CQ582" s="46"/>
      <c r="CR582" s="47">
        <f t="shared" si="401"/>
        <v>0</v>
      </c>
      <c r="CS582" s="46"/>
      <c r="CT582" s="46"/>
      <c r="CU582" s="46"/>
      <c r="CV582" s="46"/>
      <c r="CW582" s="47">
        <f t="shared" si="384"/>
        <v>0</v>
      </c>
      <c r="CX582" s="46"/>
      <c r="CY582" s="47">
        <f t="shared" si="402"/>
        <v>0</v>
      </c>
      <c r="CZ582" s="46"/>
      <c r="DA582" s="46"/>
      <c r="DB582" s="46"/>
      <c r="DC582" s="46"/>
      <c r="DD582" s="47">
        <f>+DB582*DC582</f>
        <v>0</v>
      </c>
      <c r="DE582" s="46"/>
      <c r="DF582" s="46"/>
      <c r="DG582" s="46"/>
      <c r="DH582" s="46">
        <f t="shared" si="403"/>
        <v>0</v>
      </c>
      <c r="DI582" s="50"/>
      <c r="DJ582" s="50"/>
      <c r="DK582" s="47">
        <f t="shared" si="410"/>
        <v>0</v>
      </c>
      <c r="DL582" s="47">
        <f t="shared" si="404"/>
        <v>0</v>
      </c>
      <c r="DM582" s="46"/>
      <c r="DN582" s="46">
        <f>7%*AQ582</f>
        <v>0</v>
      </c>
      <c r="DO582" s="46"/>
      <c r="DP582" s="46">
        <f t="shared" si="419"/>
        <v>0</v>
      </c>
      <c r="DQ582" s="42" t="s">
        <v>100</v>
      </c>
      <c r="DR582" s="46">
        <f t="shared" si="406"/>
        <v>0</v>
      </c>
      <c r="DS582" s="42"/>
      <c r="DT582" s="46">
        <f>75%*DP582</f>
        <v>0</v>
      </c>
      <c r="DU582" s="42"/>
      <c r="DV582" s="46">
        <f t="shared" si="393"/>
        <v>0</v>
      </c>
      <c r="DW582" s="42"/>
      <c r="DX582" s="47">
        <f t="shared" si="418"/>
        <v>0</v>
      </c>
      <c r="DY582" s="46"/>
      <c r="DZ582" s="46"/>
      <c r="EA582" s="46"/>
      <c r="EB582" s="46"/>
      <c r="EC582" s="46"/>
      <c r="ED582" s="46"/>
      <c r="EE582" s="47">
        <f t="shared" si="417"/>
        <v>0</v>
      </c>
      <c r="EF582" s="46"/>
      <c r="EG582" s="46"/>
      <c r="EH582" s="46"/>
      <c r="EI582" s="46"/>
      <c r="EJ582" s="46"/>
      <c r="EK582" s="47">
        <f t="shared" si="407"/>
        <v>0</v>
      </c>
      <c r="EL582" s="46">
        <f t="shared" si="408"/>
        <v>0</v>
      </c>
      <c r="EM582" s="46"/>
      <c r="EN582" s="46">
        <f t="shared" si="409"/>
        <v>0</v>
      </c>
    </row>
    <row r="583" spans="2:144" s="51" customFormat="1" ht="15" customHeight="1" x14ac:dyDescent="0.25">
      <c r="B583" s="41">
        <v>106</v>
      </c>
      <c r="C583" s="52"/>
      <c r="D583" s="53"/>
      <c r="E583" s="52"/>
      <c r="F583" s="52"/>
      <c r="G583" s="52"/>
      <c r="H583" s="52"/>
      <c r="I583" s="52"/>
      <c r="J583" s="52"/>
      <c r="K583" s="52"/>
      <c r="L583" s="52"/>
      <c r="M583" s="52"/>
      <c r="N583" s="54"/>
      <c r="O583" s="54"/>
      <c r="P583" s="52"/>
      <c r="Q583" s="55"/>
      <c r="R583" s="55"/>
      <c r="S583" s="55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47">
        <f t="shared" si="420"/>
        <v>0</v>
      </c>
      <c r="AO583" s="46">
        <f t="shared" si="421"/>
        <v>0</v>
      </c>
      <c r="AP583" s="56" t="s">
        <v>135</v>
      </c>
      <c r="AQ583" s="46">
        <f>20%*AO583</f>
        <v>0</v>
      </c>
      <c r="AR583" s="56"/>
      <c r="AS583" s="56"/>
      <c r="AT583" s="56"/>
      <c r="AU583" s="60">
        <f t="shared" si="398"/>
        <v>0</v>
      </c>
      <c r="AV583" s="56"/>
      <c r="AW583" s="47">
        <f>AQ583+AU583+AV583+AR583</f>
        <v>0</v>
      </c>
      <c r="AX583" s="56"/>
      <c r="AY583" s="56"/>
      <c r="AZ583" s="56"/>
      <c r="BA583" s="56"/>
      <c r="BB583" s="56"/>
      <c r="BC583" s="47">
        <f t="shared" si="399"/>
        <v>0</v>
      </c>
      <c r="BD583" s="56"/>
      <c r="BE583" s="47">
        <f t="shared" si="400"/>
        <v>0</v>
      </c>
      <c r="BF583" s="56"/>
      <c r="BG583" s="56"/>
      <c r="BH583" s="56"/>
      <c r="BI583" s="56"/>
      <c r="BJ583" s="56"/>
      <c r="BK583" s="47">
        <f>+BI583*BJ583</f>
        <v>0</v>
      </c>
      <c r="BL583" s="56"/>
      <c r="BM583" s="56">
        <f>BK583+BL583</f>
        <v>0</v>
      </c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56"/>
      <c r="CP583" s="57"/>
      <c r="CQ583" s="56"/>
      <c r="CR583" s="47">
        <f t="shared" si="401"/>
        <v>0</v>
      </c>
      <c r="CS583" s="56"/>
      <c r="CT583" s="56"/>
      <c r="CU583" s="56"/>
      <c r="CV583" s="56"/>
      <c r="CW583" s="47">
        <f t="shared" ref="CW583:CW610" si="422">CU583*CV583</f>
        <v>0</v>
      </c>
      <c r="CX583" s="46"/>
      <c r="CY583" s="47">
        <f t="shared" si="402"/>
        <v>0</v>
      </c>
      <c r="CZ583" s="56"/>
      <c r="DA583" s="56"/>
      <c r="DB583" s="56"/>
      <c r="DC583" s="56"/>
      <c r="DD583" s="47"/>
      <c r="DE583" s="56"/>
      <c r="DF583" s="46"/>
      <c r="DG583" s="56"/>
      <c r="DH583" s="46">
        <f t="shared" si="403"/>
        <v>0</v>
      </c>
      <c r="DI583" s="56"/>
      <c r="DJ583" s="56"/>
      <c r="DK583" s="47">
        <f t="shared" si="410"/>
        <v>0</v>
      </c>
      <c r="DL583" s="47">
        <f t="shared" si="404"/>
        <v>0</v>
      </c>
      <c r="DM583" s="56"/>
      <c r="DN583" s="46">
        <f>7%*AQ583</f>
        <v>0</v>
      </c>
      <c r="DO583" s="56"/>
      <c r="DP583" s="46">
        <f t="shared" si="419"/>
        <v>0</v>
      </c>
      <c r="DQ583" s="56" t="s">
        <v>123</v>
      </c>
      <c r="DR583" s="46">
        <f t="shared" si="406"/>
        <v>0</v>
      </c>
      <c r="DS583" s="56"/>
      <c r="DT583" s="46">
        <f>75%*DR583</f>
        <v>0</v>
      </c>
      <c r="DU583" s="56"/>
      <c r="DV583" s="46">
        <f t="shared" si="393"/>
        <v>0</v>
      </c>
      <c r="DW583" s="56"/>
      <c r="DX583" s="47">
        <f t="shared" si="418"/>
        <v>0</v>
      </c>
      <c r="DY583" s="56"/>
      <c r="DZ583" s="56"/>
      <c r="EA583" s="56"/>
      <c r="EB583" s="56"/>
      <c r="EC583" s="56"/>
      <c r="ED583" s="56"/>
      <c r="EE583" s="47">
        <f t="shared" si="417"/>
        <v>0</v>
      </c>
      <c r="EF583" s="56"/>
      <c r="EG583" s="56"/>
      <c r="EH583" s="56"/>
      <c r="EI583" s="56"/>
      <c r="EJ583" s="56"/>
      <c r="EK583" s="47">
        <f t="shared" si="407"/>
        <v>0</v>
      </c>
      <c r="EL583" s="46">
        <f t="shared" si="408"/>
        <v>0</v>
      </c>
      <c r="EM583" s="56"/>
      <c r="EN583" s="61">
        <f t="shared" si="409"/>
        <v>0</v>
      </c>
    </row>
    <row r="584" spans="2:144" s="51" customFormat="1" ht="15" customHeight="1" x14ac:dyDescent="0.25">
      <c r="B584" s="41">
        <v>109</v>
      </c>
      <c r="C584" s="52"/>
      <c r="D584" s="53"/>
      <c r="E584" s="52"/>
      <c r="F584" s="52"/>
      <c r="G584" s="52"/>
      <c r="H584" s="52"/>
      <c r="I584" s="52"/>
      <c r="J584" s="52"/>
      <c r="K584" s="52"/>
      <c r="L584" s="52"/>
      <c r="M584" s="52"/>
      <c r="N584" s="54"/>
      <c r="O584" s="54"/>
      <c r="P584" s="52"/>
      <c r="Q584" s="55"/>
      <c r="R584" s="55"/>
      <c r="S584" s="55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47">
        <f t="shared" si="420"/>
        <v>0</v>
      </c>
      <c r="AO584" s="46">
        <f t="shared" si="421"/>
        <v>0</v>
      </c>
      <c r="AP584" s="56" t="s">
        <v>136</v>
      </c>
      <c r="AQ584" s="46">
        <f>23%*AO584</f>
        <v>0</v>
      </c>
      <c r="AR584" s="56"/>
      <c r="AS584" s="56"/>
      <c r="AT584" s="56"/>
      <c r="AU584" s="60">
        <f t="shared" si="398"/>
        <v>0</v>
      </c>
      <c r="AV584" s="56"/>
      <c r="AW584" s="47">
        <f>AQ584+AU584+AV584+AR584</f>
        <v>0</v>
      </c>
      <c r="AX584" s="56"/>
      <c r="AY584" s="56"/>
      <c r="AZ584" s="56"/>
      <c r="BA584" s="56"/>
      <c r="BB584" s="56"/>
      <c r="BC584" s="47">
        <f t="shared" si="399"/>
        <v>0</v>
      </c>
      <c r="BD584" s="56"/>
      <c r="BE584" s="47">
        <f t="shared" si="400"/>
        <v>0</v>
      </c>
      <c r="BF584" s="56"/>
      <c r="BG584" s="56"/>
      <c r="BH584" s="56"/>
      <c r="BI584" s="56"/>
      <c r="BJ584" s="56"/>
      <c r="BK584" s="47">
        <f>+BI584*BJ584</f>
        <v>0</v>
      </c>
      <c r="BL584" s="56"/>
      <c r="BM584" s="56">
        <f>BK584+BL584</f>
        <v>0</v>
      </c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  <c r="CL584" s="56"/>
      <c r="CM584" s="56"/>
      <c r="CN584" s="56"/>
      <c r="CO584" s="56"/>
      <c r="CP584" s="57"/>
      <c r="CQ584" s="56"/>
      <c r="CR584" s="47">
        <f t="shared" si="401"/>
        <v>0</v>
      </c>
      <c r="CS584" s="56"/>
      <c r="CT584" s="56"/>
      <c r="CU584" s="56"/>
      <c r="CV584" s="56"/>
      <c r="CW584" s="47">
        <f t="shared" si="422"/>
        <v>0</v>
      </c>
      <c r="CX584" s="46"/>
      <c r="CY584" s="47">
        <f t="shared" si="402"/>
        <v>0</v>
      </c>
      <c r="CZ584" s="56"/>
      <c r="DA584" s="56"/>
      <c r="DB584" s="56"/>
      <c r="DC584" s="56"/>
      <c r="DD584" s="47">
        <f>+DB584*DC584</f>
        <v>0</v>
      </c>
      <c r="DE584" s="56"/>
      <c r="DF584" s="46"/>
      <c r="DG584" s="56"/>
      <c r="DH584" s="46">
        <f t="shared" si="403"/>
        <v>0</v>
      </c>
      <c r="DI584" s="56"/>
      <c r="DJ584" s="56"/>
      <c r="DK584" s="47">
        <f t="shared" si="410"/>
        <v>0</v>
      </c>
      <c r="DL584" s="47">
        <f t="shared" si="404"/>
        <v>0</v>
      </c>
      <c r="DM584" s="56"/>
      <c r="DN584" s="46">
        <f>7.5%*AQ584</f>
        <v>0</v>
      </c>
      <c r="DO584" s="56"/>
      <c r="DP584" s="46">
        <f t="shared" si="419"/>
        <v>0</v>
      </c>
      <c r="DQ584" s="56" t="s">
        <v>100</v>
      </c>
      <c r="DR584" s="46">
        <f t="shared" si="406"/>
        <v>0</v>
      </c>
      <c r="DS584" s="56"/>
      <c r="DT584" s="46">
        <f>75%*DR584</f>
        <v>0</v>
      </c>
      <c r="DU584" s="56"/>
      <c r="DV584" s="46">
        <f t="shared" si="393"/>
        <v>0</v>
      </c>
      <c r="DW584" s="56"/>
      <c r="DX584" s="47">
        <f t="shared" si="418"/>
        <v>0</v>
      </c>
      <c r="DY584" s="56"/>
      <c r="DZ584" s="56"/>
      <c r="EA584" s="56"/>
      <c r="EB584" s="56"/>
      <c r="EC584" s="56"/>
      <c r="ED584" s="56"/>
      <c r="EE584" s="47">
        <f t="shared" si="417"/>
        <v>0</v>
      </c>
      <c r="EF584" s="56"/>
      <c r="EG584" s="56"/>
      <c r="EH584" s="56"/>
      <c r="EI584" s="56"/>
      <c r="EJ584" s="56"/>
      <c r="EK584" s="47">
        <f t="shared" si="407"/>
        <v>0</v>
      </c>
      <c r="EL584" s="46">
        <f t="shared" si="408"/>
        <v>0</v>
      </c>
      <c r="EM584" s="56"/>
      <c r="EN584" s="61">
        <f t="shared" si="409"/>
        <v>0</v>
      </c>
    </row>
    <row r="585" spans="2:144" s="152" customFormat="1" ht="15" customHeight="1" x14ac:dyDescent="0.25">
      <c r="B585" s="41">
        <v>110</v>
      </c>
      <c r="C585" s="141"/>
      <c r="D585" s="147"/>
      <c r="E585" s="141"/>
      <c r="F585" s="141"/>
      <c r="G585" s="141"/>
      <c r="H585" s="141"/>
      <c r="I585" s="141"/>
      <c r="J585" s="141"/>
      <c r="K585" s="141"/>
      <c r="L585" s="141"/>
      <c r="M585" s="141"/>
      <c r="N585" s="148"/>
      <c r="O585" s="148"/>
      <c r="P585" s="141"/>
      <c r="Q585" s="149"/>
      <c r="R585" s="149"/>
      <c r="S585" s="149"/>
      <c r="T585" s="150"/>
      <c r="U585" s="150"/>
      <c r="V585" s="150"/>
      <c r="W585" s="150"/>
      <c r="X585" s="150"/>
      <c r="Y585" s="150"/>
      <c r="Z585" s="150"/>
      <c r="AA585" s="150"/>
      <c r="AB585" s="150"/>
      <c r="AC585" s="150"/>
      <c r="AD585" s="150"/>
      <c r="AE585" s="150"/>
      <c r="AF585" s="150"/>
      <c r="AG585" s="150"/>
      <c r="AH585" s="150"/>
      <c r="AI585" s="150"/>
      <c r="AJ585" s="150"/>
      <c r="AK585" s="150"/>
      <c r="AL585" s="150"/>
      <c r="AM585" s="150"/>
      <c r="AN585" s="123">
        <f t="shared" si="420"/>
        <v>0</v>
      </c>
      <c r="AO585" s="151">
        <f t="shared" si="421"/>
        <v>0</v>
      </c>
      <c r="AP585" s="150" t="s">
        <v>135</v>
      </c>
      <c r="AQ585" s="46">
        <f>20%*AO585</f>
        <v>0</v>
      </c>
      <c r="AR585" s="150"/>
      <c r="AS585" s="150"/>
      <c r="AT585" s="150"/>
      <c r="AU585" s="123">
        <f t="shared" si="398"/>
        <v>0</v>
      </c>
      <c r="AV585" s="150"/>
      <c r="AW585" s="79">
        <f>AQ585+AR585+AU585+AV585</f>
        <v>0</v>
      </c>
      <c r="AX585" s="150"/>
      <c r="AY585" s="150"/>
      <c r="AZ585" s="150"/>
      <c r="BA585" s="150"/>
      <c r="BB585" s="150"/>
      <c r="BC585" s="79">
        <f t="shared" si="399"/>
        <v>0</v>
      </c>
      <c r="BD585" s="150"/>
      <c r="BE585" s="79">
        <f t="shared" si="400"/>
        <v>0</v>
      </c>
      <c r="BF585" s="150"/>
      <c r="BG585" s="150"/>
      <c r="BH585" s="150"/>
      <c r="BI585" s="150"/>
      <c r="BJ585" s="150"/>
      <c r="BK585" s="150"/>
      <c r="BL585" s="150"/>
      <c r="BM585" s="78">
        <f>BK585</f>
        <v>0</v>
      </c>
      <c r="BN585" s="150"/>
      <c r="BO585" s="150"/>
      <c r="BP585" s="150"/>
      <c r="BQ585" s="150"/>
      <c r="BR585" s="150"/>
      <c r="BS585" s="150"/>
      <c r="BT585" s="150"/>
      <c r="BU585" s="150"/>
      <c r="BV585" s="150"/>
      <c r="BW585" s="150"/>
      <c r="BX585" s="150"/>
      <c r="BY585" s="150"/>
      <c r="BZ585" s="150"/>
      <c r="CA585" s="150"/>
      <c r="CB585" s="150"/>
      <c r="CC585" s="150"/>
      <c r="CD585" s="150"/>
      <c r="CE585" s="150"/>
      <c r="CF585" s="150"/>
      <c r="CG585" s="150"/>
      <c r="CH585" s="150"/>
      <c r="CI585" s="150"/>
      <c r="CJ585" s="150"/>
      <c r="CK585" s="150"/>
      <c r="CL585" s="150"/>
      <c r="CM585" s="150"/>
      <c r="CN585" s="150"/>
      <c r="CO585" s="150"/>
      <c r="CP585" s="151"/>
      <c r="CQ585" s="150"/>
      <c r="CR585" s="79">
        <f t="shared" si="401"/>
        <v>0</v>
      </c>
      <c r="CS585" s="150"/>
      <c r="CT585" s="150"/>
      <c r="CU585" s="150"/>
      <c r="CV585" s="150"/>
      <c r="CW585" s="79">
        <f t="shared" si="422"/>
        <v>0</v>
      </c>
      <c r="CX585" s="78"/>
      <c r="CY585" s="79">
        <f t="shared" si="402"/>
        <v>0</v>
      </c>
      <c r="CZ585" s="150"/>
      <c r="DA585" s="150"/>
      <c r="DB585" s="150"/>
      <c r="DC585" s="150"/>
      <c r="DD585" s="79">
        <f>+DB585*DC585</f>
        <v>0</v>
      </c>
      <c r="DE585" s="150"/>
      <c r="DF585" s="78">
        <f>DC585</f>
        <v>0</v>
      </c>
      <c r="DG585" s="150"/>
      <c r="DH585" s="46">
        <f t="shared" si="403"/>
        <v>0</v>
      </c>
      <c r="DI585" s="150"/>
      <c r="DJ585" s="150"/>
      <c r="DK585" s="79">
        <f t="shared" si="410"/>
        <v>0</v>
      </c>
      <c r="DL585" s="79">
        <f t="shared" si="404"/>
        <v>0</v>
      </c>
      <c r="DM585" s="150"/>
      <c r="DN585" s="78">
        <f>7.5%*AQ585</f>
        <v>0</v>
      </c>
      <c r="DO585" s="150"/>
      <c r="DP585" s="78">
        <f t="shared" si="419"/>
        <v>0</v>
      </c>
      <c r="DQ585" s="150" t="s">
        <v>103</v>
      </c>
      <c r="DR585" s="78">
        <f t="shared" si="406"/>
        <v>0</v>
      </c>
      <c r="DS585" s="150"/>
      <c r="DT585" s="78">
        <f>75%*DR585</f>
        <v>0</v>
      </c>
      <c r="DU585" s="150"/>
      <c r="DV585" s="78">
        <f t="shared" si="393"/>
        <v>0</v>
      </c>
      <c r="DW585" s="150"/>
      <c r="DX585" s="79">
        <f t="shared" si="418"/>
        <v>0</v>
      </c>
      <c r="DY585" s="150"/>
      <c r="DZ585" s="150"/>
      <c r="EA585" s="150"/>
      <c r="EB585" s="150"/>
      <c r="EC585" s="150"/>
      <c r="ED585" s="150"/>
      <c r="EE585" s="79">
        <f t="shared" si="417"/>
        <v>0</v>
      </c>
      <c r="EF585" s="150"/>
      <c r="EG585" s="150"/>
      <c r="EH585" s="150"/>
      <c r="EI585" s="150"/>
      <c r="EJ585" s="150"/>
      <c r="EK585" s="79">
        <f t="shared" si="407"/>
        <v>0</v>
      </c>
      <c r="EL585" s="78">
        <f t="shared" si="408"/>
        <v>0</v>
      </c>
      <c r="EM585" s="150"/>
      <c r="EN585" s="150">
        <f t="shared" si="409"/>
        <v>0</v>
      </c>
    </row>
    <row r="586" spans="2:144" s="73" customFormat="1" ht="15" customHeight="1" x14ac:dyDescent="0.25">
      <c r="B586" s="67">
        <v>107</v>
      </c>
      <c r="C586" s="68"/>
      <c r="D586" s="69"/>
      <c r="E586" s="153"/>
      <c r="F586" s="68"/>
      <c r="G586" s="68"/>
      <c r="H586" s="68"/>
      <c r="I586" s="68"/>
      <c r="J586" s="68"/>
      <c r="K586" s="68"/>
      <c r="L586" s="68"/>
      <c r="M586" s="68"/>
      <c r="N586" s="67"/>
      <c r="O586" s="67"/>
      <c r="P586" s="68"/>
      <c r="Q586" s="70"/>
      <c r="R586" s="70"/>
      <c r="S586" s="68"/>
      <c r="T586" s="71"/>
      <c r="U586" s="71"/>
      <c r="V586" s="68"/>
      <c r="W586" s="68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2">
        <f t="shared" si="420"/>
        <v>0</v>
      </c>
      <c r="AO586" s="72">
        <f t="shared" si="421"/>
        <v>0</v>
      </c>
      <c r="AP586" s="154" t="s">
        <v>135</v>
      </c>
      <c r="AQ586" s="71">
        <f>18%*AO586</f>
        <v>0</v>
      </c>
      <c r="AR586" s="71"/>
      <c r="AS586" s="71"/>
      <c r="AT586" s="71"/>
      <c r="AU586" s="72">
        <f t="shared" si="398"/>
        <v>0</v>
      </c>
      <c r="AV586" s="71"/>
      <c r="AW586" s="72">
        <f>AQ586+AU586+AV586+AR586</f>
        <v>0</v>
      </c>
      <c r="AX586" s="71"/>
      <c r="AY586" s="71"/>
      <c r="AZ586" s="71"/>
      <c r="BA586" s="71"/>
      <c r="BB586" s="71"/>
      <c r="BC586" s="72">
        <f t="shared" si="399"/>
        <v>0</v>
      </c>
      <c r="BD586" s="71"/>
      <c r="BE586" s="72">
        <f t="shared" si="400"/>
        <v>0</v>
      </c>
      <c r="BF586" s="71"/>
      <c r="BG586" s="71"/>
      <c r="BH586" s="71"/>
      <c r="BI586" s="71"/>
      <c r="BJ586" s="71"/>
      <c r="BK586" s="71">
        <f>BI586*BJ586</f>
        <v>0</v>
      </c>
      <c r="BL586" s="71"/>
      <c r="BM586" s="71">
        <f>BK586</f>
        <v>0</v>
      </c>
      <c r="BN586" s="71"/>
      <c r="BO586" s="71"/>
      <c r="BP586" s="71"/>
      <c r="BQ586" s="71"/>
      <c r="BR586" s="71"/>
      <c r="BS586" s="71">
        <f>BQ586*BR586</f>
        <v>0</v>
      </c>
      <c r="BT586" s="71"/>
      <c r="BU586" s="71">
        <f>BS586</f>
        <v>0</v>
      </c>
      <c r="BV586" s="71"/>
      <c r="BW586" s="71"/>
      <c r="BX586" s="71"/>
      <c r="BY586" s="71"/>
      <c r="BZ586" s="71"/>
      <c r="CA586" s="71">
        <f>BY586*BZ586</f>
        <v>0</v>
      </c>
      <c r="CB586" s="71"/>
      <c r="CC586" s="71">
        <f>CA586</f>
        <v>0</v>
      </c>
      <c r="CD586" s="71"/>
      <c r="CE586" s="71"/>
      <c r="CF586" s="71"/>
      <c r="CG586" s="71"/>
      <c r="CH586" s="71"/>
      <c r="CI586" s="71">
        <f>CG586*CH586</f>
        <v>0</v>
      </c>
      <c r="CJ586" s="71"/>
      <c r="CK586" s="71">
        <f>CI586</f>
        <v>0</v>
      </c>
      <c r="CL586" s="71"/>
      <c r="CM586" s="71"/>
      <c r="CN586" s="71"/>
      <c r="CO586" s="71"/>
      <c r="CP586" s="71">
        <f>CN586*CO586</f>
        <v>0</v>
      </c>
      <c r="CQ586" s="71"/>
      <c r="CR586" s="72">
        <f t="shared" si="401"/>
        <v>0</v>
      </c>
      <c r="CS586" s="71"/>
      <c r="CT586" s="71"/>
      <c r="CU586" s="71"/>
      <c r="CV586" s="71"/>
      <c r="CW586" s="72">
        <f t="shared" si="422"/>
        <v>0</v>
      </c>
      <c r="CX586" s="71"/>
      <c r="CY586" s="72">
        <f t="shared" si="402"/>
        <v>0</v>
      </c>
      <c r="CZ586" s="71"/>
      <c r="DA586" s="71"/>
      <c r="DB586" s="71"/>
      <c r="DC586" s="71"/>
      <c r="DD586" s="72">
        <f>+DB586*DC586</f>
        <v>0</v>
      </c>
      <c r="DE586" s="71"/>
      <c r="DF586" s="71">
        <f>DC586</f>
        <v>0</v>
      </c>
      <c r="DG586" s="71"/>
      <c r="DH586" s="71">
        <f t="shared" si="403"/>
        <v>0</v>
      </c>
      <c r="DI586" s="71"/>
      <c r="DJ586" s="71"/>
      <c r="DK586" s="72">
        <f t="shared" si="410"/>
        <v>0</v>
      </c>
      <c r="DL586" s="72">
        <f t="shared" si="404"/>
        <v>0</v>
      </c>
      <c r="DM586" s="71"/>
      <c r="DN586" s="71">
        <f>7%*AQ586</f>
        <v>0</v>
      </c>
      <c r="DO586" s="71"/>
      <c r="DP586" s="71">
        <f t="shared" si="419"/>
        <v>0</v>
      </c>
      <c r="DQ586" s="71" t="s">
        <v>100</v>
      </c>
      <c r="DR586" s="71">
        <f t="shared" si="406"/>
        <v>0</v>
      </c>
      <c r="DS586" s="71"/>
      <c r="DT586" s="71">
        <f>75%*DP586</f>
        <v>0</v>
      </c>
      <c r="DU586" s="71"/>
      <c r="DV586" s="71">
        <f t="shared" si="393"/>
        <v>0</v>
      </c>
      <c r="DW586" s="71"/>
      <c r="DX586" s="72">
        <f t="shared" si="418"/>
        <v>0</v>
      </c>
      <c r="DY586" s="71"/>
      <c r="DZ586" s="71"/>
      <c r="EA586" s="71"/>
      <c r="EB586" s="71"/>
      <c r="EC586" s="71"/>
      <c r="ED586" s="71"/>
      <c r="EE586" s="72">
        <f t="shared" si="417"/>
        <v>0</v>
      </c>
      <c r="EF586" s="71"/>
      <c r="EG586" s="71"/>
      <c r="EH586" s="71"/>
      <c r="EI586" s="71"/>
      <c r="EJ586" s="71"/>
      <c r="EK586" s="72">
        <f t="shared" si="407"/>
        <v>0</v>
      </c>
      <c r="EL586" s="71">
        <f t="shared" si="408"/>
        <v>0</v>
      </c>
      <c r="EM586" s="71"/>
      <c r="EN586" s="71">
        <f t="shared" si="409"/>
        <v>0</v>
      </c>
    </row>
    <row r="587" spans="2:144" s="51" customFormat="1" ht="15" customHeight="1" x14ac:dyDescent="0.25">
      <c r="B587" s="41">
        <v>108</v>
      </c>
      <c r="C587" s="52"/>
      <c r="D587" s="53"/>
      <c r="E587" s="52"/>
      <c r="F587" s="52"/>
      <c r="G587" s="52"/>
      <c r="H587" s="52"/>
      <c r="I587" s="52"/>
      <c r="J587" s="52"/>
      <c r="K587" s="52"/>
      <c r="L587" s="52"/>
      <c r="M587" s="52"/>
      <c r="N587" s="54"/>
      <c r="O587" s="54"/>
      <c r="P587" s="52"/>
      <c r="Q587" s="55"/>
      <c r="R587" s="55"/>
      <c r="S587" s="55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47">
        <f t="shared" si="420"/>
        <v>0</v>
      </c>
      <c r="AO587" s="46">
        <f t="shared" si="421"/>
        <v>0</v>
      </c>
      <c r="AP587" s="56" t="s">
        <v>135</v>
      </c>
      <c r="AQ587" s="46">
        <f>20%*AO587</f>
        <v>0</v>
      </c>
      <c r="AR587" s="56"/>
      <c r="AS587" s="56"/>
      <c r="AT587" s="56"/>
      <c r="AU587" s="60">
        <f t="shared" si="398"/>
        <v>0</v>
      </c>
      <c r="AV587" s="56"/>
      <c r="AW587" s="47">
        <f>AQ587+AU587+AV587+AR587</f>
        <v>0</v>
      </c>
      <c r="AX587" s="56"/>
      <c r="AY587" s="56"/>
      <c r="AZ587" s="56"/>
      <c r="BA587" s="56"/>
      <c r="BB587" s="56"/>
      <c r="BC587" s="47">
        <f t="shared" si="399"/>
        <v>0</v>
      </c>
      <c r="BD587" s="56"/>
      <c r="BE587" s="47">
        <f t="shared" si="400"/>
        <v>0</v>
      </c>
      <c r="BF587" s="56"/>
      <c r="BG587" s="56"/>
      <c r="BH587" s="56"/>
      <c r="BI587" s="56"/>
      <c r="BJ587" s="56"/>
      <c r="BK587" s="47">
        <f>+BI587*BJ587</f>
        <v>0</v>
      </c>
      <c r="BL587" s="56"/>
      <c r="BM587" s="56">
        <f>BK587+BL587</f>
        <v>0</v>
      </c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56"/>
      <c r="CP587" s="57"/>
      <c r="CQ587" s="56"/>
      <c r="CR587" s="47">
        <f t="shared" si="401"/>
        <v>0</v>
      </c>
      <c r="CS587" s="56"/>
      <c r="CT587" s="56"/>
      <c r="CU587" s="56"/>
      <c r="CV587" s="56"/>
      <c r="CW587" s="47">
        <f t="shared" si="422"/>
        <v>0</v>
      </c>
      <c r="CX587" s="46"/>
      <c r="CY587" s="47">
        <f t="shared" si="402"/>
        <v>0</v>
      </c>
      <c r="CZ587" s="56"/>
      <c r="DA587" s="56"/>
      <c r="DB587" s="56"/>
      <c r="DC587" s="56"/>
      <c r="DD587" s="47"/>
      <c r="DE587" s="56"/>
      <c r="DF587" s="46"/>
      <c r="DG587" s="56"/>
      <c r="DH587" s="46">
        <f t="shared" si="403"/>
        <v>0</v>
      </c>
      <c r="DI587" s="56"/>
      <c r="DJ587" s="56"/>
      <c r="DK587" s="47">
        <f t="shared" si="410"/>
        <v>0</v>
      </c>
      <c r="DL587" s="47">
        <f t="shared" si="404"/>
        <v>0</v>
      </c>
      <c r="DM587" s="56"/>
      <c r="DN587" s="46">
        <f>7%*AQ587</f>
        <v>0</v>
      </c>
      <c r="DO587" s="56"/>
      <c r="DP587" s="46">
        <f t="shared" si="419"/>
        <v>0</v>
      </c>
      <c r="DQ587" s="56" t="s">
        <v>99</v>
      </c>
      <c r="DR587" s="46">
        <f t="shared" si="406"/>
        <v>0</v>
      </c>
      <c r="DS587" s="56"/>
      <c r="DT587" s="46">
        <f>75%*DR587</f>
        <v>0</v>
      </c>
      <c r="DU587" s="56"/>
      <c r="DV587" s="46">
        <f t="shared" si="393"/>
        <v>0</v>
      </c>
      <c r="DW587" s="56"/>
      <c r="DX587" s="47">
        <f t="shared" si="418"/>
        <v>0</v>
      </c>
      <c r="DY587" s="56"/>
      <c r="DZ587" s="56"/>
      <c r="EA587" s="56"/>
      <c r="EB587" s="56"/>
      <c r="EC587" s="56"/>
      <c r="ED587" s="56"/>
      <c r="EE587" s="47">
        <f t="shared" si="417"/>
        <v>0</v>
      </c>
      <c r="EF587" s="56"/>
      <c r="EG587" s="56"/>
      <c r="EH587" s="56"/>
      <c r="EI587" s="56"/>
      <c r="EJ587" s="56"/>
      <c r="EK587" s="47">
        <f t="shared" si="407"/>
        <v>0</v>
      </c>
      <c r="EL587" s="46">
        <f t="shared" si="408"/>
        <v>0</v>
      </c>
      <c r="EM587" s="56"/>
      <c r="EN587" s="61">
        <f t="shared" si="409"/>
        <v>0</v>
      </c>
    </row>
    <row r="588" spans="2:144" s="51" customFormat="1" ht="15" customHeight="1" x14ac:dyDescent="0.25">
      <c r="B588" s="41">
        <v>39</v>
      </c>
      <c r="C588" s="52"/>
      <c r="D588" s="53"/>
      <c r="E588" s="52"/>
      <c r="F588" s="52"/>
      <c r="G588" s="52"/>
      <c r="H588" s="52"/>
      <c r="I588" s="52"/>
      <c r="J588" s="52"/>
      <c r="K588" s="52"/>
      <c r="L588" s="52"/>
      <c r="M588" s="52"/>
      <c r="N588" s="54"/>
      <c r="O588" s="54"/>
      <c r="P588" s="52"/>
      <c r="Q588" s="55"/>
      <c r="R588" s="55"/>
      <c r="S588" s="55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60">
        <f t="shared" si="420"/>
        <v>0</v>
      </c>
      <c r="AO588" s="57">
        <f t="shared" si="421"/>
        <v>0</v>
      </c>
      <c r="AP588" s="56" t="s">
        <v>104</v>
      </c>
      <c r="AQ588" s="46">
        <f>20%*AO588</f>
        <v>0</v>
      </c>
      <c r="AR588" s="56"/>
      <c r="AS588" s="56"/>
      <c r="AT588" s="56"/>
      <c r="AU588" s="60">
        <f t="shared" si="398"/>
        <v>0</v>
      </c>
      <c r="AV588" s="56"/>
      <c r="AW588" s="47">
        <f>AQ588+AR588+AU588+AV588</f>
        <v>0</v>
      </c>
      <c r="AX588" s="56"/>
      <c r="AY588" s="56"/>
      <c r="AZ588" s="56"/>
      <c r="BA588" s="56"/>
      <c r="BB588" s="56"/>
      <c r="BC588" s="47">
        <f t="shared" si="399"/>
        <v>0</v>
      </c>
      <c r="BD588" s="56"/>
      <c r="BE588" s="47">
        <f t="shared" si="400"/>
        <v>0</v>
      </c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  <c r="CL588" s="56"/>
      <c r="CM588" s="56"/>
      <c r="CN588" s="56"/>
      <c r="CO588" s="56"/>
      <c r="CP588" s="57"/>
      <c r="CQ588" s="56"/>
      <c r="CR588" s="47">
        <f t="shared" si="401"/>
        <v>0</v>
      </c>
      <c r="CS588" s="56"/>
      <c r="CT588" s="56"/>
      <c r="CU588" s="56"/>
      <c r="CV588" s="56"/>
      <c r="CW588" s="47">
        <f t="shared" si="422"/>
        <v>0</v>
      </c>
      <c r="CX588" s="46"/>
      <c r="CY588" s="47">
        <f t="shared" si="402"/>
        <v>0</v>
      </c>
      <c r="CZ588" s="56"/>
      <c r="DA588" s="56"/>
      <c r="DB588" s="56"/>
      <c r="DC588" s="56"/>
      <c r="DD588" s="47">
        <f>+DB588*DC588</f>
        <v>0</v>
      </c>
      <c r="DE588" s="56"/>
      <c r="DF588" s="46">
        <f>DC588</f>
        <v>0</v>
      </c>
      <c r="DG588" s="56"/>
      <c r="DH588" s="57">
        <f t="shared" si="403"/>
        <v>0</v>
      </c>
      <c r="DI588" s="56"/>
      <c r="DJ588" s="56"/>
      <c r="DK588" s="47">
        <f t="shared" si="410"/>
        <v>0</v>
      </c>
      <c r="DL588" s="47">
        <f t="shared" si="404"/>
        <v>0</v>
      </c>
      <c r="DM588" s="56"/>
      <c r="DN588" s="46">
        <f t="shared" ref="DN588:DN624" si="423">7.5%*AQ588</f>
        <v>0</v>
      </c>
      <c r="DO588" s="56"/>
      <c r="DP588" s="46">
        <f t="shared" si="419"/>
        <v>0</v>
      </c>
      <c r="DQ588" s="56" t="s">
        <v>99</v>
      </c>
      <c r="DR588" s="46">
        <f t="shared" si="406"/>
        <v>0</v>
      </c>
      <c r="DS588" s="56"/>
      <c r="DT588" s="46">
        <f>75%*DR588</f>
        <v>0</v>
      </c>
      <c r="DU588" s="56"/>
      <c r="DV588" s="46">
        <f t="shared" si="393"/>
        <v>0</v>
      </c>
      <c r="DW588" s="56"/>
      <c r="DX588" s="47">
        <f t="shared" si="418"/>
        <v>0</v>
      </c>
      <c r="DY588" s="56"/>
      <c r="DZ588" s="56"/>
      <c r="EA588" s="56"/>
      <c r="EB588" s="56"/>
      <c r="EC588" s="56"/>
      <c r="ED588" s="56"/>
      <c r="EE588" s="47">
        <f>+AW588+BE588+BM588+CR588+CY588+DF588+DL588+DX588+DY588+DZ588+EB588+EC588+ED588</f>
        <v>0</v>
      </c>
      <c r="EF588" s="56"/>
      <c r="EG588" s="56"/>
      <c r="EH588" s="56"/>
      <c r="EI588" s="56"/>
      <c r="EJ588" s="56"/>
      <c r="EK588" s="47">
        <f t="shared" si="407"/>
        <v>0</v>
      </c>
      <c r="EL588" s="46">
        <f t="shared" si="408"/>
        <v>0</v>
      </c>
      <c r="EM588" s="56"/>
      <c r="EN588" s="61">
        <f t="shared" si="409"/>
        <v>0</v>
      </c>
    </row>
    <row r="589" spans="2:144" s="51" customFormat="1" ht="15" customHeight="1" x14ac:dyDescent="0.25">
      <c r="B589" s="41">
        <v>78</v>
      </c>
      <c r="C589" s="52"/>
      <c r="D589" s="53"/>
      <c r="E589" s="52"/>
      <c r="F589" s="52"/>
      <c r="G589" s="52"/>
      <c r="H589" s="52"/>
      <c r="I589" s="52"/>
      <c r="J589" s="52"/>
      <c r="K589" s="52"/>
      <c r="L589" s="52"/>
      <c r="M589" s="52"/>
      <c r="N589" s="54"/>
      <c r="O589" s="54"/>
      <c r="P589" s="52"/>
      <c r="Q589" s="55"/>
      <c r="R589" s="55"/>
      <c r="S589" s="55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47">
        <f t="shared" si="420"/>
        <v>0</v>
      </c>
      <c r="AO589" s="46">
        <f t="shared" si="421"/>
        <v>0</v>
      </c>
      <c r="AP589" s="56" t="s">
        <v>135</v>
      </c>
      <c r="AQ589" s="46">
        <f>20%*AO589</f>
        <v>0</v>
      </c>
      <c r="AR589" s="56"/>
      <c r="AS589" s="56"/>
      <c r="AT589" s="56"/>
      <c r="AU589" s="60">
        <f t="shared" si="398"/>
        <v>0</v>
      </c>
      <c r="AV589" s="56"/>
      <c r="AW589" s="47">
        <f t="shared" ref="AW589:AW615" si="424">AQ589+AU589+AV589+AR589</f>
        <v>0</v>
      </c>
      <c r="AX589" s="56"/>
      <c r="AY589" s="56"/>
      <c r="AZ589" s="56"/>
      <c r="BA589" s="56"/>
      <c r="BB589" s="56"/>
      <c r="BC589" s="47">
        <f t="shared" si="399"/>
        <v>0</v>
      </c>
      <c r="BD589" s="56"/>
      <c r="BE589" s="47">
        <f t="shared" si="400"/>
        <v>0</v>
      </c>
      <c r="BF589" s="56"/>
      <c r="BG589" s="56"/>
      <c r="BH589" s="56"/>
      <c r="BI589" s="56"/>
      <c r="BJ589" s="56"/>
      <c r="BK589" s="47">
        <f>+BI589*BJ589</f>
        <v>0</v>
      </c>
      <c r="BL589" s="56"/>
      <c r="BM589" s="56">
        <f>BK589+BL589</f>
        <v>0</v>
      </c>
      <c r="BN589" s="56"/>
      <c r="BO589" s="56"/>
      <c r="BP589" s="56"/>
      <c r="BQ589" s="56"/>
      <c r="BR589" s="56"/>
      <c r="BS589" s="47">
        <f>+BQ589*BR589</f>
        <v>0</v>
      </c>
      <c r="BT589" s="56"/>
      <c r="BU589" s="47">
        <f>+BO589+BP589+BS589+BT589</f>
        <v>0</v>
      </c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  <c r="CL589" s="56"/>
      <c r="CM589" s="56"/>
      <c r="CN589" s="56"/>
      <c r="CO589" s="56"/>
      <c r="CP589" s="57"/>
      <c r="CQ589" s="56"/>
      <c r="CR589" s="47">
        <f t="shared" si="401"/>
        <v>0</v>
      </c>
      <c r="CS589" s="56"/>
      <c r="CT589" s="56"/>
      <c r="CU589" s="56"/>
      <c r="CV589" s="56"/>
      <c r="CW589" s="47">
        <f t="shared" si="422"/>
        <v>0</v>
      </c>
      <c r="CX589" s="46"/>
      <c r="CY589" s="47">
        <f t="shared" si="402"/>
        <v>0</v>
      </c>
      <c r="CZ589" s="56"/>
      <c r="DA589" s="56"/>
      <c r="DB589" s="56"/>
      <c r="DC589" s="56"/>
      <c r="DD589" s="47"/>
      <c r="DE589" s="56"/>
      <c r="DF589" s="46"/>
      <c r="DG589" s="56"/>
      <c r="DH589" s="57">
        <f t="shared" si="403"/>
        <v>0</v>
      </c>
      <c r="DI589" s="56"/>
      <c r="DJ589" s="56"/>
      <c r="DK589" s="47">
        <f t="shared" si="410"/>
        <v>0</v>
      </c>
      <c r="DL589" s="47">
        <f t="shared" si="404"/>
        <v>0</v>
      </c>
      <c r="DM589" s="56"/>
      <c r="DN589" s="46">
        <f t="shared" si="423"/>
        <v>0</v>
      </c>
      <c r="DO589" s="56"/>
      <c r="DP589" s="46">
        <f t="shared" ref="DP589:DP624" si="425">DN589</f>
        <v>0</v>
      </c>
      <c r="DQ589" s="56" t="s">
        <v>99</v>
      </c>
      <c r="DR589" s="46">
        <f t="shared" si="406"/>
        <v>0</v>
      </c>
      <c r="DS589" s="56"/>
      <c r="DT589" s="46">
        <f>75%*DR589</f>
        <v>0</v>
      </c>
      <c r="DU589" s="56"/>
      <c r="DV589" s="46">
        <f t="shared" si="393"/>
        <v>0</v>
      </c>
      <c r="DW589" s="56"/>
      <c r="DX589" s="47">
        <f t="shared" si="418"/>
        <v>0</v>
      </c>
      <c r="DY589" s="56"/>
      <c r="DZ589" s="56"/>
      <c r="EA589" s="56"/>
      <c r="EB589" s="56"/>
      <c r="EC589" s="56"/>
      <c r="ED589" s="56"/>
      <c r="EE589" s="47">
        <f>+AW589+BE589+BM589+CR589+CY589+DF589+DL589+DX589+DY589+DZ589+EB589+EC589+ED589</f>
        <v>0</v>
      </c>
      <c r="EF589" s="56"/>
      <c r="EG589" s="56"/>
      <c r="EH589" s="56"/>
      <c r="EI589" s="56"/>
      <c r="EJ589" s="56"/>
      <c r="EK589" s="47">
        <f t="shared" si="407"/>
        <v>0</v>
      </c>
      <c r="EL589" s="46">
        <f t="shared" si="408"/>
        <v>0</v>
      </c>
      <c r="EM589" s="56"/>
      <c r="EN589" s="61">
        <f t="shared" si="409"/>
        <v>0</v>
      </c>
    </row>
    <row r="590" spans="2:144" s="51" customFormat="1" ht="15" customHeight="1" x14ac:dyDescent="0.25">
      <c r="B590" s="41">
        <v>111</v>
      </c>
      <c r="C590" s="52"/>
      <c r="D590" s="53"/>
      <c r="E590" s="52"/>
      <c r="F590" s="52"/>
      <c r="G590" s="52"/>
      <c r="H590" s="52"/>
      <c r="I590" s="52"/>
      <c r="J590" s="52"/>
      <c r="K590" s="52"/>
      <c r="L590" s="52"/>
      <c r="M590" s="52"/>
      <c r="N590" s="54"/>
      <c r="O590" s="54"/>
      <c r="P590" s="52"/>
      <c r="Q590" s="55"/>
      <c r="R590" s="55"/>
      <c r="S590" s="55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47">
        <f t="shared" si="420"/>
        <v>0</v>
      </c>
      <c r="AO590" s="46">
        <f t="shared" si="421"/>
        <v>0</v>
      </c>
      <c r="AP590" s="56" t="s">
        <v>135</v>
      </c>
      <c r="AQ590" s="46">
        <f t="shared" ref="AQ590:AQ593" si="426">23%*AO590</f>
        <v>0</v>
      </c>
      <c r="AR590" s="56"/>
      <c r="AS590" s="56"/>
      <c r="AT590" s="56"/>
      <c r="AU590" s="60">
        <f t="shared" si="398"/>
        <v>0</v>
      </c>
      <c r="AV590" s="56"/>
      <c r="AW590" s="47">
        <f t="shared" si="424"/>
        <v>0</v>
      </c>
      <c r="AX590" s="56"/>
      <c r="AY590" s="56"/>
      <c r="AZ590" s="56"/>
      <c r="BA590" s="56"/>
      <c r="BB590" s="56"/>
      <c r="BC590" s="47">
        <f t="shared" si="399"/>
        <v>0</v>
      </c>
      <c r="BD590" s="56"/>
      <c r="BE590" s="47">
        <f t="shared" si="400"/>
        <v>0</v>
      </c>
      <c r="BF590" s="56"/>
      <c r="BG590" s="56"/>
      <c r="BH590" s="56"/>
      <c r="BI590" s="56"/>
      <c r="BJ590" s="56"/>
      <c r="BK590" s="47">
        <f>+BI590*BJ590</f>
        <v>0</v>
      </c>
      <c r="BL590" s="56"/>
      <c r="BM590" s="56">
        <f>BK590+BL590</f>
        <v>0</v>
      </c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56"/>
      <c r="CP590" s="57"/>
      <c r="CQ590" s="56"/>
      <c r="CR590" s="47">
        <f t="shared" si="401"/>
        <v>0</v>
      </c>
      <c r="CS590" s="56"/>
      <c r="CT590" s="56"/>
      <c r="CU590" s="56"/>
      <c r="CV590" s="56"/>
      <c r="CW590" s="47">
        <f t="shared" si="422"/>
        <v>0</v>
      </c>
      <c r="CX590" s="46"/>
      <c r="CY590" s="47">
        <f t="shared" si="402"/>
        <v>0</v>
      </c>
      <c r="CZ590" s="56"/>
      <c r="DA590" s="56"/>
      <c r="DB590" s="56"/>
      <c r="DC590" s="56"/>
      <c r="DD590" s="47"/>
      <c r="DE590" s="56"/>
      <c r="DF590" s="46"/>
      <c r="DG590" s="56"/>
      <c r="DH590" s="57">
        <f t="shared" si="403"/>
        <v>0</v>
      </c>
      <c r="DI590" s="56"/>
      <c r="DJ590" s="56"/>
      <c r="DK590" s="47">
        <f t="shared" si="410"/>
        <v>0</v>
      </c>
      <c r="DL590" s="47">
        <f t="shared" si="404"/>
        <v>0</v>
      </c>
      <c r="DM590" s="56"/>
      <c r="DN590" s="46">
        <f t="shared" si="423"/>
        <v>0</v>
      </c>
      <c r="DO590" s="56"/>
      <c r="DP590" s="46">
        <f t="shared" si="425"/>
        <v>0</v>
      </c>
      <c r="DQ590" s="56" t="s">
        <v>143</v>
      </c>
      <c r="DR590" s="46">
        <f t="shared" si="406"/>
        <v>0</v>
      </c>
      <c r="DS590" s="56"/>
      <c r="DT590" s="46">
        <f t="shared" ref="DT590:DT626" si="427">75%*DR590</f>
        <v>0</v>
      </c>
      <c r="DU590" s="56"/>
      <c r="DV590" s="46">
        <f t="shared" si="393"/>
        <v>0</v>
      </c>
      <c r="DW590" s="56"/>
      <c r="DX590" s="47">
        <f t="shared" si="418"/>
        <v>0</v>
      </c>
      <c r="DY590" s="56"/>
      <c r="DZ590" s="56"/>
      <c r="EA590" s="56"/>
      <c r="EB590" s="56"/>
      <c r="EC590" s="56"/>
      <c r="ED590" s="56"/>
      <c r="EE590" s="47">
        <f t="shared" ref="EE590:EE615" si="428">+AW590+BE590+BM590+CR590+CY590+DF590+DL590+DX590+DY590+DZ590+EB590+EC590</f>
        <v>0</v>
      </c>
      <c r="EF590" s="56"/>
      <c r="EG590" s="56"/>
      <c r="EH590" s="56"/>
      <c r="EI590" s="56"/>
      <c r="EJ590" s="56"/>
      <c r="EK590" s="47">
        <f t="shared" si="407"/>
        <v>0</v>
      </c>
      <c r="EL590" s="46">
        <f t="shared" si="408"/>
        <v>0</v>
      </c>
      <c r="EM590" s="56"/>
      <c r="EN590" s="61">
        <f t="shared" si="409"/>
        <v>0</v>
      </c>
    </row>
    <row r="591" spans="2:144" s="51" customFormat="1" ht="15" customHeight="1" x14ac:dyDescent="0.25">
      <c r="B591" s="41">
        <v>112</v>
      </c>
      <c r="C591" s="52"/>
      <c r="D591" s="53"/>
      <c r="E591" s="52"/>
      <c r="F591" s="52"/>
      <c r="G591" s="52"/>
      <c r="H591" s="52"/>
      <c r="I591" s="52"/>
      <c r="J591" s="52"/>
      <c r="K591" s="52"/>
      <c r="L591" s="52"/>
      <c r="M591" s="52"/>
      <c r="N591" s="54"/>
      <c r="O591" s="54"/>
      <c r="P591" s="52"/>
      <c r="Q591" s="55"/>
      <c r="R591" s="55"/>
      <c r="S591" s="55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47">
        <f t="shared" si="420"/>
        <v>0</v>
      </c>
      <c r="AO591" s="46">
        <f t="shared" si="421"/>
        <v>0</v>
      </c>
      <c r="AP591" s="56" t="s">
        <v>135</v>
      </c>
      <c r="AQ591" s="46">
        <f t="shared" si="426"/>
        <v>0</v>
      </c>
      <c r="AR591" s="56"/>
      <c r="AS591" s="56"/>
      <c r="AT591" s="56"/>
      <c r="AU591" s="60">
        <f t="shared" si="398"/>
        <v>0</v>
      </c>
      <c r="AV591" s="56"/>
      <c r="AW591" s="47">
        <f t="shared" si="424"/>
        <v>0</v>
      </c>
      <c r="AX591" s="56"/>
      <c r="AY591" s="56"/>
      <c r="AZ591" s="56"/>
      <c r="BA591" s="56"/>
      <c r="BB591" s="56"/>
      <c r="BC591" s="47">
        <f t="shared" si="399"/>
        <v>0</v>
      </c>
      <c r="BD591" s="56"/>
      <c r="BE591" s="47">
        <f t="shared" si="400"/>
        <v>0</v>
      </c>
      <c r="BF591" s="56"/>
      <c r="BG591" s="56"/>
      <c r="BH591" s="56"/>
      <c r="BI591" s="56"/>
      <c r="BJ591" s="56"/>
      <c r="BK591" s="47">
        <f>+BI591*BJ591</f>
        <v>0</v>
      </c>
      <c r="BL591" s="56"/>
      <c r="BM591" s="56">
        <f>BK591+BL591</f>
        <v>0</v>
      </c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56"/>
      <c r="CP591" s="57"/>
      <c r="CQ591" s="56"/>
      <c r="CR591" s="47">
        <f t="shared" si="401"/>
        <v>0</v>
      </c>
      <c r="CS591" s="56"/>
      <c r="CT591" s="56"/>
      <c r="CU591" s="56"/>
      <c r="CV591" s="56"/>
      <c r="CW591" s="47">
        <f t="shared" si="422"/>
        <v>0</v>
      </c>
      <c r="CX591" s="46"/>
      <c r="CY591" s="47">
        <f t="shared" si="402"/>
        <v>0</v>
      </c>
      <c r="CZ591" s="56"/>
      <c r="DA591" s="56"/>
      <c r="DB591" s="56"/>
      <c r="DC591" s="56"/>
      <c r="DD591" s="47"/>
      <c r="DE591" s="56"/>
      <c r="DF591" s="46"/>
      <c r="DG591" s="56"/>
      <c r="DH591" s="57">
        <f t="shared" si="403"/>
        <v>0</v>
      </c>
      <c r="DI591" s="56"/>
      <c r="DJ591" s="56"/>
      <c r="DK591" s="47">
        <f t="shared" si="410"/>
        <v>0</v>
      </c>
      <c r="DL591" s="47">
        <f t="shared" si="404"/>
        <v>0</v>
      </c>
      <c r="DM591" s="56"/>
      <c r="DN591" s="46">
        <f t="shared" si="423"/>
        <v>0</v>
      </c>
      <c r="DO591" s="56"/>
      <c r="DP591" s="46">
        <f t="shared" si="425"/>
        <v>0</v>
      </c>
      <c r="DQ591" s="56" t="s">
        <v>99</v>
      </c>
      <c r="DR591" s="46">
        <f t="shared" si="406"/>
        <v>0</v>
      </c>
      <c r="DS591" s="56"/>
      <c r="DT591" s="46">
        <f t="shared" si="427"/>
        <v>0</v>
      </c>
      <c r="DU591" s="56"/>
      <c r="DV591" s="46">
        <f t="shared" si="393"/>
        <v>0</v>
      </c>
      <c r="DW591" s="56"/>
      <c r="DX591" s="47">
        <f t="shared" si="418"/>
        <v>0</v>
      </c>
      <c r="DY591" s="56"/>
      <c r="DZ591" s="56"/>
      <c r="EA591" s="56"/>
      <c r="EB591" s="56"/>
      <c r="EC591" s="56"/>
      <c r="ED591" s="56"/>
      <c r="EE591" s="47">
        <f t="shared" si="428"/>
        <v>0</v>
      </c>
      <c r="EF591" s="56"/>
      <c r="EG591" s="56"/>
      <c r="EH591" s="56"/>
      <c r="EI591" s="56"/>
      <c r="EJ591" s="56"/>
      <c r="EK591" s="47">
        <f t="shared" si="407"/>
        <v>0</v>
      </c>
      <c r="EL591" s="46">
        <f t="shared" si="408"/>
        <v>0</v>
      </c>
      <c r="EM591" s="56"/>
      <c r="EN591" s="61">
        <f t="shared" si="409"/>
        <v>0</v>
      </c>
    </row>
    <row r="592" spans="2:144" s="51" customFormat="1" ht="15" customHeight="1" x14ac:dyDescent="0.25">
      <c r="B592" s="41">
        <v>113</v>
      </c>
      <c r="C592" s="52"/>
      <c r="D592" s="53"/>
      <c r="E592" s="52"/>
      <c r="F592" s="52"/>
      <c r="G592" s="52"/>
      <c r="H592" s="52"/>
      <c r="I592" s="52"/>
      <c r="J592" s="52"/>
      <c r="K592" s="52"/>
      <c r="L592" s="52"/>
      <c r="M592" s="52"/>
      <c r="N592" s="54"/>
      <c r="O592" s="54"/>
      <c r="P592" s="52"/>
      <c r="Q592" s="55"/>
      <c r="R592" s="55"/>
      <c r="S592" s="55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47">
        <f t="shared" si="420"/>
        <v>0</v>
      </c>
      <c r="AO592" s="46">
        <f t="shared" si="421"/>
        <v>0</v>
      </c>
      <c r="AP592" s="56" t="s">
        <v>136</v>
      </c>
      <c r="AQ592" s="46">
        <f t="shared" si="426"/>
        <v>0</v>
      </c>
      <c r="AR592" s="56"/>
      <c r="AS592" s="56"/>
      <c r="AT592" s="56"/>
      <c r="AU592" s="60">
        <f t="shared" si="398"/>
        <v>0</v>
      </c>
      <c r="AV592" s="56"/>
      <c r="AW592" s="47">
        <f t="shared" si="424"/>
        <v>0</v>
      </c>
      <c r="AX592" s="56"/>
      <c r="AY592" s="56"/>
      <c r="AZ592" s="56"/>
      <c r="BA592" s="56"/>
      <c r="BB592" s="56"/>
      <c r="BC592" s="47">
        <f t="shared" si="399"/>
        <v>0</v>
      </c>
      <c r="BD592" s="56"/>
      <c r="BE592" s="47">
        <f t="shared" si="400"/>
        <v>0</v>
      </c>
      <c r="BF592" s="56"/>
      <c r="BG592" s="56"/>
      <c r="BH592" s="56"/>
      <c r="BI592" s="56"/>
      <c r="BJ592" s="56"/>
      <c r="BK592" s="47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  <c r="CL592" s="56"/>
      <c r="CM592" s="56"/>
      <c r="CN592" s="56"/>
      <c r="CO592" s="56"/>
      <c r="CP592" s="57"/>
      <c r="CQ592" s="56"/>
      <c r="CR592" s="47">
        <f t="shared" si="401"/>
        <v>0</v>
      </c>
      <c r="CS592" s="56"/>
      <c r="CT592" s="56"/>
      <c r="CU592" s="56"/>
      <c r="CV592" s="56"/>
      <c r="CW592" s="47">
        <f t="shared" si="422"/>
        <v>0</v>
      </c>
      <c r="CX592" s="46"/>
      <c r="CY592" s="47">
        <f t="shared" si="402"/>
        <v>0</v>
      </c>
      <c r="CZ592" s="56"/>
      <c r="DA592" s="56"/>
      <c r="DB592" s="56"/>
      <c r="DC592" s="56"/>
      <c r="DD592" s="47"/>
      <c r="DE592" s="56"/>
      <c r="DF592" s="46"/>
      <c r="DG592" s="56"/>
      <c r="DH592" s="57">
        <f t="shared" si="403"/>
        <v>0</v>
      </c>
      <c r="DI592" s="56"/>
      <c r="DJ592" s="56"/>
      <c r="DK592" s="47">
        <f t="shared" si="410"/>
        <v>0</v>
      </c>
      <c r="DL592" s="47">
        <f t="shared" si="404"/>
        <v>0</v>
      </c>
      <c r="DM592" s="56"/>
      <c r="DN592" s="46">
        <f t="shared" si="423"/>
        <v>0</v>
      </c>
      <c r="DO592" s="56"/>
      <c r="DP592" s="46">
        <f t="shared" si="425"/>
        <v>0</v>
      </c>
      <c r="DQ592" s="56" t="s">
        <v>99</v>
      </c>
      <c r="DR592" s="46">
        <f t="shared" si="406"/>
        <v>0</v>
      </c>
      <c r="DS592" s="56"/>
      <c r="DT592" s="46">
        <f t="shared" si="427"/>
        <v>0</v>
      </c>
      <c r="DU592" s="56"/>
      <c r="DV592" s="46">
        <f t="shared" si="393"/>
        <v>0</v>
      </c>
      <c r="DW592" s="56"/>
      <c r="DX592" s="47">
        <f t="shared" si="418"/>
        <v>0</v>
      </c>
      <c r="DY592" s="56"/>
      <c r="DZ592" s="56"/>
      <c r="EA592" s="56"/>
      <c r="EB592" s="56"/>
      <c r="EC592" s="56"/>
      <c r="ED592" s="56"/>
      <c r="EE592" s="47">
        <f t="shared" si="428"/>
        <v>0</v>
      </c>
      <c r="EF592" s="56"/>
      <c r="EG592" s="56"/>
      <c r="EH592" s="56"/>
      <c r="EI592" s="56"/>
      <c r="EJ592" s="56"/>
      <c r="EK592" s="47">
        <f t="shared" si="407"/>
        <v>0</v>
      </c>
      <c r="EL592" s="46">
        <f t="shared" si="408"/>
        <v>0</v>
      </c>
      <c r="EM592" s="56"/>
      <c r="EN592" s="61">
        <f t="shared" si="409"/>
        <v>0</v>
      </c>
    </row>
    <row r="593" spans="2:144" s="51" customFormat="1" ht="15" customHeight="1" x14ac:dyDescent="0.25">
      <c r="B593" s="41">
        <v>114</v>
      </c>
      <c r="C593" s="52"/>
      <c r="D593" s="53"/>
      <c r="E593" s="52"/>
      <c r="F593" s="52"/>
      <c r="G593" s="52"/>
      <c r="H593" s="52"/>
      <c r="I593" s="52"/>
      <c r="J593" s="52"/>
      <c r="K593" s="52"/>
      <c r="L593" s="52"/>
      <c r="M593" s="52"/>
      <c r="N593" s="54"/>
      <c r="O593" s="54"/>
      <c r="P593" s="52"/>
      <c r="Q593" s="55"/>
      <c r="R593" s="55"/>
      <c r="S593" s="55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47">
        <f t="shared" si="420"/>
        <v>0</v>
      </c>
      <c r="AO593" s="46">
        <f t="shared" si="421"/>
        <v>0</v>
      </c>
      <c r="AP593" s="56" t="s">
        <v>135</v>
      </c>
      <c r="AQ593" s="46">
        <f t="shared" si="426"/>
        <v>0</v>
      </c>
      <c r="AR593" s="56"/>
      <c r="AS593" s="56"/>
      <c r="AT593" s="56"/>
      <c r="AU593" s="60">
        <f t="shared" si="398"/>
        <v>0</v>
      </c>
      <c r="AV593" s="56"/>
      <c r="AW593" s="47">
        <f t="shared" si="424"/>
        <v>0</v>
      </c>
      <c r="AX593" s="56"/>
      <c r="AY593" s="56"/>
      <c r="AZ593" s="56"/>
      <c r="BA593" s="56"/>
      <c r="BB593" s="56"/>
      <c r="BC593" s="47">
        <f t="shared" si="399"/>
        <v>0</v>
      </c>
      <c r="BD593" s="56"/>
      <c r="BE593" s="47">
        <f t="shared" si="400"/>
        <v>0</v>
      </c>
      <c r="BF593" s="56"/>
      <c r="BG593" s="56"/>
      <c r="BH593" s="56"/>
      <c r="BI593" s="56"/>
      <c r="BJ593" s="56"/>
      <c r="BK593" s="47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  <c r="CL593" s="56"/>
      <c r="CM593" s="56"/>
      <c r="CN593" s="56"/>
      <c r="CO593" s="56"/>
      <c r="CP593" s="57"/>
      <c r="CQ593" s="56"/>
      <c r="CR593" s="47">
        <f t="shared" si="401"/>
        <v>0</v>
      </c>
      <c r="CS593" s="56"/>
      <c r="CT593" s="56"/>
      <c r="CU593" s="56"/>
      <c r="CV593" s="56"/>
      <c r="CW593" s="47">
        <f t="shared" si="422"/>
        <v>0</v>
      </c>
      <c r="CX593" s="46"/>
      <c r="CY593" s="47">
        <f t="shared" si="402"/>
        <v>0</v>
      </c>
      <c r="CZ593" s="56"/>
      <c r="DA593" s="56"/>
      <c r="DB593" s="56"/>
      <c r="DC593" s="56"/>
      <c r="DD593" s="47"/>
      <c r="DE593" s="56"/>
      <c r="DF593" s="46"/>
      <c r="DG593" s="56"/>
      <c r="DH593" s="57">
        <f t="shared" si="403"/>
        <v>0</v>
      </c>
      <c r="DI593" s="56"/>
      <c r="DJ593" s="56"/>
      <c r="DK593" s="47">
        <f t="shared" si="410"/>
        <v>0</v>
      </c>
      <c r="DL593" s="47">
        <f t="shared" si="404"/>
        <v>0</v>
      </c>
      <c r="DM593" s="56"/>
      <c r="DN593" s="46">
        <f t="shared" si="423"/>
        <v>0</v>
      </c>
      <c r="DO593" s="56"/>
      <c r="DP593" s="46">
        <f t="shared" si="425"/>
        <v>0</v>
      </c>
      <c r="DQ593" s="56" t="s">
        <v>99</v>
      </c>
      <c r="DR593" s="46">
        <f t="shared" si="406"/>
        <v>0</v>
      </c>
      <c r="DS593" s="56"/>
      <c r="DT593" s="46">
        <f t="shared" si="427"/>
        <v>0</v>
      </c>
      <c r="DU593" s="56"/>
      <c r="DV593" s="46">
        <f t="shared" si="393"/>
        <v>0</v>
      </c>
      <c r="DW593" s="56"/>
      <c r="DX593" s="47">
        <f t="shared" si="418"/>
        <v>0</v>
      </c>
      <c r="DY593" s="56"/>
      <c r="DZ593" s="56"/>
      <c r="EA593" s="56"/>
      <c r="EB593" s="56"/>
      <c r="EC593" s="56"/>
      <c r="ED593" s="56"/>
      <c r="EE593" s="47">
        <f t="shared" si="428"/>
        <v>0</v>
      </c>
      <c r="EF593" s="56"/>
      <c r="EG593" s="56"/>
      <c r="EH593" s="56"/>
      <c r="EI593" s="56"/>
      <c r="EJ593" s="56"/>
      <c r="EK593" s="47">
        <f t="shared" si="407"/>
        <v>0</v>
      </c>
      <c r="EL593" s="46">
        <f t="shared" si="408"/>
        <v>0</v>
      </c>
      <c r="EM593" s="56"/>
      <c r="EN593" s="61">
        <f t="shared" si="409"/>
        <v>0</v>
      </c>
    </row>
    <row r="594" spans="2:144" s="51" customFormat="1" ht="15" customHeight="1" x14ac:dyDescent="0.25">
      <c r="B594" s="41">
        <v>115</v>
      </c>
      <c r="C594" s="52"/>
      <c r="D594" s="53"/>
      <c r="E594" s="52"/>
      <c r="F594" s="52"/>
      <c r="G594" s="52"/>
      <c r="H594" s="52"/>
      <c r="I594" s="52"/>
      <c r="J594" s="52"/>
      <c r="K594" s="52"/>
      <c r="L594" s="52"/>
      <c r="M594" s="52"/>
      <c r="N594" s="54"/>
      <c r="O594" s="54"/>
      <c r="P594" s="52"/>
      <c r="Q594" s="55"/>
      <c r="R594" s="55"/>
      <c r="S594" s="55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47">
        <f t="shared" si="420"/>
        <v>0</v>
      </c>
      <c r="AO594" s="46">
        <f t="shared" si="421"/>
        <v>0</v>
      </c>
      <c r="AP594" s="56" t="s">
        <v>135</v>
      </c>
      <c r="AQ594" s="46">
        <f t="shared" ref="AQ594:AQ604" si="429">20%*AO594</f>
        <v>0</v>
      </c>
      <c r="AR594" s="56"/>
      <c r="AS594" s="56"/>
      <c r="AT594" s="56"/>
      <c r="AU594" s="60">
        <f t="shared" si="398"/>
        <v>0</v>
      </c>
      <c r="AV594" s="56"/>
      <c r="AW594" s="47">
        <f t="shared" si="424"/>
        <v>0</v>
      </c>
      <c r="AX594" s="56"/>
      <c r="AY594" s="56"/>
      <c r="AZ594" s="56"/>
      <c r="BA594" s="56"/>
      <c r="BB594" s="56"/>
      <c r="BC594" s="47">
        <f t="shared" si="399"/>
        <v>0</v>
      </c>
      <c r="BD594" s="56"/>
      <c r="BE594" s="47">
        <f t="shared" si="400"/>
        <v>0</v>
      </c>
      <c r="BF594" s="56"/>
      <c r="BG594" s="56"/>
      <c r="BH594" s="56"/>
      <c r="BI594" s="56"/>
      <c r="BJ594" s="56"/>
      <c r="BK594" s="47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  <c r="CL594" s="56"/>
      <c r="CM594" s="56"/>
      <c r="CN594" s="56"/>
      <c r="CO594" s="56"/>
      <c r="CP594" s="57"/>
      <c r="CQ594" s="56"/>
      <c r="CR594" s="47">
        <f t="shared" si="401"/>
        <v>0</v>
      </c>
      <c r="CS594" s="56"/>
      <c r="CT594" s="56"/>
      <c r="CU594" s="56"/>
      <c r="CV594" s="56"/>
      <c r="CW594" s="47">
        <f t="shared" si="422"/>
        <v>0</v>
      </c>
      <c r="CX594" s="46"/>
      <c r="CY594" s="47">
        <f t="shared" si="402"/>
        <v>0</v>
      </c>
      <c r="CZ594" s="56"/>
      <c r="DA594" s="56"/>
      <c r="DB594" s="56"/>
      <c r="DC594" s="56"/>
      <c r="DD594" s="47"/>
      <c r="DE594" s="56"/>
      <c r="DF594" s="46"/>
      <c r="DG594" s="56"/>
      <c r="DH594" s="57">
        <f t="shared" si="403"/>
        <v>0</v>
      </c>
      <c r="DI594" s="56"/>
      <c r="DJ594" s="56"/>
      <c r="DK594" s="47">
        <f t="shared" si="410"/>
        <v>0</v>
      </c>
      <c r="DL594" s="47">
        <f t="shared" si="404"/>
        <v>0</v>
      </c>
      <c r="DM594" s="56"/>
      <c r="DN594" s="46">
        <f t="shared" si="423"/>
        <v>0</v>
      </c>
      <c r="DO594" s="56"/>
      <c r="DP594" s="46">
        <f t="shared" si="425"/>
        <v>0</v>
      </c>
      <c r="DQ594" s="56" t="s">
        <v>100</v>
      </c>
      <c r="DR594" s="46">
        <f t="shared" si="406"/>
        <v>0</v>
      </c>
      <c r="DS594" s="56"/>
      <c r="DT594" s="46">
        <f t="shared" si="427"/>
        <v>0</v>
      </c>
      <c r="DU594" s="56"/>
      <c r="DV594" s="46">
        <f t="shared" si="393"/>
        <v>0</v>
      </c>
      <c r="DW594" s="56"/>
      <c r="DX594" s="47">
        <f t="shared" si="418"/>
        <v>0</v>
      </c>
      <c r="DY594" s="56"/>
      <c r="DZ594" s="56"/>
      <c r="EA594" s="56"/>
      <c r="EB594" s="56"/>
      <c r="EC594" s="56"/>
      <c r="ED594" s="56"/>
      <c r="EE594" s="47">
        <f t="shared" si="428"/>
        <v>0</v>
      </c>
      <c r="EF594" s="56"/>
      <c r="EG594" s="56"/>
      <c r="EH594" s="56"/>
      <c r="EI594" s="56"/>
      <c r="EJ594" s="56"/>
      <c r="EK594" s="47">
        <f t="shared" si="407"/>
        <v>0</v>
      </c>
      <c r="EL594" s="46">
        <f t="shared" si="408"/>
        <v>0</v>
      </c>
      <c r="EM594" s="56"/>
      <c r="EN594" s="61">
        <f t="shared" si="409"/>
        <v>0</v>
      </c>
    </row>
    <row r="595" spans="2:144" s="51" customFormat="1" ht="15" customHeight="1" x14ac:dyDescent="0.25">
      <c r="B595" s="41">
        <v>116</v>
      </c>
      <c r="C595" s="52"/>
      <c r="D595" s="53"/>
      <c r="E595" s="52"/>
      <c r="F595" s="52"/>
      <c r="G595" s="52"/>
      <c r="H595" s="52"/>
      <c r="I595" s="52"/>
      <c r="J595" s="52"/>
      <c r="K595" s="52"/>
      <c r="L595" s="52"/>
      <c r="M595" s="52"/>
      <c r="N595" s="54"/>
      <c r="O595" s="54"/>
      <c r="P595" s="52"/>
      <c r="Q595" s="55"/>
      <c r="R595" s="55"/>
      <c r="S595" s="55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47">
        <f t="shared" si="420"/>
        <v>0</v>
      </c>
      <c r="AO595" s="46">
        <f t="shared" si="421"/>
        <v>0</v>
      </c>
      <c r="AP595" s="56" t="s">
        <v>104</v>
      </c>
      <c r="AQ595" s="46">
        <f t="shared" si="429"/>
        <v>0</v>
      </c>
      <c r="AR595" s="56"/>
      <c r="AS595" s="56"/>
      <c r="AT595" s="56"/>
      <c r="AU595" s="60">
        <f t="shared" si="398"/>
        <v>0</v>
      </c>
      <c r="AV595" s="56"/>
      <c r="AW595" s="47">
        <f t="shared" si="424"/>
        <v>0</v>
      </c>
      <c r="AX595" s="56"/>
      <c r="AY595" s="56"/>
      <c r="AZ595" s="56"/>
      <c r="BA595" s="56"/>
      <c r="BB595" s="56"/>
      <c r="BC595" s="47">
        <f t="shared" si="399"/>
        <v>0</v>
      </c>
      <c r="BD595" s="56"/>
      <c r="BE595" s="47">
        <f t="shared" si="400"/>
        <v>0</v>
      </c>
      <c r="BF595" s="56"/>
      <c r="BG595" s="56"/>
      <c r="BH595" s="56"/>
      <c r="BI595" s="56"/>
      <c r="BJ595" s="56"/>
      <c r="BK595" s="47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56"/>
      <c r="CP595" s="57"/>
      <c r="CQ595" s="56"/>
      <c r="CR595" s="47">
        <f t="shared" si="401"/>
        <v>0</v>
      </c>
      <c r="CS595" s="56"/>
      <c r="CT595" s="56"/>
      <c r="CU595" s="56"/>
      <c r="CV595" s="56"/>
      <c r="CW595" s="47">
        <f t="shared" si="422"/>
        <v>0</v>
      </c>
      <c r="CX595" s="46"/>
      <c r="CY595" s="47">
        <f t="shared" si="402"/>
        <v>0</v>
      </c>
      <c r="CZ595" s="56"/>
      <c r="DA595" s="56"/>
      <c r="DB595" s="56"/>
      <c r="DC595" s="56"/>
      <c r="DD595" s="47"/>
      <c r="DE595" s="56"/>
      <c r="DF595" s="46"/>
      <c r="DG595" s="56"/>
      <c r="DH595" s="57">
        <f t="shared" si="403"/>
        <v>0</v>
      </c>
      <c r="DI595" s="56"/>
      <c r="DJ595" s="56"/>
      <c r="DK595" s="47">
        <f t="shared" si="410"/>
        <v>0</v>
      </c>
      <c r="DL595" s="47">
        <f t="shared" si="404"/>
        <v>0</v>
      </c>
      <c r="DM595" s="56"/>
      <c r="DN595" s="46">
        <f t="shared" si="423"/>
        <v>0</v>
      </c>
      <c r="DO595" s="56"/>
      <c r="DP595" s="46">
        <f t="shared" si="425"/>
        <v>0</v>
      </c>
      <c r="DQ595" s="56" t="s">
        <v>100</v>
      </c>
      <c r="DR595" s="46">
        <f t="shared" si="406"/>
        <v>0</v>
      </c>
      <c r="DS595" s="56"/>
      <c r="DT595" s="46">
        <f t="shared" si="427"/>
        <v>0</v>
      </c>
      <c r="DU595" s="56"/>
      <c r="DV595" s="46">
        <f t="shared" si="393"/>
        <v>0</v>
      </c>
      <c r="DW595" s="56"/>
      <c r="DX595" s="47">
        <f t="shared" si="418"/>
        <v>0</v>
      </c>
      <c r="DY595" s="56"/>
      <c r="DZ595" s="56"/>
      <c r="EA595" s="56"/>
      <c r="EB595" s="56"/>
      <c r="EC595" s="56"/>
      <c r="ED595" s="56"/>
      <c r="EE595" s="47">
        <f t="shared" si="428"/>
        <v>0</v>
      </c>
      <c r="EF595" s="56"/>
      <c r="EG595" s="56"/>
      <c r="EH595" s="56"/>
      <c r="EI595" s="56"/>
      <c r="EJ595" s="56"/>
      <c r="EK595" s="47">
        <f t="shared" si="407"/>
        <v>0</v>
      </c>
      <c r="EL595" s="46">
        <f t="shared" si="408"/>
        <v>0</v>
      </c>
      <c r="EM595" s="56"/>
      <c r="EN595" s="61">
        <f t="shared" si="409"/>
        <v>0</v>
      </c>
    </row>
    <row r="596" spans="2:144" s="51" customFormat="1" ht="15" customHeight="1" x14ac:dyDescent="0.25">
      <c r="B596" s="41">
        <v>117</v>
      </c>
      <c r="C596" s="52"/>
      <c r="D596" s="53"/>
      <c r="E596" s="52"/>
      <c r="F596" s="52"/>
      <c r="G596" s="52"/>
      <c r="H596" s="52"/>
      <c r="I596" s="52"/>
      <c r="J596" s="52"/>
      <c r="K596" s="52"/>
      <c r="L596" s="52"/>
      <c r="M596" s="52"/>
      <c r="N596" s="54"/>
      <c r="O596" s="54"/>
      <c r="P596" s="52"/>
      <c r="Q596" s="55"/>
      <c r="R596" s="55"/>
      <c r="S596" s="55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47">
        <f t="shared" si="420"/>
        <v>0</v>
      </c>
      <c r="AO596" s="46">
        <f t="shared" si="421"/>
        <v>0</v>
      </c>
      <c r="AP596" s="56" t="s">
        <v>135</v>
      </c>
      <c r="AQ596" s="46">
        <f t="shared" si="429"/>
        <v>0</v>
      </c>
      <c r="AR596" s="56"/>
      <c r="AS596" s="56"/>
      <c r="AT596" s="56"/>
      <c r="AU596" s="60">
        <f t="shared" si="398"/>
        <v>0</v>
      </c>
      <c r="AV596" s="56"/>
      <c r="AW596" s="47">
        <f t="shared" si="424"/>
        <v>0</v>
      </c>
      <c r="AX596" s="56"/>
      <c r="AY596" s="56"/>
      <c r="AZ596" s="56"/>
      <c r="BA596" s="56"/>
      <c r="BB596" s="56"/>
      <c r="BC596" s="47">
        <f t="shared" si="399"/>
        <v>0</v>
      </c>
      <c r="BD596" s="56"/>
      <c r="BE596" s="47">
        <f t="shared" si="400"/>
        <v>0</v>
      </c>
      <c r="BF596" s="56"/>
      <c r="BG596" s="56"/>
      <c r="BH596" s="56"/>
      <c r="BI596" s="56"/>
      <c r="BJ596" s="56"/>
      <c r="BK596" s="47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56"/>
      <c r="CP596" s="57"/>
      <c r="CQ596" s="56"/>
      <c r="CR596" s="47">
        <f t="shared" si="401"/>
        <v>0</v>
      </c>
      <c r="CS596" s="56"/>
      <c r="CT596" s="56"/>
      <c r="CU596" s="56"/>
      <c r="CV596" s="56"/>
      <c r="CW596" s="47">
        <f t="shared" si="422"/>
        <v>0</v>
      </c>
      <c r="CX596" s="46"/>
      <c r="CY596" s="47">
        <f t="shared" si="402"/>
        <v>0</v>
      </c>
      <c r="CZ596" s="56"/>
      <c r="DA596" s="56"/>
      <c r="DB596" s="56"/>
      <c r="DC596" s="56"/>
      <c r="DD596" s="47"/>
      <c r="DE596" s="56"/>
      <c r="DF596" s="46"/>
      <c r="DG596" s="56"/>
      <c r="DH596" s="57">
        <f t="shared" si="403"/>
        <v>0</v>
      </c>
      <c r="DI596" s="56"/>
      <c r="DJ596" s="56"/>
      <c r="DK596" s="47">
        <f t="shared" si="410"/>
        <v>0</v>
      </c>
      <c r="DL596" s="47">
        <f t="shared" si="404"/>
        <v>0</v>
      </c>
      <c r="DM596" s="56"/>
      <c r="DN596" s="46">
        <f t="shared" si="423"/>
        <v>0</v>
      </c>
      <c r="DO596" s="56"/>
      <c r="DP596" s="46">
        <f t="shared" si="425"/>
        <v>0</v>
      </c>
      <c r="DQ596" s="56" t="s">
        <v>100</v>
      </c>
      <c r="DR596" s="46">
        <f t="shared" si="406"/>
        <v>0</v>
      </c>
      <c r="DS596" s="56"/>
      <c r="DT596" s="46">
        <f t="shared" si="427"/>
        <v>0</v>
      </c>
      <c r="DU596" s="56"/>
      <c r="DV596" s="46">
        <f t="shared" si="393"/>
        <v>0</v>
      </c>
      <c r="DW596" s="56"/>
      <c r="DX596" s="47">
        <f t="shared" si="418"/>
        <v>0</v>
      </c>
      <c r="DY596" s="56"/>
      <c r="DZ596" s="56"/>
      <c r="EA596" s="56"/>
      <c r="EB596" s="56"/>
      <c r="EC596" s="56"/>
      <c r="ED596" s="56"/>
      <c r="EE596" s="47">
        <f t="shared" si="428"/>
        <v>0</v>
      </c>
      <c r="EF596" s="56"/>
      <c r="EG596" s="56"/>
      <c r="EH596" s="56"/>
      <c r="EI596" s="56"/>
      <c r="EJ596" s="56"/>
      <c r="EK596" s="47">
        <f t="shared" si="407"/>
        <v>0</v>
      </c>
      <c r="EL596" s="46">
        <f t="shared" si="408"/>
        <v>0</v>
      </c>
      <c r="EM596" s="56"/>
      <c r="EN596" s="61">
        <f t="shared" si="409"/>
        <v>0</v>
      </c>
    </row>
    <row r="597" spans="2:144" s="51" customFormat="1" ht="15" customHeight="1" x14ac:dyDescent="0.25">
      <c r="B597" s="41">
        <v>118</v>
      </c>
      <c r="C597" s="52"/>
      <c r="D597" s="53"/>
      <c r="E597" s="52"/>
      <c r="F597" s="52"/>
      <c r="G597" s="52"/>
      <c r="H597" s="52"/>
      <c r="I597" s="52"/>
      <c r="J597" s="52"/>
      <c r="K597" s="52"/>
      <c r="L597" s="52"/>
      <c r="M597" s="52"/>
      <c r="N597" s="54"/>
      <c r="O597" s="54"/>
      <c r="P597" s="52"/>
      <c r="Q597" s="55"/>
      <c r="R597" s="55"/>
      <c r="S597" s="55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47">
        <f t="shared" si="420"/>
        <v>0</v>
      </c>
      <c r="AO597" s="46">
        <f t="shared" si="421"/>
        <v>0</v>
      </c>
      <c r="AP597" s="56" t="s">
        <v>139</v>
      </c>
      <c r="AQ597" s="46">
        <f t="shared" si="429"/>
        <v>0</v>
      </c>
      <c r="AR597" s="56"/>
      <c r="AS597" s="56"/>
      <c r="AT597" s="56"/>
      <c r="AU597" s="60">
        <f t="shared" si="398"/>
        <v>0</v>
      </c>
      <c r="AV597" s="56"/>
      <c r="AW597" s="47">
        <f t="shared" si="424"/>
        <v>0</v>
      </c>
      <c r="AX597" s="56"/>
      <c r="AY597" s="56"/>
      <c r="AZ597" s="56"/>
      <c r="BA597" s="56"/>
      <c r="BB597" s="56"/>
      <c r="BC597" s="47">
        <f t="shared" si="399"/>
        <v>0</v>
      </c>
      <c r="BD597" s="56"/>
      <c r="BE597" s="47">
        <f t="shared" si="400"/>
        <v>0</v>
      </c>
      <c r="BF597" s="56"/>
      <c r="BG597" s="56"/>
      <c r="BH597" s="56"/>
      <c r="BI597" s="56"/>
      <c r="BJ597" s="56"/>
      <c r="BK597" s="47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  <c r="CL597" s="56"/>
      <c r="CM597" s="56"/>
      <c r="CN597" s="56"/>
      <c r="CO597" s="56"/>
      <c r="CP597" s="57"/>
      <c r="CQ597" s="56"/>
      <c r="CR597" s="47">
        <f t="shared" si="401"/>
        <v>0</v>
      </c>
      <c r="CS597" s="56"/>
      <c r="CT597" s="56"/>
      <c r="CU597" s="56"/>
      <c r="CV597" s="56"/>
      <c r="CW597" s="47">
        <f t="shared" si="422"/>
        <v>0</v>
      </c>
      <c r="CX597" s="46"/>
      <c r="CY597" s="47">
        <f t="shared" si="402"/>
        <v>0</v>
      </c>
      <c r="CZ597" s="56"/>
      <c r="DA597" s="56"/>
      <c r="DB597" s="56"/>
      <c r="DC597" s="56"/>
      <c r="DD597" s="47"/>
      <c r="DE597" s="56"/>
      <c r="DF597" s="46"/>
      <c r="DG597" s="56"/>
      <c r="DH597" s="57">
        <f t="shared" si="403"/>
        <v>0</v>
      </c>
      <c r="DI597" s="56"/>
      <c r="DJ597" s="56"/>
      <c r="DK597" s="47">
        <f t="shared" si="410"/>
        <v>0</v>
      </c>
      <c r="DL597" s="47">
        <f t="shared" si="404"/>
        <v>0</v>
      </c>
      <c r="DM597" s="56"/>
      <c r="DN597" s="46">
        <f t="shared" si="423"/>
        <v>0</v>
      </c>
      <c r="DO597" s="56"/>
      <c r="DP597" s="46">
        <f t="shared" si="425"/>
        <v>0</v>
      </c>
      <c r="DQ597" s="56" t="s">
        <v>100</v>
      </c>
      <c r="DR597" s="46">
        <f t="shared" si="406"/>
        <v>0</v>
      </c>
      <c r="DS597" s="56"/>
      <c r="DT597" s="46">
        <f t="shared" si="427"/>
        <v>0</v>
      </c>
      <c r="DU597" s="56"/>
      <c r="DV597" s="46">
        <f t="shared" si="393"/>
        <v>0</v>
      </c>
      <c r="DW597" s="56"/>
      <c r="DX597" s="47">
        <f t="shared" si="418"/>
        <v>0</v>
      </c>
      <c r="DY597" s="56"/>
      <c r="DZ597" s="56"/>
      <c r="EA597" s="56"/>
      <c r="EB597" s="56"/>
      <c r="EC597" s="56"/>
      <c r="ED597" s="56"/>
      <c r="EE597" s="47">
        <f t="shared" si="428"/>
        <v>0</v>
      </c>
      <c r="EF597" s="56"/>
      <c r="EG597" s="56"/>
      <c r="EH597" s="56"/>
      <c r="EI597" s="56"/>
      <c r="EJ597" s="56"/>
      <c r="EK597" s="47">
        <f t="shared" si="407"/>
        <v>0</v>
      </c>
      <c r="EL597" s="46">
        <f t="shared" si="408"/>
        <v>0</v>
      </c>
      <c r="EM597" s="56"/>
      <c r="EN597" s="61">
        <f t="shared" si="409"/>
        <v>0</v>
      </c>
    </row>
    <row r="598" spans="2:144" s="51" customFormat="1" ht="15" customHeight="1" x14ac:dyDescent="0.25">
      <c r="B598" s="41">
        <v>119</v>
      </c>
      <c r="C598" s="52"/>
      <c r="D598" s="53"/>
      <c r="E598" s="52"/>
      <c r="F598" s="52"/>
      <c r="G598" s="52"/>
      <c r="H598" s="52"/>
      <c r="I598" s="52"/>
      <c r="J598" s="52"/>
      <c r="K598" s="52"/>
      <c r="L598" s="52"/>
      <c r="M598" s="52"/>
      <c r="N598" s="54"/>
      <c r="O598" s="54"/>
      <c r="P598" s="52"/>
      <c r="Q598" s="55"/>
      <c r="R598" s="55"/>
      <c r="S598" s="55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47">
        <f t="shared" si="420"/>
        <v>0</v>
      </c>
      <c r="AO598" s="46">
        <f t="shared" si="421"/>
        <v>0</v>
      </c>
      <c r="AP598" s="56" t="s">
        <v>135</v>
      </c>
      <c r="AQ598" s="46">
        <f t="shared" si="429"/>
        <v>0</v>
      </c>
      <c r="AR598" s="56"/>
      <c r="AS598" s="56"/>
      <c r="AT598" s="56"/>
      <c r="AU598" s="60">
        <f t="shared" si="398"/>
        <v>0</v>
      </c>
      <c r="AV598" s="56"/>
      <c r="AW598" s="47">
        <f t="shared" si="424"/>
        <v>0</v>
      </c>
      <c r="AX598" s="56"/>
      <c r="AY598" s="56"/>
      <c r="AZ598" s="56"/>
      <c r="BA598" s="56"/>
      <c r="BB598" s="56"/>
      <c r="BC598" s="47">
        <f t="shared" si="399"/>
        <v>0</v>
      </c>
      <c r="BD598" s="56"/>
      <c r="BE598" s="47">
        <f t="shared" si="400"/>
        <v>0</v>
      </c>
      <c r="BF598" s="56"/>
      <c r="BG598" s="56"/>
      <c r="BH598" s="56"/>
      <c r="BI598" s="56"/>
      <c r="BJ598" s="56"/>
      <c r="BK598" s="47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  <c r="CL598" s="56"/>
      <c r="CM598" s="56"/>
      <c r="CN598" s="56"/>
      <c r="CO598" s="56"/>
      <c r="CP598" s="57"/>
      <c r="CQ598" s="56"/>
      <c r="CR598" s="47">
        <f t="shared" si="401"/>
        <v>0</v>
      </c>
      <c r="CS598" s="56"/>
      <c r="CT598" s="56"/>
      <c r="CU598" s="56"/>
      <c r="CV598" s="56"/>
      <c r="CW598" s="47">
        <f t="shared" si="422"/>
        <v>0</v>
      </c>
      <c r="CX598" s="46"/>
      <c r="CY598" s="47">
        <f t="shared" si="402"/>
        <v>0</v>
      </c>
      <c r="CZ598" s="56"/>
      <c r="DA598" s="56"/>
      <c r="DB598" s="56"/>
      <c r="DC598" s="56"/>
      <c r="DD598" s="47"/>
      <c r="DE598" s="56"/>
      <c r="DF598" s="46"/>
      <c r="DG598" s="56"/>
      <c r="DH598" s="57">
        <f t="shared" si="403"/>
        <v>0</v>
      </c>
      <c r="DI598" s="56"/>
      <c r="DJ598" s="56"/>
      <c r="DK598" s="47">
        <f t="shared" si="410"/>
        <v>0</v>
      </c>
      <c r="DL598" s="47">
        <f t="shared" si="404"/>
        <v>0</v>
      </c>
      <c r="DM598" s="56"/>
      <c r="DN598" s="46">
        <f t="shared" si="423"/>
        <v>0</v>
      </c>
      <c r="DO598" s="56"/>
      <c r="DP598" s="46">
        <f t="shared" si="425"/>
        <v>0</v>
      </c>
      <c r="DQ598" s="56" t="s">
        <v>99</v>
      </c>
      <c r="DR598" s="46">
        <f t="shared" si="406"/>
        <v>0</v>
      </c>
      <c r="DS598" s="56"/>
      <c r="DT598" s="46">
        <f t="shared" si="427"/>
        <v>0</v>
      </c>
      <c r="DU598" s="56"/>
      <c r="DV598" s="46">
        <f t="shared" si="393"/>
        <v>0</v>
      </c>
      <c r="DW598" s="56"/>
      <c r="DX598" s="47">
        <f t="shared" si="418"/>
        <v>0</v>
      </c>
      <c r="DY598" s="56"/>
      <c r="DZ598" s="56"/>
      <c r="EA598" s="56"/>
      <c r="EB598" s="56"/>
      <c r="EC598" s="56"/>
      <c r="ED598" s="56"/>
      <c r="EE598" s="47">
        <f t="shared" si="428"/>
        <v>0</v>
      </c>
      <c r="EF598" s="56"/>
      <c r="EG598" s="56"/>
      <c r="EH598" s="56"/>
      <c r="EI598" s="56"/>
      <c r="EJ598" s="56"/>
      <c r="EK598" s="47">
        <f t="shared" si="407"/>
        <v>0</v>
      </c>
      <c r="EL598" s="46">
        <f t="shared" si="408"/>
        <v>0</v>
      </c>
      <c r="EM598" s="56"/>
      <c r="EN598" s="61">
        <f t="shared" si="409"/>
        <v>0</v>
      </c>
    </row>
    <row r="599" spans="2:144" s="51" customFormat="1" ht="15" customHeight="1" x14ac:dyDescent="0.25">
      <c r="B599" s="41">
        <v>120</v>
      </c>
      <c r="C599" s="52"/>
      <c r="D599" s="53"/>
      <c r="E599" s="52"/>
      <c r="F599" s="52"/>
      <c r="G599" s="52"/>
      <c r="H599" s="52"/>
      <c r="I599" s="52"/>
      <c r="J599" s="52"/>
      <c r="K599" s="52"/>
      <c r="L599" s="52"/>
      <c r="M599" s="52"/>
      <c r="N599" s="54"/>
      <c r="O599" s="54"/>
      <c r="P599" s="52"/>
      <c r="Q599" s="55"/>
      <c r="R599" s="55"/>
      <c r="S599" s="55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47">
        <f t="shared" si="420"/>
        <v>0</v>
      </c>
      <c r="AO599" s="46">
        <f t="shared" si="421"/>
        <v>0</v>
      </c>
      <c r="AP599" s="56" t="s">
        <v>135</v>
      </c>
      <c r="AQ599" s="46">
        <f t="shared" si="429"/>
        <v>0</v>
      </c>
      <c r="AR599" s="56"/>
      <c r="AS599" s="56"/>
      <c r="AT599" s="56"/>
      <c r="AU599" s="60">
        <f t="shared" si="398"/>
        <v>0</v>
      </c>
      <c r="AV599" s="56"/>
      <c r="AW599" s="47">
        <f t="shared" si="424"/>
        <v>0</v>
      </c>
      <c r="AX599" s="56"/>
      <c r="AY599" s="56"/>
      <c r="AZ599" s="56"/>
      <c r="BA599" s="56"/>
      <c r="BB599" s="56"/>
      <c r="BC599" s="47">
        <f t="shared" si="399"/>
        <v>0</v>
      </c>
      <c r="BD599" s="56"/>
      <c r="BE599" s="47">
        <f t="shared" si="400"/>
        <v>0</v>
      </c>
      <c r="BF599" s="56"/>
      <c r="BG599" s="56"/>
      <c r="BH599" s="56"/>
      <c r="BI599" s="56"/>
      <c r="BJ599" s="56"/>
      <c r="BK599" s="47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  <c r="CL599" s="56"/>
      <c r="CM599" s="56"/>
      <c r="CN599" s="56"/>
      <c r="CO599" s="56"/>
      <c r="CP599" s="57"/>
      <c r="CQ599" s="56"/>
      <c r="CR599" s="47">
        <f t="shared" si="401"/>
        <v>0</v>
      </c>
      <c r="CS599" s="56"/>
      <c r="CT599" s="56"/>
      <c r="CU599" s="56"/>
      <c r="CV599" s="56"/>
      <c r="CW599" s="47">
        <f t="shared" si="422"/>
        <v>0</v>
      </c>
      <c r="CX599" s="46"/>
      <c r="CY599" s="47">
        <f t="shared" si="402"/>
        <v>0</v>
      </c>
      <c r="CZ599" s="56"/>
      <c r="DA599" s="56"/>
      <c r="DB599" s="56"/>
      <c r="DC599" s="56"/>
      <c r="DD599" s="47"/>
      <c r="DE599" s="56"/>
      <c r="DF599" s="46"/>
      <c r="DG599" s="56"/>
      <c r="DH599" s="57">
        <f t="shared" si="403"/>
        <v>0</v>
      </c>
      <c r="DI599" s="56"/>
      <c r="DJ599" s="56"/>
      <c r="DK599" s="47">
        <f t="shared" si="410"/>
        <v>0</v>
      </c>
      <c r="DL599" s="47">
        <f t="shared" si="404"/>
        <v>0</v>
      </c>
      <c r="DM599" s="56"/>
      <c r="DN599" s="46">
        <f t="shared" si="423"/>
        <v>0</v>
      </c>
      <c r="DO599" s="56"/>
      <c r="DP599" s="46">
        <f t="shared" si="425"/>
        <v>0</v>
      </c>
      <c r="DQ599" s="56" t="s">
        <v>99</v>
      </c>
      <c r="DR599" s="46">
        <f t="shared" si="406"/>
        <v>0</v>
      </c>
      <c r="DS599" s="56"/>
      <c r="DT599" s="46">
        <f t="shared" si="427"/>
        <v>0</v>
      </c>
      <c r="DU599" s="56"/>
      <c r="DV599" s="46">
        <f t="shared" ref="DV599:DV623" si="430">DT599/2</f>
        <v>0</v>
      </c>
      <c r="DW599" s="56"/>
      <c r="DX599" s="47">
        <f t="shared" si="418"/>
        <v>0</v>
      </c>
      <c r="DY599" s="56"/>
      <c r="DZ599" s="56"/>
      <c r="EA599" s="56"/>
      <c r="EB599" s="56"/>
      <c r="EC599" s="56"/>
      <c r="ED599" s="56"/>
      <c r="EE599" s="47">
        <f t="shared" si="428"/>
        <v>0</v>
      </c>
      <c r="EF599" s="56"/>
      <c r="EG599" s="56"/>
      <c r="EH599" s="56"/>
      <c r="EI599" s="56"/>
      <c r="EJ599" s="56"/>
      <c r="EK599" s="47">
        <f t="shared" si="407"/>
        <v>0</v>
      </c>
      <c r="EL599" s="46">
        <f t="shared" si="408"/>
        <v>0</v>
      </c>
      <c r="EM599" s="56"/>
      <c r="EN599" s="61">
        <f t="shared" si="409"/>
        <v>0</v>
      </c>
    </row>
    <row r="600" spans="2:144" s="51" customFormat="1" ht="15" customHeight="1" x14ac:dyDescent="0.25">
      <c r="B600" s="41">
        <v>121</v>
      </c>
      <c r="C600" s="52"/>
      <c r="D600" s="53"/>
      <c r="E600" s="52"/>
      <c r="F600" s="52"/>
      <c r="G600" s="52"/>
      <c r="H600" s="52"/>
      <c r="I600" s="52"/>
      <c r="J600" s="52"/>
      <c r="K600" s="52"/>
      <c r="L600" s="52"/>
      <c r="M600" s="52"/>
      <c r="N600" s="54"/>
      <c r="O600" s="54"/>
      <c r="P600" s="52"/>
      <c r="Q600" s="55"/>
      <c r="R600" s="55"/>
      <c r="S600" s="55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47">
        <f t="shared" si="420"/>
        <v>0</v>
      </c>
      <c r="AO600" s="46">
        <f t="shared" si="421"/>
        <v>0</v>
      </c>
      <c r="AP600" s="56" t="s">
        <v>135</v>
      </c>
      <c r="AQ600" s="46">
        <f t="shared" si="429"/>
        <v>0</v>
      </c>
      <c r="AR600" s="56"/>
      <c r="AS600" s="56"/>
      <c r="AT600" s="56"/>
      <c r="AU600" s="60">
        <f t="shared" si="398"/>
        <v>0</v>
      </c>
      <c r="AV600" s="56"/>
      <c r="AW600" s="47">
        <f t="shared" si="424"/>
        <v>0</v>
      </c>
      <c r="AX600" s="56"/>
      <c r="AY600" s="56"/>
      <c r="AZ600" s="56"/>
      <c r="BA600" s="56"/>
      <c r="BB600" s="56"/>
      <c r="BC600" s="47">
        <f t="shared" si="399"/>
        <v>0</v>
      </c>
      <c r="BD600" s="56"/>
      <c r="BE600" s="47">
        <f t="shared" si="400"/>
        <v>0</v>
      </c>
      <c r="BF600" s="56"/>
      <c r="BG600" s="56"/>
      <c r="BH600" s="56"/>
      <c r="BI600" s="56"/>
      <c r="BJ600" s="56"/>
      <c r="BK600" s="47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56"/>
      <c r="CP600" s="57"/>
      <c r="CQ600" s="56"/>
      <c r="CR600" s="47">
        <f t="shared" si="401"/>
        <v>0</v>
      </c>
      <c r="CS600" s="56"/>
      <c r="CT600" s="56"/>
      <c r="CU600" s="56"/>
      <c r="CV600" s="56"/>
      <c r="CW600" s="47">
        <f t="shared" si="422"/>
        <v>0</v>
      </c>
      <c r="CX600" s="46"/>
      <c r="CY600" s="47">
        <f t="shared" si="402"/>
        <v>0</v>
      </c>
      <c r="CZ600" s="56"/>
      <c r="DA600" s="56"/>
      <c r="DB600" s="56"/>
      <c r="DC600" s="56"/>
      <c r="DD600" s="47"/>
      <c r="DE600" s="56"/>
      <c r="DF600" s="46"/>
      <c r="DG600" s="56"/>
      <c r="DH600" s="57">
        <f t="shared" si="403"/>
        <v>0</v>
      </c>
      <c r="DI600" s="56"/>
      <c r="DJ600" s="56"/>
      <c r="DK600" s="47">
        <f t="shared" si="410"/>
        <v>0</v>
      </c>
      <c r="DL600" s="47">
        <f t="shared" si="404"/>
        <v>0</v>
      </c>
      <c r="DM600" s="56"/>
      <c r="DN600" s="46">
        <f t="shared" si="423"/>
        <v>0</v>
      </c>
      <c r="DO600" s="56"/>
      <c r="DP600" s="46">
        <f t="shared" si="425"/>
        <v>0</v>
      </c>
      <c r="DQ600" s="56" t="s">
        <v>99</v>
      </c>
      <c r="DR600" s="46">
        <f t="shared" si="406"/>
        <v>0</v>
      </c>
      <c r="DS600" s="56"/>
      <c r="DT600" s="46">
        <f t="shared" si="427"/>
        <v>0</v>
      </c>
      <c r="DU600" s="56"/>
      <c r="DV600" s="46">
        <f t="shared" si="430"/>
        <v>0</v>
      </c>
      <c r="DW600" s="56"/>
      <c r="DX600" s="47">
        <f t="shared" si="418"/>
        <v>0</v>
      </c>
      <c r="DY600" s="56"/>
      <c r="DZ600" s="56"/>
      <c r="EA600" s="56"/>
      <c r="EB600" s="56"/>
      <c r="EC600" s="56"/>
      <c r="ED600" s="56"/>
      <c r="EE600" s="47">
        <f t="shared" si="428"/>
        <v>0</v>
      </c>
      <c r="EF600" s="56"/>
      <c r="EG600" s="56"/>
      <c r="EH600" s="56"/>
      <c r="EI600" s="56"/>
      <c r="EJ600" s="56"/>
      <c r="EK600" s="47">
        <f t="shared" si="407"/>
        <v>0</v>
      </c>
      <c r="EL600" s="46">
        <f t="shared" si="408"/>
        <v>0</v>
      </c>
      <c r="EM600" s="56"/>
      <c r="EN600" s="61">
        <f t="shared" si="409"/>
        <v>0</v>
      </c>
    </row>
    <row r="601" spans="2:144" s="51" customFormat="1" ht="15" customHeight="1" x14ac:dyDescent="0.25">
      <c r="B601" s="41">
        <v>122</v>
      </c>
      <c r="C601" s="52"/>
      <c r="D601" s="53"/>
      <c r="E601" s="52"/>
      <c r="F601" s="52"/>
      <c r="G601" s="52"/>
      <c r="H601" s="52"/>
      <c r="I601" s="52"/>
      <c r="J601" s="52"/>
      <c r="K601" s="52"/>
      <c r="L601" s="52"/>
      <c r="M601" s="52"/>
      <c r="N601" s="54"/>
      <c r="O601" s="54"/>
      <c r="P601" s="52"/>
      <c r="Q601" s="55"/>
      <c r="R601" s="55"/>
      <c r="S601" s="55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47">
        <f t="shared" si="420"/>
        <v>0</v>
      </c>
      <c r="AO601" s="46">
        <f t="shared" si="421"/>
        <v>0</v>
      </c>
      <c r="AP601" s="56" t="s">
        <v>104</v>
      </c>
      <c r="AQ601" s="46">
        <f t="shared" si="429"/>
        <v>0</v>
      </c>
      <c r="AR601" s="56"/>
      <c r="AS601" s="56"/>
      <c r="AT601" s="56"/>
      <c r="AU601" s="60">
        <f t="shared" si="398"/>
        <v>0</v>
      </c>
      <c r="AV601" s="56"/>
      <c r="AW601" s="47">
        <f t="shared" si="424"/>
        <v>0</v>
      </c>
      <c r="AX601" s="56"/>
      <c r="AY601" s="56"/>
      <c r="AZ601" s="56"/>
      <c r="BA601" s="56"/>
      <c r="BB601" s="56"/>
      <c r="BC601" s="47">
        <f t="shared" si="399"/>
        <v>0</v>
      </c>
      <c r="BD601" s="56"/>
      <c r="BE601" s="47">
        <f t="shared" si="400"/>
        <v>0</v>
      </c>
      <c r="BF601" s="56"/>
      <c r="BG601" s="56"/>
      <c r="BH601" s="56"/>
      <c r="BI601" s="56"/>
      <c r="BJ601" s="56"/>
      <c r="BK601" s="47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56"/>
      <c r="CP601" s="57"/>
      <c r="CQ601" s="56"/>
      <c r="CR601" s="47">
        <f t="shared" si="401"/>
        <v>0</v>
      </c>
      <c r="CS601" s="56"/>
      <c r="CT601" s="56"/>
      <c r="CU601" s="56"/>
      <c r="CV601" s="56"/>
      <c r="CW601" s="47">
        <f t="shared" si="422"/>
        <v>0</v>
      </c>
      <c r="CX601" s="46"/>
      <c r="CY601" s="47">
        <f t="shared" si="402"/>
        <v>0</v>
      </c>
      <c r="CZ601" s="56"/>
      <c r="DA601" s="56"/>
      <c r="DB601" s="56"/>
      <c r="DC601" s="56"/>
      <c r="DD601" s="47"/>
      <c r="DE601" s="56"/>
      <c r="DF601" s="46"/>
      <c r="DG601" s="56"/>
      <c r="DH601" s="57">
        <f t="shared" si="403"/>
        <v>0</v>
      </c>
      <c r="DI601" s="56"/>
      <c r="DJ601" s="56"/>
      <c r="DK601" s="47">
        <f t="shared" si="410"/>
        <v>0</v>
      </c>
      <c r="DL601" s="47">
        <f t="shared" si="404"/>
        <v>0</v>
      </c>
      <c r="DM601" s="56"/>
      <c r="DN601" s="46">
        <f t="shared" si="423"/>
        <v>0</v>
      </c>
      <c r="DO601" s="56"/>
      <c r="DP601" s="46">
        <f t="shared" si="425"/>
        <v>0</v>
      </c>
      <c r="DQ601" s="56" t="s">
        <v>100</v>
      </c>
      <c r="DR601" s="46">
        <f t="shared" si="406"/>
        <v>0</v>
      </c>
      <c r="DS601" s="56"/>
      <c r="DT601" s="46">
        <f t="shared" si="427"/>
        <v>0</v>
      </c>
      <c r="DU601" s="56"/>
      <c r="DV601" s="46">
        <f t="shared" si="430"/>
        <v>0</v>
      </c>
      <c r="DW601" s="56"/>
      <c r="DX601" s="47">
        <f t="shared" si="418"/>
        <v>0</v>
      </c>
      <c r="DY601" s="56"/>
      <c r="DZ601" s="56"/>
      <c r="EA601" s="56"/>
      <c r="EB601" s="56"/>
      <c r="EC601" s="56"/>
      <c r="ED601" s="56"/>
      <c r="EE601" s="47">
        <f t="shared" si="428"/>
        <v>0</v>
      </c>
      <c r="EF601" s="56"/>
      <c r="EG601" s="56"/>
      <c r="EH601" s="56"/>
      <c r="EI601" s="56"/>
      <c r="EJ601" s="56"/>
      <c r="EK601" s="47">
        <f t="shared" si="407"/>
        <v>0</v>
      </c>
      <c r="EL601" s="46">
        <f t="shared" si="408"/>
        <v>0</v>
      </c>
      <c r="EM601" s="56"/>
      <c r="EN601" s="61">
        <f t="shared" si="409"/>
        <v>0</v>
      </c>
    </row>
    <row r="602" spans="2:144" s="51" customFormat="1" ht="15" customHeight="1" x14ac:dyDescent="0.25">
      <c r="B602" s="41">
        <v>123</v>
      </c>
      <c r="C602" s="52"/>
      <c r="D602" s="53"/>
      <c r="E602" s="52"/>
      <c r="F602" s="52"/>
      <c r="G602" s="52"/>
      <c r="H602" s="52"/>
      <c r="I602" s="52"/>
      <c r="J602" s="52"/>
      <c r="K602" s="52"/>
      <c r="L602" s="52"/>
      <c r="M602" s="52"/>
      <c r="N602" s="54"/>
      <c r="O602" s="54"/>
      <c r="P602" s="52"/>
      <c r="Q602" s="55"/>
      <c r="R602" s="55"/>
      <c r="S602" s="55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47">
        <f t="shared" si="420"/>
        <v>0</v>
      </c>
      <c r="AO602" s="46">
        <f t="shared" si="421"/>
        <v>0</v>
      </c>
      <c r="AP602" s="56" t="s">
        <v>135</v>
      </c>
      <c r="AQ602" s="46">
        <f t="shared" si="429"/>
        <v>0</v>
      </c>
      <c r="AR602" s="56"/>
      <c r="AS602" s="56"/>
      <c r="AT602" s="56"/>
      <c r="AU602" s="60">
        <f t="shared" si="398"/>
        <v>0</v>
      </c>
      <c r="AV602" s="56"/>
      <c r="AW602" s="47">
        <f t="shared" si="424"/>
        <v>0</v>
      </c>
      <c r="AX602" s="56"/>
      <c r="AY602" s="56"/>
      <c r="AZ602" s="56"/>
      <c r="BA602" s="56"/>
      <c r="BB602" s="56"/>
      <c r="BC602" s="47"/>
      <c r="BD602" s="56"/>
      <c r="BE602" s="47"/>
      <c r="BF602" s="56"/>
      <c r="BG602" s="56"/>
      <c r="BH602" s="56"/>
      <c r="BI602" s="56"/>
      <c r="BJ602" s="56"/>
      <c r="BK602" s="47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  <c r="CL602" s="56"/>
      <c r="CM602" s="56"/>
      <c r="CN602" s="56"/>
      <c r="CO602" s="56"/>
      <c r="CP602" s="57"/>
      <c r="CQ602" s="56"/>
      <c r="CR602" s="47">
        <f t="shared" si="401"/>
        <v>0</v>
      </c>
      <c r="CS602" s="56"/>
      <c r="CT602" s="56"/>
      <c r="CU602" s="56"/>
      <c r="CV602" s="56"/>
      <c r="CW602" s="47">
        <f t="shared" si="422"/>
        <v>0</v>
      </c>
      <c r="CX602" s="46"/>
      <c r="CY602" s="47">
        <f t="shared" si="402"/>
        <v>0</v>
      </c>
      <c r="CZ602" s="56"/>
      <c r="DA602" s="56"/>
      <c r="DB602" s="56"/>
      <c r="DC602" s="56"/>
      <c r="DD602" s="47"/>
      <c r="DE602" s="56"/>
      <c r="DF602" s="46"/>
      <c r="DG602" s="56"/>
      <c r="DH602" s="57">
        <f t="shared" si="403"/>
        <v>0</v>
      </c>
      <c r="DI602" s="56"/>
      <c r="DJ602" s="56"/>
      <c r="DK602" s="47">
        <f t="shared" si="410"/>
        <v>0</v>
      </c>
      <c r="DL602" s="47">
        <f t="shared" si="404"/>
        <v>0</v>
      </c>
      <c r="DM602" s="56"/>
      <c r="DN602" s="46">
        <f t="shared" si="423"/>
        <v>0</v>
      </c>
      <c r="DO602" s="56"/>
      <c r="DP602" s="46">
        <f t="shared" si="425"/>
        <v>0</v>
      </c>
      <c r="DQ602" s="56" t="s">
        <v>99</v>
      </c>
      <c r="DR602" s="46">
        <f t="shared" si="406"/>
        <v>0</v>
      </c>
      <c r="DS602" s="56"/>
      <c r="DT602" s="46">
        <f t="shared" si="427"/>
        <v>0</v>
      </c>
      <c r="DU602" s="56"/>
      <c r="DV602" s="46">
        <f t="shared" si="430"/>
        <v>0</v>
      </c>
      <c r="DW602" s="56"/>
      <c r="DX602" s="47">
        <f t="shared" si="418"/>
        <v>0</v>
      </c>
      <c r="DY602" s="56"/>
      <c r="DZ602" s="56"/>
      <c r="EA602" s="56"/>
      <c r="EB602" s="56"/>
      <c r="EC602" s="56"/>
      <c r="ED602" s="56"/>
      <c r="EE602" s="47">
        <f t="shared" si="428"/>
        <v>0</v>
      </c>
      <c r="EF602" s="56"/>
      <c r="EG602" s="56"/>
      <c r="EH602" s="56"/>
      <c r="EI602" s="56"/>
      <c r="EJ602" s="56"/>
      <c r="EK602" s="47">
        <f t="shared" si="407"/>
        <v>0</v>
      </c>
      <c r="EL602" s="46">
        <f t="shared" si="408"/>
        <v>0</v>
      </c>
      <c r="EM602" s="56"/>
      <c r="EN602" s="61">
        <f t="shared" si="409"/>
        <v>0</v>
      </c>
    </row>
    <row r="603" spans="2:144" s="51" customFormat="1" ht="15" customHeight="1" x14ac:dyDescent="0.25">
      <c r="B603" s="41">
        <v>124</v>
      </c>
      <c r="C603" s="52"/>
      <c r="D603" s="53"/>
      <c r="E603" s="52"/>
      <c r="F603" s="52"/>
      <c r="G603" s="52"/>
      <c r="H603" s="52"/>
      <c r="I603" s="52"/>
      <c r="J603" s="52"/>
      <c r="K603" s="52"/>
      <c r="L603" s="52"/>
      <c r="M603" s="52"/>
      <c r="N603" s="54"/>
      <c r="O603" s="54"/>
      <c r="P603" s="52"/>
      <c r="Q603" s="55"/>
      <c r="R603" s="55"/>
      <c r="S603" s="55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47">
        <f t="shared" si="420"/>
        <v>0</v>
      </c>
      <c r="AO603" s="46">
        <f t="shared" si="421"/>
        <v>0</v>
      </c>
      <c r="AP603" s="56" t="s">
        <v>135</v>
      </c>
      <c r="AQ603" s="46">
        <f t="shared" si="429"/>
        <v>0</v>
      </c>
      <c r="AR603" s="56"/>
      <c r="AS603" s="56"/>
      <c r="AT603" s="56"/>
      <c r="AU603" s="60">
        <f t="shared" si="398"/>
        <v>0</v>
      </c>
      <c r="AV603" s="56"/>
      <c r="AW603" s="47">
        <f t="shared" si="424"/>
        <v>0</v>
      </c>
      <c r="AX603" s="56"/>
      <c r="AY603" s="56"/>
      <c r="AZ603" s="56"/>
      <c r="BA603" s="56"/>
      <c r="BB603" s="56"/>
      <c r="BC603" s="47"/>
      <c r="BD603" s="56"/>
      <c r="BE603" s="47"/>
      <c r="BF603" s="56"/>
      <c r="BG603" s="56"/>
      <c r="BH603" s="56"/>
      <c r="BI603" s="56"/>
      <c r="BJ603" s="56"/>
      <c r="BK603" s="47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  <c r="CL603" s="56"/>
      <c r="CM603" s="56"/>
      <c r="CN603" s="56"/>
      <c r="CO603" s="56"/>
      <c r="CP603" s="57"/>
      <c r="CQ603" s="56"/>
      <c r="CR603" s="47">
        <f t="shared" si="401"/>
        <v>0</v>
      </c>
      <c r="CS603" s="56"/>
      <c r="CT603" s="56"/>
      <c r="CU603" s="56"/>
      <c r="CV603" s="56"/>
      <c r="CW603" s="47">
        <f t="shared" si="422"/>
        <v>0</v>
      </c>
      <c r="CX603" s="46"/>
      <c r="CY603" s="47">
        <f t="shared" si="402"/>
        <v>0</v>
      </c>
      <c r="CZ603" s="56"/>
      <c r="DA603" s="56"/>
      <c r="DB603" s="56"/>
      <c r="DC603" s="56"/>
      <c r="DD603" s="47"/>
      <c r="DE603" s="56"/>
      <c r="DF603" s="46"/>
      <c r="DG603" s="56"/>
      <c r="DH603" s="57">
        <f t="shared" si="403"/>
        <v>0</v>
      </c>
      <c r="DI603" s="56"/>
      <c r="DJ603" s="56"/>
      <c r="DK603" s="47">
        <f t="shared" si="410"/>
        <v>0</v>
      </c>
      <c r="DL603" s="47">
        <f t="shared" si="404"/>
        <v>0</v>
      </c>
      <c r="DM603" s="56"/>
      <c r="DN603" s="46">
        <f t="shared" si="423"/>
        <v>0</v>
      </c>
      <c r="DO603" s="56"/>
      <c r="DP603" s="46">
        <f t="shared" si="425"/>
        <v>0</v>
      </c>
      <c r="DQ603" s="56" t="s">
        <v>99</v>
      </c>
      <c r="DR603" s="46">
        <f t="shared" si="406"/>
        <v>0</v>
      </c>
      <c r="DS603" s="56"/>
      <c r="DT603" s="46">
        <f t="shared" si="427"/>
        <v>0</v>
      </c>
      <c r="DU603" s="56"/>
      <c r="DV603" s="46">
        <f t="shared" si="430"/>
        <v>0</v>
      </c>
      <c r="DW603" s="56"/>
      <c r="DX603" s="47">
        <f t="shared" si="418"/>
        <v>0</v>
      </c>
      <c r="DY603" s="56"/>
      <c r="DZ603" s="56"/>
      <c r="EA603" s="56"/>
      <c r="EB603" s="56"/>
      <c r="EC603" s="56"/>
      <c r="ED603" s="56"/>
      <c r="EE603" s="47">
        <f t="shared" si="428"/>
        <v>0</v>
      </c>
      <c r="EF603" s="56"/>
      <c r="EG603" s="56"/>
      <c r="EH603" s="56"/>
      <c r="EI603" s="56"/>
      <c r="EJ603" s="56"/>
      <c r="EK603" s="47">
        <f t="shared" si="407"/>
        <v>0</v>
      </c>
      <c r="EL603" s="46">
        <f t="shared" si="408"/>
        <v>0</v>
      </c>
      <c r="EM603" s="56"/>
      <c r="EN603" s="61">
        <f t="shared" si="409"/>
        <v>0</v>
      </c>
    </row>
    <row r="604" spans="2:144" s="51" customFormat="1" ht="15" customHeight="1" x14ac:dyDescent="0.25">
      <c r="B604" s="41">
        <v>125</v>
      </c>
      <c r="C604" s="52"/>
      <c r="D604" s="53"/>
      <c r="E604" s="52"/>
      <c r="F604" s="52"/>
      <c r="G604" s="52"/>
      <c r="H604" s="52"/>
      <c r="I604" s="52"/>
      <c r="J604" s="52"/>
      <c r="K604" s="52"/>
      <c r="L604" s="52"/>
      <c r="M604" s="52"/>
      <c r="N604" s="54"/>
      <c r="O604" s="54"/>
      <c r="P604" s="52"/>
      <c r="Q604" s="55"/>
      <c r="R604" s="55"/>
      <c r="S604" s="55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47">
        <f t="shared" si="420"/>
        <v>0</v>
      </c>
      <c r="AO604" s="46">
        <f t="shared" si="421"/>
        <v>0</v>
      </c>
      <c r="AP604" s="56" t="s">
        <v>135</v>
      </c>
      <c r="AQ604" s="46">
        <f t="shared" si="429"/>
        <v>0</v>
      </c>
      <c r="AR604" s="56"/>
      <c r="AS604" s="56"/>
      <c r="AT604" s="56"/>
      <c r="AU604" s="60">
        <f t="shared" si="398"/>
        <v>0</v>
      </c>
      <c r="AV604" s="56"/>
      <c r="AW604" s="47">
        <f t="shared" si="424"/>
        <v>0</v>
      </c>
      <c r="AX604" s="56"/>
      <c r="AY604" s="56"/>
      <c r="AZ604" s="56"/>
      <c r="BA604" s="56"/>
      <c r="BB604" s="56"/>
      <c r="BC604" s="47"/>
      <c r="BD604" s="56"/>
      <c r="BE604" s="47"/>
      <c r="BF604" s="56"/>
      <c r="BG604" s="56"/>
      <c r="BH604" s="56"/>
      <c r="BI604" s="56"/>
      <c r="BJ604" s="56"/>
      <c r="BK604" s="47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  <c r="CL604" s="56"/>
      <c r="CM604" s="56"/>
      <c r="CN604" s="56"/>
      <c r="CO604" s="56"/>
      <c r="CP604" s="57"/>
      <c r="CQ604" s="56"/>
      <c r="CR604" s="47">
        <f t="shared" si="401"/>
        <v>0</v>
      </c>
      <c r="CS604" s="56"/>
      <c r="CT604" s="56"/>
      <c r="CU604" s="56"/>
      <c r="CV604" s="56"/>
      <c r="CW604" s="47">
        <f t="shared" si="422"/>
        <v>0</v>
      </c>
      <c r="CX604" s="46"/>
      <c r="CY604" s="47">
        <f t="shared" si="402"/>
        <v>0</v>
      </c>
      <c r="CZ604" s="56"/>
      <c r="DA604" s="56"/>
      <c r="DB604" s="56"/>
      <c r="DC604" s="56"/>
      <c r="DD604" s="47"/>
      <c r="DE604" s="56"/>
      <c r="DF604" s="46"/>
      <c r="DG604" s="56"/>
      <c r="DH604" s="57">
        <f t="shared" si="403"/>
        <v>0</v>
      </c>
      <c r="DI604" s="56"/>
      <c r="DJ604" s="56"/>
      <c r="DK604" s="47">
        <f t="shared" si="410"/>
        <v>0</v>
      </c>
      <c r="DL604" s="47">
        <f t="shared" si="404"/>
        <v>0</v>
      </c>
      <c r="DM604" s="56"/>
      <c r="DN604" s="46">
        <f t="shared" si="423"/>
        <v>0</v>
      </c>
      <c r="DO604" s="56"/>
      <c r="DP604" s="46">
        <f t="shared" si="425"/>
        <v>0</v>
      </c>
      <c r="DQ604" s="56" t="s">
        <v>99</v>
      </c>
      <c r="DR604" s="46">
        <f t="shared" si="406"/>
        <v>0</v>
      </c>
      <c r="DS604" s="56"/>
      <c r="DT604" s="46">
        <f t="shared" si="427"/>
        <v>0</v>
      </c>
      <c r="DU604" s="56"/>
      <c r="DV604" s="46">
        <f t="shared" si="430"/>
        <v>0</v>
      </c>
      <c r="DW604" s="56"/>
      <c r="DX604" s="47">
        <f t="shared" si="418"/>
        <v>0</v>
      </c>
      <c r="DY604" s="56"/>
      <c r="DZ604" s="56"/>
      <c r="EA604" s="56"/>
      <c r="EB604" s="56"/>
      <c r="EC604" s="56"/>
      <c r="ED604" s="56"/>
      <c r="EE604" s="47">
        <f t="shared" si="428"/>
        <v>0</v>
      </c>
      <c r="EF604" s="56"/>
      <c r="EG604" s="56"/>
      <c r="EH604" s="56"/>
      <c r="EI604" s="56"/>
      <c r="EJ604" s="56"/>
      <c r="EK604" s="47">
        <f t="shared" si="407"/>
        <v>0</v>
      </c>
      <c r="EL604" s="46">
        <f t="shared" si="408"/>
        <v>0</v>
      </c>
      <c r="EM604" s="56"/>
      <c r="EN604" s="61">
        <f t="shared" si="409"/>
        <v>0</v>
      </c>
    </row>
    <row r="605" spans="2:144" s="51" customFormat="1" ht="15" customHeight="1" x14ac:dyDescent="0.25">
      <c r="B605" s="41">
        <v>126</v>
      </c>
      <c r="C605" s="52"/>
      <c r="D605" s="53"/>
      <c r="E605" s="52"/>
      <c r="F605" s="52"/>
      <c r="G605" s="52"/>
      <c r="H605" s="52"/>
      <c r="I605" s="52"/>
      <c r="J605" s="52"/>
      <c r="K605" s="52"/>
      <c r="L605" s="52"/>
      <c r="M605" s="52"/>
      <c r="N605" s="54"/>
      <c r="O605" s="54"/>
      <c r="P605" s="52"/>
      <c r="Q605" s="55"/>
      <c r="R605" s="55"/>
      <c r="S605" s="55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47">
        <f t="shared" si="420"/>
        <v>0</v>
      </c>
      <c r="AO605" s="46">
        <f t="shared" si="421"/>
        <v>0</v>
      </c>
      <c r="AP605" s="56" t="s">
        <v>144</v>
      </c>
      <c r="AQ605" s="46">
        <f>23%*AO605</f>
        <v>0</v>
      </c>
      <c r="AR605" s="56"/>
      <c r="AS605" s="56"/>
      <c r="AT605" s="56"/>
      <c r="AU605" s="60">
        <f t="shared" si="398"/>
        <v>0</v>
      </c>
      <c r="AV605" s="56"/>
      <c r="AW605" s="47">
        <f t="shared" si="424"/>
        <v>0</v>
      </c>
      <c r="AX605" s="56"/>
      <c r="AY605" s="56"/>
      <c r="AZ605" s="56"/>
      <c r="BA605" s="56"/>
      <c r="BB605" s="56"/>
      <c r="BC605" s="47"/>
      <c r="BD605" s="56"/>
      <c r="BE605" s="47"/>
      <c r="BF605" s="56"/>
      <c r="BG605" s="56"/>
      <c r="BH605" s="56"/>
      <c r="BI605" s="56"/>
      <c r="BJ605" s="56"/>
      <c r="BK605" s="47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56"/>
      <c r="CP605" s="57"/>
      <c r="CQ605" s="56"/>
      <c r="CR605" s="47">
        <f t="shared" si="401"/>
        <v>0</v>
      </c>
      <c r="CS605" s="56"/>
      <c r="CT605" s="56"/>
      <c r="CU605" s="56"/>
      <c r="CV605" s="56"/>
      <c r="CW605" s="47">
        <f t="shared" si="422"/>
        <v>0</v>
      </c>
      <c r="CX605" s="46"/>
      <c r="CY605" s="47">
        <f t="shared" si="402"/>
        <v>0</v>
      </c>
      <c r="CZ605" s="56"/>
      <c r="DA605" s="56"/>
      <c r="DB605" s="56"/>
      <c r="DC605" s="56"/>
      <c r="DD605" s="47"/>
      <c r="DE605" s="56"/>
      <c r="DF605" s="46"/>
      <c r="DG605" s="56"/>
      <c r="DH605" s="57">
        <f t="shared" si="403"/>
        <v>0</v>
      </c>
      <c r="DI605" s="56"/>
      <c r="DJ605" s="56"/>
      <c r="DK605" s="47">
        <f t="shared" si="410"/>
        <v>0</v>
      </c>
      <c r="DL605" s="47">
        <f t="shared" si="404"/>
        <v>0</v>
      </c>
      <c r="DM605" s="56"/>
      <c r="DN605" s="46">
        <f t="shared" si="423"/>
        <v>0</v>
      </c>
      <c r="DO605" s="56"/>
      <c r="DP605" s="46">
        <f t="shared" si="425"/>
        <v>0</v>
      </c>
      <c r="DQ605" s="56" t="s">
        <v>99</v>
      </c>
      <c r="DR605" s="46">
        <f t="shared" si="406"/>
        <v>0</v>
      </c>
      <c r="DS605" s="56"/>
      <c r="DT605" s="46">
        <f t="shared" si="427"/>
        <v>0</v>
      </c>
      <c r="DU605" s="56"/>
      <c r="DV605" s="46">
        <f t="shared" si="430"/>
        <v>0</v>
      </c>
      <c r="DW605" s="56"/>
      <c r="DX605" s="47">
        <f t="shared" si="418"/>
        <v>0</v>
      </c>
      <c r="DY605" s="56"/>
      <c r="DZ605" s="56"/>
      <c r="EA605" s="56"/>
      <c r="EB605" s="56"/>
      <c r="EC605" s="56"/>
      <c r="ED605" s="56"/>
      <c r="EE605" s="47">
        <f t="shared" si="428"/>
        <v>0</v>
      </c>
      <c r="EF605" s="56"/>
      <c r="EG605" s="56"/>
      <c r="EH605" s="56"/>
      <c r="EI605" s="56"/>
      <c r="EJ605" s="56"/>
      <c r="EK605" s="47">
        <f t="shared" si="407"/>
        <v>0</v>
      </c>
      <c r="EL605" s="46">
        <f t="shared" si="408"/>
        <v>0</v>
      </c>
      <c r="EM605" s="56"/>
      <c r="EN605" s="61">
        <f t="shared" si="409"/>
        <v>0</v>
      </c>
    </row>
    <row r="606" spans="2:144" s="51" customFormat="1" ht="15" customHeight="1" x14ac:dyDescent="0.25">
      <c r="B606" s="41">
        <v>127</v>
      </c>
      <c r="C606" s="52"/>
      <c r="D606" s="53"/>
      <c r="E606" s="52"/>
      <c r="F606" s="52"/>
      <c r="G606" s="52"/>
      <c r="H606" s="52"/>
      <c r="I606" s="52"/>
      <c r="J606" s="52"/>
      <c r="K606" s="52"/>
      <c r="L606" s="52"/>
      <c r="M606" s="52"/>
      <c r="N606" s="54"/>
      <c r="O606" s="54"/>
      <c r="P606" s="52"/>
      <c r="Q606" s="55"/>
      <c r="R606" s="55"/>
      <c r="S606" s="55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47">
        <f t="shared" si="420"/>
        <v>0</v>
      </c>
      <c r="AO606" s="46">
        <f t="shared" si="421"/>
        <v>0</v>
      </c>
      <c r="AP606" s="56" t="s">
        <v>135</v>
      </c>
      <c r="AQ606" s="46">
        <f t="shared" ref="AQ606:AQ624" si="431">20%*AO606</f>
        <v>0</v>
      </c>
      <c r="AR606" s="56"/>
      <c r="AS606" s="56"/>
      <c r="AT606" s="56"/>
      <c r="AU606" s="60">
        <f t="shared" si="398"/>
        <v>0</v>
      </c>
      <c r="AV606" s="56"/>
      <c r="AW606" s="47">
        <f t="shared" si="424"/>
        <v>0</v>
      </c>
      <c r="AX606" s="56"/>
      <c r="AY606" s="56"/>
      <c r="AZ606" s="56"/>
      <c r="BA606" s="56"/>
      <c r="BB606" s="56"/>
      <c r="BC606" s="47"/>
      <c r="BD606" s="56"/>
      <c r="BE606" s="47"/>
      <c r="BF606" s="56"/>
      <c r="BG606" s="56"/>
      <c r="BH606" s="56"/>
      <c r="BI606" s="56"/>
      <c r="BJ606" s="56"/>
      <c r="BK606" s="47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/>
      <c r="CM606" s="56"/>
      <c r="CN606" s="56"/>
      <c r="CO606" s="56"/>
      <c r="CP606" s="57"/>
      <c r="CQ606" s="56"/>
      <c r="CR606" s="47">
        <f t="shared" si="401"/>
        <v>0</v>
      </c>
      <c r="CS606" s="56"/>
      <c r="CT606" s="56"/>
      <c r="CU606" s="56"/>
      <c r="CV606" s="56"/>
      <c r="CW606" s="47">
        <f t="shared" si="422"/>
        <v>0</v>
      </c>
      <c r="CX606" s="46"/>
      <c r="CY606" s="47">
        <f t="shared" si="402"/>
        <v>0</v>
      </c>
      <c r="CZ606" s="56"/>
      <c r="DA606" s="56"/>
      <c r="DB606" s="56"/>
      <c r="DC606" s="56"/>
      <c r="DD606" s="47"/>
      <c r="DE606" s="56"/>
      <c r="DF606" s="46"/>
      <c r="DG606" s="56"/>
      <c r="DH606" s="57">
        <f t="shared" si="403"/>
        <v>0</v>
      </c>
      <c r="DI606" s="56"/>
      <c r="DJ606" s="56"/>
      <c r="DK606" s="47">
        <f t="shared" si="410"/>
        <v>0</v>
      </c>
      <c r="DL606" s="47">
        <f t="shared" si="404"/>
        <v>0</v>
      </c>
      <c r="DM606" s="56"/>
      <c r="DN606" s="46">
        <f t="shared" si="423"/>
        <v>0</v>
      </c>
      <c r="DO606" s="56"/>
      <c r="DP606" s="46">
        <f t="shared" si="425"/>
        <v>0</v>
      </c>
      <c r="DQ606" s="56" t="s">
        <v>100</v>
      </c>
      <c r="DR606" s="46">
        <f t="shared" si="406"/>
        <v>0</v>
      </c>
      <c r="DS606" s="56"/>
      <c r="DT606" s="46">
        <f t="shared" si="427"/>
        <v>0</v>
      </c>
      <c r="DU606" s="56"/>
      <c r="DV606" s="46">
        <f t="shared" si="430"/>
        <v>0</v>
      </c>
      <c r="DW606" s="56"/>
      <c r="DX606" s="47">
        <f t="shared" si="418"/>
        <v>0</v>
      </c>
      <c r="DY606" s="56"/>
      <c r="DZ606" s="56"/>
      <c r="EA606" s="56"/>
      <c r="EB606" s="56"/>
      <c r="EC606" s="56"/>
      <c r="ED606" s="56"/>
      <c r="EE606" s="47">
        <f t="shared" si="428"/>
        <v>0</v>
      </c>
      <c r="EF606" s="56"/>
      <c r="EG606" s="56"/>
      <c r="EH606" s="56"/>
      <c r="EI606" s="56"/>
      <c r="EJ606" s="56"/>
      <c r="EK606" s="47">
        <f t="shared" si="407"/>
        <v>0</v>
      </c>
      <c r="EL606" s="46">
        <f t="shared" si="408"/>
        <v>0</v>
      </c>
      <c r="EM606" s="56"/>
      <c r="EN606" s="61">
        <f t="shared" si="409"/>
        <v>0</v>
      </c>
    </row>
    <row r="607" spans="2:144" s="51" customFormat="1" ht="15" customHeight="1" x14ac:dyDescent="0.25">
      <c r="B607" s="41">
        <v>128</v>
      </c>
      <c r="C607" s="52"/>
      <c r="D607" s="53"/>
      <c r="E607" s="52"/>
      <c r="F607" s="52"/>
      <c r="G607" s="52"/>
      <c r="H607" s="52"/>
      <c r="I607" s="52"/>
      <c r="J607" s="52"/>
      <c r="K607" s="52"/>
      <c r="L607" s="52"/>
      <c r="M607" s="52"/>
      <c r="N607" s="54"/>
      <c r="O607" s="54"/>
      <c r="P607" s="52"/>
      <c r="Q607" s="55"/>
      <c r="R607" s="55"/>
      <c r="S607" s="55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47">
        <f t="shared" si="420"/>
        <v>0</v>
      </c>
      <c r="AO607" s="46">
        <f t="shared" si="421"/>
        <v>0</v>
      </c>
      <c r="AP607" s="56" t="s">
        <v>135</v>
      </c>
      <c r="AQ607" s="46">
        <f t="shared" si="431"/>
        <v>0</v>
      </c>
      <c r="AR607" s="56"/>
      <c r="AS607" s="56"/>
      <c r="AT607" s="56"/>
      <c r="AU607" s="60">
        <f t="shared" si="398"/>
        <v>0</v>
      </c>
      <c r="AV607" s="56"/>
      <c r="AW607" s="47">
        <f t="shared" si="424"/>
        <v>0</v>
      </c>
      <c r="AX607" s="56"/>
      <c r="AY607" s="56"/>
      <c r="AZ607" s="56"/>
      <c r="BA607" s="56"/>
      <c r="BB607" s="56"/>
      <c r="BC607" s="47"/>
      <c r="BD607" s="56"/>
      <c r="BE607" s="47"/>
      <c r="BF607" s="56"/>
      <c r="BG607" s="56"/>
      <c r="BH607" s="56"/>
      <c r="BI607" s="56"/>
      <c r="BJ607" s="56"/>
      <c r="BK607" s="47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  <c r="CL607" s="56"/>
      <c r="CM607" s="56"/>
      <c r="CN607" s="56"/>
      <c r="CO607" s="56"/>
      <c r="CP607" s="57"/>
      <c r="CQ607" s="56"/>
      <c r="CR607" s="47">
        <f t="shared" si="401"/>
        <v>0</v>
      </c>
      <c r="CS607" s="56"/>
      <c r="CT607" s="56"/>
      <c r="CU607" s="56"/>
      <c r="CV607" s="56"/>
      <c r="CW607" s="47">
        <f t="shared" si="422"/>
        <v>0</v>
      </c>
      <c r="CX607" s="46"/>
      <c r="CY607" s="47">
        <f t="shared" si="402"/>
        <v>0</v>
      </c>
      <c r="CZ607" s="56"/>
      <c r="DA607" s="56"/>
      <c r="DB607" s="56"/>
      <c r="DC607" s="56"/>
      <c r="DD607" s="47"/>
      <c r="DE607" s="56"/>
      <c r="DF607" s="46"/>
      <c r="DG607" s="56"/>
      <c r="DH607" s="57">
        <f t="shared" si="403"/>
        <v>0</v>
      </c>
      <c r="DI607" s="56"/>
      <c r="DJ607" s="56"/>
      <c r="DK607" s="47">
        <f t="shared" si="410"/>
        <v>0</v>
      </c>
      <c r="DL607" s="47">
        <f t="shared" si="404"/>
        <v>0</v>
      </c>
      <c r="DM607" s="56"/>
      <c r="DN607" s="46">
        <f t="shared" si="423"/>
        <v>0</v>
      </c>
      <c r="DO607" s="56"/>
      <c r="DP607" s="46">
        <f t="shared" si="425"/>
        <v>0</v>
      </c>
      <c r="DQ607" s="56" t="s">
        <v>100</v>
      </c>
      <c r="DR607" s="46">
        <f t="shared" si="406"/>
        <v>0</v>
      </c>
      <c r="DS607" s="56"/>
      <c r="DT607" s="46">
        <f t="shared" si="427"/>
        <v>0</v>
      </c>
      <c r="DU607" s="56"/>
      <c r="DV607" s="46">
        <f t="shared" si="430"/>
        <v>0</v>
      </c>
      <c r="DW607" s="56"/>
      <c r="DX607" s="47">
        <f t="shared" si="418"/>
        <v>0</v>
      </c>
      <c r="DY607" s="56"/>
      <c r="DZ607" s="56"/>
      <c r="EA607" s="56"/>
      <c r="EB607" s="56"/>
      <c r="EC607" s="56"/>
      <c r="ED607" s="56"/>
      <c r="EE607" s="47">
        <f t="shared" si="428"/>
        <v>0</v>
      </c>
      <c r="EF607" s="56"/>
      <c r="EG607" s="56"/>
      <c r="EH607" s="56"/>
      <c r="EI607" s="56"/>
      <c r="EJ607" s="56"/>
      <c r="EK607" s="47">
        <f t="shared" si="407"/>
        <v>0</v>
      </c>
      <c r="EL607" s="46">
        <f t="shared" si="408"/>
        <v>0</v>
      </c>
      <c r="EM607" s="56"/>
      <c r="EN607" s="61">
        <f t="shared" si="409"/>
        <v>0</v>
      </c>
    </row>
    <row r="608" spans="2:144" s="51" customFormat="1" ht="15" customHeight="1" x14ac:dyDescent="0.25">
      <c r="B608" s="41">
        <v>129</v>
      </c>
      <c r="C608" s="52"/>
      <c r="D608" s="53"/>
      <c r="E608" s="52"/>
      <c r="F608" s="52"/>
      <c r="G608" s="52"/>
      <c r="H608" s="52"/>
      <c r="I608" s="52"/>
      <c r="J608" s="52"/>
      <c r="K608" s="52"/>
      <c r="L608" s="52"/>
      <c r="M608" s="52"/>
      <c r="N608" s="54"/>
      <c r="O608" s="54"/>
      <c r="P608" s="52"/>
      <c r="Q608" s="55"/>
      <c r="R608" s="55"/>
      <c r="S608" s="55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47">
        <f t="shared" si="420"/>
        <v>0</v>
      </c>
      <c r="AO608" s="46">
        <f t="shared" si="421"/>
        <v>0</v>
      </c>
      <c r="AP608" s="56" t="s">
        <v>135</v>
      </c>
      <c r="AQ608" s="46">
        <f t="shared" si="431"/>
        <v>0</v>
      </c>
      <c r="AR608" s="56"/>
      <c r="AS608" s="56"/>
      <c r="AT608" s="56"/>
      <c r="AU608" s="60">
        <f t="shared" si="398"/>
        <v>0</v>
      </c>
      <c r="AV608" s="56"/>
      <c r="AW608" s="47">
        <f t="shared" si="424"/>
        <v>0</v>
      </c>
      <c r="AX608" s="56"/>
      <c r="AY608" s="56"/>
      <c r="AZ608" s="56"/>
      <c r="BA608" s="56"/>
      <c r="BB608" s="56"/>
      <c r="BC608" s="47"/>
      <c r="BD608" s="56"/>
      <c r="BE608" s="47"/>
      <c r="BF608" s="56"/>
      <c r="BG608" s="56"/>
      <c r="BH608" s="56"/>
      <c r="BI608" s="56"/>
      <c r="BJ608" s="56"/>
      <c r="BK608" s="47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  <c r="CL608" s="56"/>
      <c r="CM608" s="56"/>
      <c r="CN608" s="56"/>
      <c r="CO608" s="56"/>
      <c r="CP608" s="57"/>
      <c r="CQ608" s="56"/>
      <c r="CR608" s="47">
        <f t="shared" si="401"/>
        <v>0</v>
      </c>
      <c r="CS608" s="56"/>
      <c r="CT608" s="56"/>
      <c r="CU608" s="56"/>
      <c r="CV608" s="56"/>
      <c r="CW608" s="47">
        <f t="shared" si="422"/>
        <v>0</v>
      </c>
      <c r="CX608" s="46"/>
      <c r="CY608" s="47">
        <f t="shared" si="402"/>
        <v>0</v>
      </c>
      <c r="CZ608" s="56"/>
      <c r="DA608" s="56"/>
      <c r="DB608" s="56"/>
      <c r="DC608" s="56"/>
      <c r="DD608" s="47"/>
      <c r="DE608" s="56"/>
      <c r="DF608" s="46"/>
      <c r="DG608" s="56"/>
      <c r="DH608" s="57">
        <f t="shared" si="403"/>
        <v>0</v>
      </c>
      <c r="DI608" s="56"/>
      <c r="DJ608" s="56"/>
      <c r="DK608" s="47">
        <f t="shared" si="410"/>
        <v>0</v>
      </c>
      <c r="DL608" s="47">
        <f t="shared" si="404"/>
        <v>0</v>
      </c>
      <c r="DM608" s="56"/>
      <c r="DN608" s="46">
        <f t="shared" si="423"/>
        <v>0</v>
      </c>
      <c r="DO608" s="56"/>
      <c r="DP608" s="46">
        <f t="shared" si="425"/>
        <v>0</v>
      </c>
      <c r="DQ608" s="56" t="s">
        <v>100</v>
      </c>
      <c r="DR608" s="46">
        <f t="shared" si="406"/>
        <v>0</v>
      </c>
      <c r="DS608" s="56"/>
      <c r="DT608" s="46">
        <f t="shared" si="427"/>
        <v>0</v>
      </c>
      <c r="DU608" s="56"/>
      <c r="DV608" s="46">
        <f t="shared" si="430"/>
        <v>0</v>
      </c>
      <c r="DW608" s="56"/>
      <c r="DX608" s="47">
        <f t="shared" si="418"/>
        <v>0</v>
      </c>
      <c r="DY608" s="56"/>
      <c r="DZ608" s="56"/>
      <c r="EA608" s="56"/>
      <c r="EB608" s="56"/>
      <c r="EC608" s="56"/>
      <c r="ED608" s="56"/>
      <c r="EE608" s="47">
        <f t="shared" si="428"/>
        <v>0</v>
      </c>
      <c r="EF608" s="56"/>
      <c r="EG608" s="56"/>
      <c r="EH608" s="56"/>
      <c r="EI608" s="56"/>
      <c r="EJ608" s="56"/>
      <c r="EK608" s="47">
        <f t="shared" si="407"/>
        <v>0</v>
      </c>
      <c r="EL608" s="46">
        <f t="shared" si="408"/>
        <v>0</v>
      </c>
      <c r="EM608" s="56"/>
      <c r="EN608" s="61">
        <f t="shared" si="409"/>
        <v>0</v>
      </c>
    </row>
    <row r="609" spans="2:144" s="51" customFormat="1" ht="15" customHeight="1" x14ac:dyDescent="0.25">
      <c r="B609" s="41">
        <v>131</v>
      </c>
      <c r="C609" s="52"/>
      <c r="D609" s="53"/>
      <c r="E609" s="52"/>
      <c r="F609" s="52"/>
      <c r="G609" s="52"/>
      <c r="H609" s="52"/>
      <c r="I609" s="52"/>
      <c r="J609" s="52"/>
      <c r="K609" s="52"/>
      <c r="L609" s="52"/>
      <c r="M609" s="52"/>
      <c r="N609" s="54"/>
      <c r="O609" s="54"/>
      <c r="P609" s="52"/>
      <c r="Q609" s="55"/>
      <c r="R609" s="55"/>
      <c r="S609" s="55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47">
        <f t="shared" si="420"/>
        <v>0</v>
      </c>
      <c r="AO609" s="46">
        <f t="shared" si="421"/>
        <v>0</v>
      </c>
      <c r="AP609" s="56" t="s">
        <v>135</v>
      </c>
      <c r="AQ609" s="46">
        <f t="shared" si="431"/>
        <v>0</v>
      </c>
      <c r="AR609" s="56"/>
      <c r="AS609" s="56"/>
      <c r="AT609" s="56"/>
      <c r="AU609" s="60">
        <f t="shared" ref="AU609:AU615" si="432">AS609*AT609</f>
        <v>0</v>
      </c>
      <c r="AV609" s="56"/>
      <c r="AW609" s="47">
        <f t="shared" si="424"/>
        <v>0</v>
      </c>
      <c r="AX609" s="56"/>
      <c r="AY609" s="56"/>
      <c r="AZ609" s="56"/>
      <c r="BA609" s="56"/>
      <c r="BB609" s="56"/>
      <c r="BC609" s="47"/>
      <c r="BD609" s="56"/>
      <c r="BE609" s="47"/>
      <c r="BF609" s="56"/>
      <c r="BG609" s="56"/>
      <c r="BH609" s="56"/>
      <c r="BI609" s="56"/>
      <c r="BJ609" s="56"/>
      <c r="BK609" s="47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56"/>
      <c r="CP609" s="57"/>
      <c r="CQ609" s="56"/>
      <c r="CR609" s="47">
        <f t="shared" ref="CR609:CR615" si="433">CM609+CP609+CQ609</f>
        <v>0</v>
      </c>
      <c r="CS609" s="56"/>
      <c r="CT609" s="56"/>
      <c r="CU609" s="56"/>
      <c r="CV609" s="56"/>
      <c r="CW609" s="47">
        <f t="shared" si="422"/>
        <v>0</v>
      </c>
      <c r="CX609" s="46"/>
      <c r="CY609" s="47">
        <f t="shared" ref="CY609:CY610" si="434">+CT609+CW609+CX609</f>
        <v>0</v>
      </c>
      <c r="CZ609" s="56"/>
      <c r="DA609" s="56"/>
      <c r="DB609" s="56"/>
      <c r="DC609" s="56"/>
      <c r="DD609" s="47"/>
      <c r="DE609" s="56"/>
      <c r="DF609" s="46"/>
      <c r="DG609" s="56"/>
      <c r="DH609" s="57">
        <f t="shared" ref="DH609:DH621" si="435">AQ609/2</f>
        <v>0</v>
      </c>
      <c r="DI609" s="56"/>
      <c r="DJ609" s="56"/>
      <c r="DK609" s="47">
        <f t="shared" si="410"/>
        <v>0</v>
      </c>
      <c r="DL609" s="47">
        <f t="shared" ref="DL609:DL615" si="436">+DH609+DK609</f>
        <v>0</v>
      </c>
      <c r="DM609" s="56"/>
      <c r="DN609" s="46">
        <f t="shared" si="423"/>
        <v>0</v>
      </c>
      <c r="DO609" s="56"/>
      <c r="DP609" s="46">
        <f t="shared" si="425"/>
        <v>0</v>
      </c>
      <c r="DQ609" s="56"/>
      <c r="DR609" s="46">
        <f t="shared" ref="DR609:DR625" si="437">DP609</f>
        <v>0</v>
      </c>
      <c r="DS609" s="56"/>
      <c r="DT609" s="46">
        <f t="shared" si="427"/>
        <v>0</v>
      </c>
      <c r="DU609" s="56"/>
      <c r="DV609" s="46">
        <f t="shared" si="430"/>
        <v>0</v>
      </c>
      <c r="DW609" s="56"/>
      <c r="DX609" s="47">
        <f t="shared" si="418"/>
        <v>0</v>
      </c>
      <c r="DY609" s="56"/>
      <c r="DZ609" s="56"/>
      <c r="EA609" s="56"/>
      <c r="EB609" s="56"/>
      <c r="EC609" s="56"/>
      <c r="ED609" s="56"/>
      <c r="EE609" s="47">
        <f t="shared" si="428"/>
        <v>0</v>
      </c>
      <c r="EF609" s="56"/>
      <c r="EG609" s="56"/>
      <c r="EH609" s="56"/>
      <c r="EI609" s="56"/>
      <c r="EJ609" s="56"/>
      <c r="EK609" s="47">
        <f t="shared" ref="EK609:EK615" si="438">+EG609+EH609+EI609+EJ609</f>
        <v>0</v>
      </c>
      <c r="EL609" s="46">
        <f t="shared" ref="EL609:EL615" si="439">+AO609-EE609-EK609</f>
        <v>0</v>
      </c>
      <c r="EM609" s="56"/>
      <c r="EN609" s="61">
        <f t="shared" ref="EN609:EN615" si="440">EL609+EM609</f>
        <v>0</v>
      </c>
    </row>
    <row r="610" spans="2:144" s="51" customFormat="1" ht="15" customHeight="1" x14ac:dyDescent="0.25">
      <c r="B610" s="41">
        <v>132</v>
      </c>
      <c r="C610" s="52"/>
      <c r="D610" s="53"/>
      <c r="E610" s="52"/>
      <c r="F610" s="52"/>
      <c r="G610" s="52"/>
      <c r="H610" s="52"/>
      <c r="I610" s="52"/>
      <c r="J610" s="52"/>
      <c r="K610" s="52"/>
      <c r="L610" s="52"/>
      <c r="M610" s="52"/>
      <c r="N610" s="54"/>
      <c r="O610" s="54"/>
      <c r="P610" s="52"/>
      <c r="Q610" s="55"/>
      <c r="R610" s="55"/>
      <c r="S610" s="55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47">
        <f t="shared" si="420"/>
        <v>0</v>
      </c>
      <c r="AO610" s="46">
        <f t="shared" si="421"/>
        <v>0</v>
      </c>
      <c r="AP610" s="56" t="s">
        <v>136</v>
      </c>
      <c r="AQ610" s="46">
        <f t="shared" si="431"/>
        <v>0</v>
      </c>
      <c r="AR610" s="56"/>
      <c r="AS610" s="56"/>
      <c r="AT610" s="56"/>
      <c r="AU610" s="60">
        <f t="shared" si="432"/>
        <v>0</v>
      </c>
      <c r="AV610" s="56"/>
      <c r="AW610" s="47">
        <f t="shared" si="424"/>
        <v>0</v>
      </c>
      <c r="AX610" s="56"/>
      <c r="AY610" s="56"/>
      <c r="AZ610" s="56"/>
      <c r="BA610" s="56"/>
      <c r="BB610" s="56"/>
      <c r="BC610" s="47"/>
      <c r="BD610" s="56"/>
      <c r="BE610" s="47"/>
      <c r="BF610" s="56"/>
      <c r="BG610" s="56"/>
      <c r="BH610" s="56"/>
      <c r="BI610" s="56"/>
      <c r="BJ610" s="56"/>
      <c r="BK610" s="47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56"/>
      <c r="CP610" s="57"/>
      <c r="CQ610" s="56"/>
      <c r="CR610" s="47">
        <f t="shared" si="433"/>
        <v>0</v>
      </c>
      <c r="CS610" s="56"/>
      <c r="CT610" s="56"/>
      <c r="CU610" s="56"/>
      <c r="CV610" s="56"/>
      <c r="CW610" s="47">
        <f t="shared" si="422"/>
        <v>0</v>
      </c>
      <c r="CX610" s="46"/>
      <c r="CY610" s="47">
        <f t="shared" si="434"/>
        <v>0</v>
      </c>
      <c r="CZ610" s="56"/>
      <c r="DA610" s="56"/>
      <c r="DB610" s="56"/>
      <c r="DC610" s="56"/>
      <c r="DD610" s="47"/>
      <c r="DE610" s="56"/>
      <c r="DF610" s="46"/>
      <c r="DG610" s="56"/>
      <c r="DH610" s="57">
        <f t="shared" si="435"/>
        <v>0</v>
      </c>
      <c r="DI610" s="56"/>
      <c r="DJ610" s="56"/>
      <c r="DK610" s="47">
        <f t="shared" ref="DK610:DK615" si="441">DI610*DJ610</f>
        <v>0</v>
      </c>
      <c r="DL610" s="47">
        <f t="shared" si="436"/>
        <v>0</v>
      </c>
      <c r="DM610" s="56"/>
      <c r="DN610" s="46">
        <f t="shared" si="423"/>
        <v>0</v>
      </c>
      <c r="DO610" s="56"/>
      <c r="DP610" s="46">
        <f t="shared" si="425"/>
        <v>0</v>
      </c>
      <c r="DQ610" s="56"/>
      <c r="DR610" s="46">
        <f t="shared" si="437"/>
        <v>0</v>
      </c>
      <c r="DS610" s="56"/>
      <c r="DT610" s="46">
        <f t="shared" si="427"/>
        <v>0</v>
      </c>
      <c r="DU610" s="56"/>
      <c r="DV610" s="46">
        <f t="shared" si="430"/>
        <v>0</v>
      </c>
      <c r="DW610" s="56"/>
      <c r="DX610" s="47">
        <f t="shared" si="418"/>
        <v>0</v>
      </c>
      <c r="DY610" s="56"/>
      <c r="DZ610" s="56"/>
      <c r="EA610" s="56"/>
      <c r="EB610" s="56"/>
      <c r="EC610" s="56"/>
      <c r="ED610" s="56"/>
      <c r="EE610" s="47">
        <f t="shared" si="428"/>
        <v>0</v>
      </c>
      <c r="EF610" s="56"/>
      <c r="EG610" s="56"/>
      <c r="EH610" s="56"/>
      <c r="EI610" s="56"/>
      <c r="EJ610" s="56"/>
      <c r="EK610" s="47">
        <f t="shared" si="438"/>
        <v>0</v>
      </c>
      <c r="EL610" s="46">
        <f t="shared" si="439"/>
        <v>0</v>
      </c>
      <c r="EM610" s="56"/>
      <c r="EN610" s="61">
        <f t="shared" si="440"/>
        <v>0</v>
      </c>
    </row>
    <row r="611" spans="2:144" s="51" customFormat="1" ht="15" customHeight="1" x14ac:dyDescent="0.25">
      <c r="B611" s="41">
        <v>133</v>
      </c>
      <c r="C611" s="52"/>
      <c r="D611" s="53"/>
      <c r="E611" s="52"/>
      <c r="F611" s="52"/>
      <c r="G611" s="52"/>
      <c r="H611" s="52"/>
      <c r="I611" s="52"/>
      <c r="J611" s="52"/>
      <c r="K611" s="52"/>
      <c r="L611" s="52"/>
      <c r="M611" s="52"/>
      <c r="N611" s="54"/>
      <c r="O611" s="54"/>
      <c r="P611" s="52"/>
      <c r="Q611" s="55"/>
      <c r="R611" s="55"/>
      <c r="S611" s="55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47">
        <f t="shared" si="420"/>
        <v>0</v>
      </c>
      <c r="AO611" s="46">
        <f t="shared" si="421"/>
        <v>0</v>
      </c>
      <c r="AP611" s="56" t="s">
        <v>135</v>
      </c>
      <c r="AQ611" s="46">
        <f t="shared" si="431"/>
        <v>0</v>
      </c>
      <c r="AR611" s="56"/>
      <c r="AS611" s="56"/>
      <c r="AT611" s="56"/>
      <c r="AU611" s="60">
        <f t="shared" si="432"/>
        <v>0</v>
      </c>
      <c r="AV611" s="56"/>
      <c r="AW611" s="47">
        <f t="shared" si="424"/>
        <v>0</v>
      </c>
      <c r="AX611" s="56"/>
      <c r="AY611" s="56"/>
      <c r="AZ611" s="56"/>
      <c r="BA611" s="56"/>
      <c r="BB611" s="56"/>
      <c r="BC611" s="47"/>
      <c r="BD611" s="56"/>
      <c r="BE611" s="47"/>
      <c r="BF611" s="56"/>
      <c r="BG611" s="56"/>
      <c r="BH611" s="56"/>
      <c r="BI611" s="56"/>
      <c r="BJ611" s="56"/>
      <c r="BK611" s="47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56"/>
      <c r="CP611" s="57"/>
      <c r="CQ611" s="56"/>
      <c r="CR611" s="47">
        <f t="shared" si="433"/>
        <v>0</v>
      </c>
      <c r="CS611" s="56"/>
      <c r="CT611" s="56"/>
      <c r="CU611" s="56"/>
      <c r="CV611" s="56"/>
      <c r="CW611" s="47"/>
      <c r="CX611" s="46"/>
      <c r="CY611" s="47"/>
      <c r="CZ611" s="56"/>
      <c r="DA611" s="56"/>
      <c r="DB611" s="56"/>
      <c r="DC611" s="56"/>
      <c r="DD611" s="47"/>
      <c r="DE611" s="56"/>
      <c r="DF611" s="46"/>
      <c r="DG611" s="56"/>
      <c r="DH611" s="57">
        <f t="shared" si="435"/>
        <v>0</v>
      </c>
      <c r="DI611" s="56"/>
      <c r="DJ611" s="56"/>
      <c r="DK611" s="47">
        <f t="shared" si="441"/>
        <v>0</v>
      </c>
      <c r="DL611" s="47">
        <f t="shared" si="436"/>
        <v>0</v>
      </c>
      <c r="DM611" s="56"/>
      <c r="DN611" s="46">
        <f t="shared" si="423"/>
        <v>0</v>
      </c>
      <c r="DO611" s="56"/>
      <c r="DP611" s="46">
        <f t="shared" si="425"/>
        <v>0</v>
      </c>
      <c r="DQ611" s="56"/>
      <c r="DR611" s="46">
        <f t="shared" si="437"/>
        <v>0</v>
      </c>
      <c r="DS611" s="56"/>
      <c r="DT611" s="46">
        <f t="shared" si="427"/>
        <v>0</v>
      </c>
      <c r="DU611" s="56"/>
      <c r="DV611" s="46">
        <f t="shared" si="430"/>
        <v>0</v>
      </c>
      <c r="DW611" s="56"/>
      <c r="DX611" s="47">
        <f t="shared" si="418"/>
        <v>0</v>
      </c>
      <c r="DY611" s="56"/>
      <c r="DZ611" s="56"/>
      <c r="EA611" s="56"/>
      <c r="EB611" s="56"/>
      <c r="EC611" s="56"/>
      <c r="ED611" s="56"/>
      <c r="EE611" s="47">
        <f t="shared" si="428"/>
        <v>0</v>
      </c>
      <c r="EF611" s="56"/>
      <c r="EG611" s="56"/>
      <c r="EH611" s="56"/>
      <c r="EI611" s="56"/>
      <c r="EJ611" s="56"/>
      <c r="EK611" s="47">
        <f t="shared" si="438"/>
        <v>0</v>
      </c>
      <c r="EL611" s="46">
        <f t="shared" si="439"/>
        <v>0</v>
      </c>
      <c r="EM611" s="56"/>
      <c r="EN611" s="61">
        <f t="shared" si="440"/>
        <v>0</v>
      </c>
    </row>
    <row r="612" spans="2:144" s="51" customFormat="1" ht="15" customHeight="1" x14ac:dyDescent="0.25">
      <c r="B612" s="41">
        <v>134</v>
      </c>
      <c r="C612" s="52"/>
      <c r="D612" s="53"/>
      <c r="E612" s="52"/>
      <c r="F612" s="52"/>
      <c r="G612" s="52"/>
      <c r="H612" s="52"/>
      <c r="I612" s="52"/>
      <c r="J612" s="52"/>
      <c r="K612" s="52"/>
      <c r="L612" s="52"/>
      <c r="M612" s="52"/>
      <c r="N612" s="54"/>
      <c r="O612" s="54"/>
      <c r="P612" s="52"/>
      <c r="Q612" s="55"/>
      <c r="R612" s="55"/>
      <c r="S612" s="55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47">
        <f t="shared" si="420"/>
        <v>0</v>
      </c>
      <c r="AO612" s="46">
        <f t="shared" si="421"/>
        <v>0</v>
      </c>
      <c r="AP612" s="56" t="s">
        <v>135</v>
      </c>
      <c r="AQ612" s="46">
        <f t="shared" si="431"/>
        <v>0</v>
      </c>
      <c r="AR612" s="56"/>
      <c r="AS612" s="56"/>
      <c r="AT612" s="56"/>
      <c r="AU612" s="60">
        <f t="shared" si="432"/>
        <v>0</v>
      </c>
      <c r="AV612" s="56"/>
      <c r="AW612" s="47">
        <f t="shared" si="424"/>
        <v>0</v>
      </c>
      <c r="AX612" s="56"/>
      <c r="AY612" s="56"/>
      <c r="AZ612" s="56"/>
      <c r="BA612" s="56"/>
      <c r="BB612" s="56"/>
      <c r="BC612" s="47"/>
      <c r="BD612" s="56"/>
      <c r="BE612" s="47"/>
      <c r="BF612" s="56"/>
      <c r="BG612" s="56"/>
      <c r="BH612" s="56"/>
      <c r="BI612" s="56"/>
      <c r="BJ612" s="56"/>
      <c r="BK612" s="47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  <c r="CL612" s="56"/>
      <c r="CM612" s="56"/>
      <c r="CN612" s="56"/>
      <c r="CO612" s="56"/>
      <c r="CP612" s="57"/>
      <c r="CQ612" s="56"/>
      <c r="CR612" s="47">
        <f t="shared" si="433"/>
        <v>0</v>
      </c>
      <c r="CS612" s="56"/>
      <c r="CT612" s="56"/>
      <c r="CU612" s="56"/>
      <c r="CV612" s="56"/>
      <c r="CW612" s="47"/>
      <c r="CX612" s="46"/>
      <c r="CY612" s="47"/>
      <c r="CZ612" s="56"/>
      <c r="DA612" s="56"/>
      <c r="DB612" s="56"/>
      <c r="DC612" s="56"/>
      <c r="DD612" s="47"/>
      <c r="DE612" s="56"/>
      <c r="DF612" s="46"/>
      <c r="DG612" s="56"/>
      <c r="DH612" s="57">
        <f t="shared" si="435"/>
        <v>0</v>
      </c>
      <c r="DI612" s="56"/>
      <c r="DJ612" s="56"/>
      <c r="DK612" s="47">
        <f t="shared" si="441"/>
        <v>0</v>
      </c>
      <c r="DL612" s="47">
        <f t="shared" si="436"/>
        <v>0</v>
      </c>
      <c r="DM612" s="56"/>
      <c r="DN612" s="46">
        <f t="shared" si="423"/>
        <v>0</v>
      </c>
      <c r="DO612" s="56"/>
      <c r="DP612" s="46">
        <f t="shared" si="425"/>
        <v>0</v>
      </c>
      <c r="DQ612" s="56"/>
      <c r="DR612" s="46">
        <f t="shared" si="437"/>
        <v>0</v>
      </c>
      <c r="DS612" s="56"/>
      <c r="DT612" s="46">
        <f t="shared" si="427"/>
        <v>0</v>
      </c>
      <c r="DU612" s="56"/>
      <c r="DV612" s="46">
        <f t="shared" si="430"/>
        <v>0</v>
      </c>
      <c r="DW612" s="56"/>
      <c r="DX612" s="47">
        <f t="shared" si="418"/>
        <v>0</v>
      </c>
      <c r="DY612" s="56"/>
      <c r="DZ612" s="56"/>
      <c r="EA612" s="56"/>
      <c r="EB612" s="56"/>
      <c r="EC612" s="56"/>
      <c r="ED612" s="56"/>
      <c r="EE612" s="47">
        <f t="shared" si="428"/>
        <v>0</v>
      </c>
      <c r="EF612" s="56"/>
      <c r="EG612" s="56"/>
      <c r="EH612" s="56"/>
      <c r="EI612" s="56"/>
      <c r="EJ612" s="56"/>
      <c r="EK612" s="47">
        <f t="shared" si="438"/>
        <v>0</v>
      </c>
      <c r="EL612" s="46">
        <f t="shared" si="439"/>
        <v>0</v>
      </c>
      <c r="EM612" s="56"/>
      <c r="EN612" s="61">
        <f t="shared" si="440"/>
        <v>0</v>
      </c>
    </row>
    <row r="613" spans="2:144" s="51" customFormat="1" ht="15" customHeight="1" x14ac:dyDescent="0.25">
      <c r="B613" s="41">
        <v>135</v>
      </c>
      <c r="C613" s="52"/>
      <c r="D613" s="53"/>
      <c r="E613" s="52"/>
      <c r="F613" s="52"/>
      <c r="G613" s="52"/>
      <c r="H613" s="52"/>
      <c r="I613" s="52"/>
      <c r="J613" s="52"/>
      <c r="K613" s="52"/>
      <c r="L613" s="52"/>
      <c r="M613" s="52"/>
      <c r="N613" s="54"/>
      <c r="O613" s="54"/>
      <c r="P613" s="52"/>
      <c r="Q613" s="55"/>
      <c r="R613" s="55"/>
      <c r="S613" s="55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47">
        <f t="shared" si="420"/>
        <v>0</v>
      </c>
      <c r="AO613" s="46">
        <f t="shared" si="421"/>
        <v>0</v>
      </c>
      <c r="AP613" s="56" t="s">
        <v>104</v>
      </c>
      <c r="AQ613" s="46">
        <f t="shared" si="431"/>
        <v>0</v>
      </c>
      <c r="AR613" s="56"/>
      <c r="AS613" s="56"/>
      <c r="AT613" s="56"/>
      <c r="AU613" s="60">
        <f t="shared" si="432"/>
        <v>0</v>
      </c>
      <c r="AV613" s="56"/>
      <c r="AW613" s="47">
        <f t="shared" si="424"/>
        <v>0</v>
      </c>
      <c r="AX613" s="56"/>
      <c r="AY613" s="56"/>
      <c r="AZ613" s="56"/>
      <c r="BA613" s="56"/>
      <c r="BB613" s="56"/>
      <c r="BC613" s="47"/>
      <c r="BD613" s="56"/>
      <c r="BE613" s="47"/>
      <c r="BF613" s="56"/>
      <c r="BG613" s="56"/>
      <c r="BH613" s="56"/>
      <c r="BI613" s="56"/>
      <c r="BJ613" s="56"/>
      <c r="BK613" s="47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  <c r="CL613" s="56"/>
      <c r="CM613" s="56"/>
      <c r="CN613" s="56"/>
      <c r="CO613" s="56"/>
      <c r="CP613" s="57"/>
      <c r="CQ613" s="56"/>
      <c r="CR613" s="47">
        <f t="shared" si="433"/>
        <v>0</v>
      </c>
      <c r="CS613" s="56"/>
      <c r="CT613" s="56"/>
      <c r="CU613" s="56"/>
      <c r="CV613" s="56"/>
      <c r="CW613" s="47"/>
      <c r="CX613" s="46"/>
      <c r="CY613" s="47"/>
      <c r="CZ613" s="56"/>
      <c r="DA613" s="56"/>
      <c r="DB613" s="56"/>
      <c r="DC613" s="56"/>
      <c r="DD613" s="47"/>
      <c r="DE613" s="56"/>
      <c r="DF613" s="46"/>
      <c r="DG613" s="56"/>
      <c r="DH613" s="57">
        <f t="shared" si="435"/>
        <v>0</v>
      </c>
      <c r="DI613" s="56"/>
      <c r="DJ613" s="56"/>
      <c r="DK613" s="47">
        <f t="shared" si="441"/>
        <v>0</v>
      </c>
      <c r="DL613" s="47">
        <f t="shared" si="436"/>
        <v>0</v>
      </c>
      <c r="DM613" s="56"/>
      <c r="DN613" s="46">
        <f t="shared" si="423"/>
        <v>0</v>
      </c>
      <c r="DO613" s="56"/>
      <c r="DP613" s="46">
        <f t="shared" si="425"/>
        <v>0</v>
      </c>
      <c r="DQ613" s="56"/>
      <c r="DR613" s="46">
        <f t="shared" si="437"/>
        <v>0</v>
      </c>
      <c r="DS613" s="56"/>
      <c r="DT613" s="46">
        <f t="shared" si="427"/>
        <v>0</v>
      </c>
      <c r="DU613" s="56"/>
      <c r="DV613" s="46">
        <f t="shared" si="430"/>
        <v>0</v>
      </c>
      <c r="DW613" s="56"/>
      <c r="DX613" s="47">
        <f t="shared" si="418"/>
        <v>0</v>
      </c>
      <c r="DY613" s="56"/>
      <c r="DZ613" s="56"/>
      <c r="EA613" s="56"/>
      <c r="EB613" s="56"/>
      <c r="EC613" s="56"/>
      <c r="ED613" s="56"/>
      <c r="EE613" s="47">
        <f t="shared" si="428"/>
        <v>0</v>
      </c>
      <c r="EF613" s="56"/>
      <c r="EG613" s="56"/>
      <c r="EH613" s="56"/>
      <c r="EI613" s="56"/>
      <c r="EJ613" s="56"/>
      <c r="EK613" s="47">
        <f t="shared" si="438"/>
        <v>0</v>
      </c>
      <c r="EL613" s="46">
        <f t="shared" si="439"/>
        <v>0</v>
      </c>
      <c r="EM613" s="56"/>
      <c r="EN613" s="61">
        <f t="shared" si="440"/>
        <v>0</v>
      </c>
    </row>
    <row r="614" spans="2:144" s="51" customFormat="1" ht="15" customHeight="1" x14ac:dyDescent="0.25">
      <c r="B614" s="41">
        <v>136</v>
      </c>
      <c r="C614" s="52"/>
      <c r="D614" s="53"/>
      <c r="E614" s="52"/>
      <c r="F614" s="52"/>
      <c r="G614" s="52"/>
      <c r="H614" s="52"/>
      <c r="I614" s="52"/>
      <c r="J614" s="52"/>
      <c r="K614" s="52"/>
      <c r="L614" s="52"/>
      <c r="M614" s="52"/>
      <c r="N614" s="54"/>
      <c r="O614" s="54"/>
      <c r="P614" s="52"/>
      <c r="Q614" s="55"/>
      <c r="R614" s="55"/>
      <c r="S614" s="55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47">
        <f t="shared" si="420"/>
        <v>0</v>
      </c>
      <c r="AO614" s="46">
        <f t="shared" si="421"/>
        <v>0</v>
      </c>
      <c r="AP614" s="56" t="s">
        <v>135</v>
      </c>
      <c r="AQ614" s="46">
        <f t="shared" si="431"/>
        <v>0</v>
      </c>
      <c r="AR614" s="56"/>
      <c r="AS614" s="56"/>
      <c r="AT614" s="56"/>
      <c r="AU614" s="60">
        <f t="shared" si="432"/>
        <v>0</v>
      </c>
      <c r="AV614" s="56"/>
      <c r="AW614" s="47">
        <f t="shared" si="424"/>
        <v>0</v>
      </c>
      <c r="AX614" s="56"/>
      <c r="AY614" s="56"/>
      <c r="AZ614" s="56"/>
      <c r="BA614" s="56"/>
      <c r="BB614" s="56"/>
      <c r="BC614" s="47"/>
      <c r="BD614" s="56"/>
      <c r="BE614" s="47"/>
      <c r="BF614" s="56"/>
      <c r="BG614" s="56"/>
      <c r="BH614" s="56"/>
      <c r="BI614" s="56"/>
      <c r="BJ614" s="56"/>
      <c r="BK614" s="47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  <c r="CL614" s="56"/>
      <c r="CM614" s="56"/>
      <c r="CN614" s="56"/>
      <c r="CO614" s="56"/>
      <c r="CP614" s="57"/>
      <c r="CQ614" s="56"/>
      <c r="CR614" s="47">
        <f t="shared" si="433"/>
        <v>0</v>
      </c>
      <c r="CS614" s="56"/>
      <c r="CT614" s="56"/>
      <c r="CU614" s="56"/>
      <c r="CV614" s="56"/>
      <c r="CW614" s="47"/>
      <c r="CX614" s="46"/>
      <c r="CY614" s="47"/>
      <c r="CZ614" s="56"/>
      <c r="DA614" s="56"/>
      <c r="DB614" s="56"/>
      <c r="DC614" s="56"/>
      <c r="DD614" s="47"/>
      <c r="DE614" s="56"/>
      <c r="DF614" s="46"/>
      <c r="DG614" s="56"/>
      <c r="DH614" s="57">
        <f t="shared" si="435"/>
        <v>0</v>
      </c>
      <c r="DI614" s="56"/>
      <c r="DJ614" s="56"/>
      <c r="DK614" s="47">
        <f t="shared" si="441"/>
        <v>0</v>
      </c>
      <c r="DL614" s="47">
        <f t="shared" si="436"/>
        <v>0</v>
      </c>
      <c r="DM614" s="56"/>
      <c r="DN614" s="46">
        <f t="shared" si="423"/>
        <v>0</v>
      </c>
      <c r="DO614" s="56"/>
      <c r="DP614" s="46">
        <f t="shared" si="425"/>
        <v>0</v>
      </c>
      <c r="DQ614" s="56"/>
      <c r="DR614" s="46">
        <f t="shared" si="437"/>
        <v>0</v>
      </c>
      <c r="DS614" s="56"/>
      <c r="DT614" s="46">
        <f t="shared" si="427"/>
        <v>0</v>
      </c>
      <c r="DU614" s="56"/>
      <c r="DV614" s="46">
        <f t="shared" si="430"/>
        <v>0</v>
      </c>
      <c r="DW614" s="56"/>
      <c r="DX614" s="47">
        <f t="shared" si="418"/>
        <v>0</v>
      </c>
      <c r="DY614" s="56"/>
      <c r="DZ614" s="56"/>
      <c r="EA614" s="56"/>
      <c r="EB614" s="56"/>
      <c r="EC614" s="56"/>
      <c r="ED614" s="56"/>
      <c r="EE614" s="47">
        <f t="shared" si="428"/>
        <v>0</v>
      </c>
      <c r="EF614" s="56"/>
      <c r="EG614" s="56"/>
      <c r="EH614" s="56"/>
      <c r="EI614" s="56"/>
      <c r="EJ614" s="56"/>
      <c r="EK614" s="47">
        <f t="shared" si="438"/>
        <v>0</v>
      </c>
      <c r="EL614" s="46">
        <f t="shared" si="439"/>
        <v>0</v>
      </c>
      <c r="EM614" s="56"/>
      <c r="EN614" s="61">
        <f t="shared" si="440"/>
        <v>0</v>
      </c>
    </row>
    <row r="615" spans="2:144" s="51" customFormat="1" ht="15" customHeight="1" x14ac:dyDescent="0.25">
      <c r="B615" s="41">
        <v>137</v>
      </c>
      <c r="C615" s="52"/>
      <c r="D615" s="53"/>
      <c r="E615" s="52"/>
      <c r="F615" s="52"/>
      <c r="G615" s="52"/>
      <c r="H615" s="52"/>
      <c r="I615" s="52"/>
      <c r="J615" s="52"/>
      <c r="K615" s="52"/>
      <c r="L615" s="52"/>
      <c r="M615" s="52"/>
      <c r="N615" s="54"/>
      <c r="O615" s="54"/>
      <c r="P615" s="52"/>
      <c r="Q615" s="55"/>
      <c r="R615" s="55"/>
      <c r="S615" s="55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47">
        <f t="shared" si="420"/>
        <v>0</v>
      </c>
      <c r="AO615" s="46">
        <f t="shared" si="421"/>
        <v>0</v>
      </c>
      <c r="AP615" s="56" t="s">
        <v>135</v>
      </c>
      <c r="AQ615" s="46">
        <f t="shared" si="431"/>
        <v>0</v>
      </c>
      <c r="AR615" s="56"/>
      <c r="AS615" s="56"/>
      <c r="AT615" s="56"/>
      <c r="AU615" s="60">
        <f t="shared" si="432"/>
        <v>0</v>
      </c>
      <c r="AV615" s="56"/>
      <c r="AW615" s="47">
        <f t="shared" si="424"/>
        <v>0</v>
      </c>
      <c r="AX615" s="56"/>
      <c r="AY615" s="56"/>
      <c r="AZ615" s="56"/>
      <c r="BA615" s="56"/>
      <c r="BB615" s="56"/>
      <c r="BC615" s="47"/>
      <c r="BD615" s="56"/>
      <c r="BE615" s="47"/>
      <c r="BF615" s="56"/>
      <c r="BG615" s="56"/>
      <c r="BH615" s="56"/>
      <c r="BI615" s="56"/>
      <c r="BJ615" s="56"/>
      <c r="BK615" s="47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  <c r="CL615" s="56"/>
      <c r="CM615" s="56"/>
      <c r="CN615" s="56"/>
      <c r="CO615" s="56"/>
      <c r="CP615" s="57"/>
      <c r="CQ615" s="56"/>
      <c r="CR615" s="47">
        <f t="shared" si="433"/>
        <v>0</v>
      </c>
      <c r="CS615" s="56"/>
      <c r="CT615" s="56"/>
      <c r="CU615" s="56"/>
      <c r="CV615" s="56"/>
      <c r="CW615" s="47"/>
      <c r="CX615" s="46"/>
      <c r="CY615" s="47"/>
      <c r="CZ615" s="56"/>
      <c r="DA615" s="56"/>
      <c r="DB615" s="56"/>
      <c r="DC615" s="56"/>
      <c r="DD615" s="47"/>
      <c r="DE615" s="56"/>
      <c r="DF615" s="46"/>
      <c r="DG615" s="56"/>
      <c r="DH615" s="57">
        <f t="shared" si="435"/>
        <v>0</v>
      </c>
      <c r="DI615" s="56"/>
      <c r="DJ615" s="56"/>
      <c r="DK615" s="47">
        <f t="shared" si="441"/>
        <v>0</v>
      </c>
      <c r="DL615" s="47">
        <f t="shared" si="436"/>
        <v>0</v>
      </c>
      <c r="DM615" s="56"/>
      <c r="DN615" s="46">
        <f t="shared" si="423"/>
        <v>0</v>
      </c>
      <c r="DO615" s="56"/>
      <c r="DP615" s="46">
        <f t="shared" si="425"/>
        <v>0</v>
      </c>
      <c r="DQ615" s="56"/>
      <c r="DR615" s="46">
        <f t="shared" si="437"/>
        <v>0</v>
      </c>
      <c r="DS615" s="56"/>
      <c r="DT615" s="46">
        <f t="shared" si="427"/>
        <v>0</v>
      </c>
      <c r="DU615" s="56"/>
      <c r="DV615" s="46">
        <f t="shared" si="430"/>
        <v>0</v>
      </c>
      <c r="DW615" s="56"/>
      <c r="DX615" s="47">
        <f t="shared" si="418"/>
        <v>0</v>
      </c>
      <c r="DY615" s="56"/>
      <c r="DZ615" s="56"/>
      <c r="EA615" s="56"/>
      <c r="EB615" s="56"/>
      <c r="EC615" s="56"/>
      <c r="ED615" s="56"/>
      <c r="EE615" s="47">
        <f t="shared" si="428"/>
        <v>0</v>
      </c>
      <c r="EF615" s="56"/>
      <c r="EG615" s="56"/>
      <c r="EH615" s="56"/>
      <c r="EI615" s="56"/>
      <c r="EJ615" s="56"/>
      <c r="EK615" s="47">
        <f t="shared" si="438"/>
        <v>0</v>
      </c>
      <c r="EL615" s="46">
        <f t="shared" si="439"/>
        <v>0</v>
      </c>
      <c r="EM615" s="56"/>
      <c r="EN615" s="61">
        <f t="shared" si="440"/>
        <v>0</v>
      </c>
    </row>
    <row r="616" spans="2:144" s="51" customFormat="1" ht="15" customHeight="1" x14ac:dyDescent="0.25">
      <c r="B616" s="41">
        <v>89</v>
      </c>
      <c r="C616" s="52"/>
      <c r="D616" s="53"/>
      <c r="E616" s="52"/>
      <c r="F616" s="52"/>
      <c r="G616" s="52"/>
      <c r="H616" s="52"/>
      <c r="I616" s="52"/>
      <c r="J616" s="52"/>
      <c r="K616" s="52"/>
      <c r="L616" s="52"/>
      <c r="M616" s="52"/>
      <c r="N616" s="54"/>
      <c r="O616" s="54"/>
      <c r="P616" s="52"/>
      <c r="Q616" s="55"/>
      <c r="R616" s="55"/>
      <c r="S616" s="55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47">
        <f>+X616+Y616+Z616+AA616+AB616+AC616+AD616+AE616+AF616+AG616+AH616+AI616+AJ616+AL616+AM616</f>
        <v>0</v>
      </c>
      <c r="AO616" s="46">
        <f>+T616-AN616</f>
        <v>0</v>
      </c>
      <c r="AP616" s="56" t="s">
        <v>135</v>
      </c>
      <c r="AQ616" s="46">
        <f>20%*AO616</f>
        <v>0</v>
      </c>
      <c r="AR616" s="56"/>
      <c r="AS616" s="56"/>
      <c r="AT616" s="56"/>
      <c r="AU616" s="60">
        <f>AS616*AT616</f>
        <v>0</v>
      </c>
      <c r="AV616" s="56"/>
      <c r="AW616" s="47">
        <f>AQ616+AU616+AV616+AR616</f>
        <v>0</v>
      </c>
      <c r="AX616" s="56"/>
      <c r="AY616" s="56"/>
      <c r="AZ616" s="56"/>
      <c r="BA616" s="56">
        <v>3</v>
      </c>
      <c r="BB616" s="56">
        <v>50000</v>
      </c>
      <c r="BC616" s="47">
        <f>BA616*BB616</f>
        <v>150000</v>
      </c>
      <c r="BD616" s="56"/>
      <c r="BE616" s="47">
        <f>+AY616+AZ616+BC616+BD616</f>
        <v>150000</v>
      </c>
      <c r="BF616" s="56"/>
      <c r="BG616" s="56"/>
      <c r="BH616" s="56"/>
      <c r="BI616" s="56">
        <v>3</v>
      </c>
      <c r="BJ616" s="56">
        <v>50000</v>
      </c>
      <c r="BK616" s="47">
        <f>+BI616*BJ616</f>
        <v>150000</v>
      </c>
      <c r="BL616" s="56"/>
      <c r="BM616" s="56">
        <f>BK616+BL616</f>
        <v>150000</v>
      </c>
      <c r="BN616" s="56"/>
      <c r="BO616" s="56"/>
      <c r="BP616" s="56"/>
      <c r="BQ616" s="56">
        <v>3</v>
      </c>
      <c r="BR616" s="56">
        <v>50000</v>
      </c>
      <c r="BS616" s="47">
        <f>+BQ616*BR616</f>
        <v>150000</v>
      </c>
      <c r="BT616" s="56"/>
      <c r="BU616" s="47">
        <f>+BO616+BP616+BS616+BT616</f>
        <v>150000</v>
      </c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  <c r="CL616" s="56"/>
      <c r="CM616" s="56"/>
      <c r="CN616" s="56"/>
      <c r="CO616" s="56"/>
      <c r="CP616" s="57"/>
      <c r="CQ616" s="56"/>
      <c r="CR616" s="47">
        <f>CM616+CP616+CQ616</f>
        <v>0</v>
      </c>
      <c r="CS616" s="56"/>
      <c r="CT616" s="56"/>
      <c r="CU616" s="56"/>
      <c r="CV616" s="56"/>
      <c r="CW616" s="47">
        <f>CU616*CV616</f>
        <v>0</v>
      </c>
      <c r="CX616" s="46"/>
      <c r="CY616" s="47">
        <f>+CT616+CW616+CX616</f>
        <v>0</v>
      </c>
      <c r="CZ616" s="56"/>
      <c r="DA616" s="56"/>
      <c r="DB616" s="56"/>
      <c r="DC616" s="56"/>
      <c r="DD616" s="47"/>
      <c r="DE616" s="56"/>
      <c r="DF616" s="46"/>
      <c r="DG616" s="56"/>
      <c r="DH616" s="57">
        <f>AQ616/2</f>
        <v>0</v>
      </c>
      <c r="DI616" s="56"/>
      <c r="DJ616" s="56"/>
      <c r="DK616" s="47">
        <f>DI616*DJ616</f>
        <v>0</v>
      </c>
      <c r="DL616" s="47">
        <f>+DH616+DK616</f>
        <v>0</v>
      </c>
      <c r="DM616" s="56"/>
      <c r="DN616" s="46">
        <f>7.5%*AQ616</f>
        <v>0</v>
      </c>
      <c r="DO616" s="56"/>
      <c r="DP616" s="46">
        <f>DN616</f>
        <v>0</v>
      </c>
      <c r="DQ616" s="56" t="s">
        <v>100</v>
      </c>
      <c r="DR616" s="46">
        <f>DP616</f>
        <v>0</v>
      </c>
      <c r="DS616" s="56"/>
      <c r="DT616" s="46">
        <f>75%*DR616</f>
        <v>0</v>
      </c>
      <c r="DU616" s="56"/>
      <c r="DV616" s="46">
        <f>DT616/2</f>
        <v>0</v>
      </c>
      <c r="DW616" s="56"/>
      <c r="DX616" s="47">
        <f>+DN616+DP616+DR616+DT616+DV616</f>
        <v>0</v>
      </c>
      <c r="DY616" s="56"/>
      <c r="DZ616" s="56"/>
      <c r="EA616" s="56"/>
      <c r="EB616" s="56"/>
      <c r="EC616" s="56"/>
      <c r="ED616" s="56"/>
      <c r="EE616" s="47">
        <f>+AW616+BE616+BM616+CR616+CY616+DF616+DL616+DX616+DY616+DZ616+EB616+EC616</f>
        <v>300000</v>
      </c>
      <c r="EF616" s="56"/>
      <c r="EG616" s="56"/>
      <c r="EH616" s="56"/>
      <c r="EI616" s="56"/>
      <c r="EJ616" s="56"/>
      <c r="EK616" s="47">
        <f>+EG616+EH616+EI616+EJ616</f>
        <v>0</v>
      </c>
      <c r="EL616" s="46">
        <f>+AO616-EE616-EK616</f>
        <v>-300000</v>
      </c>
      <c r="EM616" s="56"/>
      <c r="EN616" s="61">
        <f>EL616+EM616</f>
        <v>-300000</v>
      </c>
    </row>
    <row r="617" spans="2:144" s="51" customFormat="1" ht="15" customHeight="1" x14ac:dyDescent="0.25">
      <c r="B617" s="41">
        <v>97</v>
      </c>
      <c r="C617" s="52"/>
      <c r="D617" s="53"/>
      <c r="E617" s="52"/>
      <c r="F617" s="52"/>
      <c r="G617" s="52"/>
      <c r="H617" s="52"/>
      <c r="I617" s="52"/>
      <c r="J617" s="52"/>
      <c r="K617" s="52"/>
      <c r="L617" s="52"/>
      <c r="M617" s="52"/>
      <c r="N617" s="54"/>
      <c r="O617" s="54"/>
      <c r="P617" s="52"/>
      <c r="Q617" s="55"/>
      <c r="R617" s="55"/>
      <c r="S617" s="55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47">
        <f>+X617+Y617+Z617+AA617+AB617+AC617+AD617+AE617+AF617+AG617+AH617+AI617+AJ617+AL617+AM617</f>
        <v>0</v>
      </c>
      <c r="AO617" s="46">
        <f>+T617-AN617</f>
        <v>0</v>
      </c>
      <c r="AP617" s="56" t="s">
        <v>135</v>
      </c>
      <c r="AQ617" s="46">
        <f>20%*AO617</f>
        <v>0</v>
      </c>
      <c r="AR617" s="56"/>
      <c r="AS617" s="56"/>
      <c r="AT617" s="56"/>
      <c r="AU617" s="60">
        <f>AS617*AT617</f>
        <v>0</v>
      </c>
      <c r="AV617" s="56"/>
      <c r="AW617" s="47">
        <f>AQ617+AU617+AV617+AR617</f>
        <v>0</v>
      </c>
      <c r="AX617" s="56"/>
      <c r="AY617" s="56"/>
      <c r="AZ617" s="56"/>
      <c r="BA617" s="56">
        <v>3</v>
      </c>
      <c r="BB617" s="56">
        <v>50000</v>
      </c>
      <c r="BC617" s="47">
        <f>BA617*BB617</f>
        <v>150000</v>
      </c>
      <c r="BD617" s="56"/>
      <c r="BE617" s="47">
        <f>+AY617+AZ617+BC617+BD617</f>
        <v>150000</v>
      </c>
      <c r="BF617" s="56"/>
      <c r="BG617" s="56"/>
      <c r="BH617" s="56"/>
      <c r="BI617" s="56"/>
      <c r="BJ617" s="56"/>
      <c r="BK617" s="47">
        <f>+BI617*BJ617</f>
        <v>0</v>
      </c>
      <c r="BL617" s="56"/>
      <c r="BM617" s="56">
        <f>BK617+BL617</f>
        <v>0</v>
      </c>
      <c r="BN617" s="56"/>
      <c r="BO617" s="56"/>
      <c r="BP617" s="56"/>
      <c r="BQ617" s="56"/>
      <c r="BR617" s="56"/>
      <c r="BS617" s="47">
        <f>+BQ617*BR617</f>
        <v>0</v>
      </c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  <c r="CL617" s="56"/>
      <c r="CM617" s="56"/>
      <c r="CN617" s="56"/>
      <c r="CO617" s="56"/>
      <c r="CP617" s="57"/>
      <c r="CQ617" s="56"/>
      <c r="CR617" s="47">
        <f>CM617+CP617+CQ617</f>
        <v>0</v>
      </c>
      <c r="CS617" s="56"/>
      <c r="CT617" s="56"/>
      <c r="CU617" s="56"/>
      <c r="CV617" s="56"/>
      <c r="CW617" s="47">
        <f>CU617*CV617</f>
        <v>0</v>
      </c>
      <c r="CX617" s="46"/>
      <c r="CY617" s="47">
        <f>+CT617+CW617+CX617</f>
        <v>0</v>
      </c>
      <c r="CZ617" s="56"/>
      <c r="DA617" s="56"/>
      <c r="DB617" s="56"/>
      <c r="DC617" s="56"/>
      <c r="DD617" s="47"/>
      <c r="DE617" s="56"/>
      <c r="DF617" s="46"/>
      <c r="DG617" s="56"/>
      <c r="DH617" s="57">
        <f>AQ617/2</f>
        <v>0</v>
      </c>
      <c r="DI617" s="56"/>
      <c r="DJ617" s="56"/>
      <c r="DK617" s="47">
        <f>DI617*DJ617</f>
        <v>0</v>
      </c>
      <c r="DL617" s="47">
        <f>+DH617+DK617</f>
        <v>0</v>
      </c>
      <c r="DM617" s="56"/>
      <c r="DN617" s="46">
        <f>7.5%*AQ617</f>
        <v>0</v>
      </c>
      <c r="DO617" s="56"/>
      <c r="DP617" s="46">
        <f>DN617</f>
        <v>0</v>
      </c>
      <c r="DQ617" s="56" t="s">
        <v>122</v>
      </c>
      <c r="DR617" s="46">
        <f>DP617</f>
        <v>0</v>
      </c>
      <c r="DS617" s="56"/>
      <c r="DT617" s="46">
        <f>75%*DR617</f>
        <v>0</v>
      </c>
      <c r="DU617" s="56"/>
      <c r="DV617" s="46">
        <f>DT617/2</f>
        <v>0</v>
      </c>
      <c r="DW617" s="56"/>
      <c r="DX617" s="47">
        <f>+DN617+DP617+DR617+DT617+DV617</f>
        <v>0</v>
      </c>
      <c r="DY617" s="56"/>
      <c r="DZ617" s="56"/>
      <c r="EA617" s="56"/>
      <c r="EB617" s="56"/>
      <c r="EC617" s="56"/>
      <c r="ED617" s="56"/>
      <c r="EE617" s="47">
        <f>+AW617+BE617+BM617+CR617+CY617+DF617+DL617+DX617+DY617+DZ617+EB617+EC617</f>
        <v>150000</v>
      </c>
      <c r="EF617" s="56"/>
      <c r="EG617" s="56"/>
      <c r="EH617" s="56"/>
      <c r="EI617" s="56"/>
      <c r="EJ617" s="56"/>
      <c r="EK617" s="47">
        <f>+EG617+EH617+EI617+EJ617</f>
        <v>0</v>
      </c>
      <c r="EL617" s="46">
        <f>+AO617-EE617-EK617</f>
        <v>-150000</v>
      </c>
      <c r="EM617" s="56"/>
      <c r="EN617" s="61">
        <f>EL617+EM617</f>
        <v>-150000</v>
      </c>
    </row>
    <row r="618" spans="2:144" s="51" customFormat="1" ht="15" customHeight="1" x14ac:dyDescent="0.25">
      <c r="B618" s="41"/>
      <c r="C618" s="52"/>
      <c r="D618" s="53"/>
      <c r="E618" s="52"/>
      <c r="F618" s="52"/>
      <c r="G618" s="52"/>
      <c r="H618" s="52"/>
      <c r="I618" s="52"/>
      <c r="J618" s="52"/>
      <c r="K618" s="52"/>
      <c r="L618" s="52"/>
      <c r="M618" s="52"/>
      <c r="N618" s="54"/>
      <c r="O618" s="54"/>
      <c r="P618" s="52"/>
      <c r="Q618" s="55"/>
      <c r="R618" s="55"/>
      <c r="S618" s="55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47">
        <f t="shared" si="420"/>
        <v>0</v>
      </c>
      <c r="AO618" s="46">
        <f t="shared" si="421"/>
        <v>0</v>
      </c>
      <c r="AP618" s="56"/>
      <c r="AQ618" s="46">
        <f t="shared" si="431"/>
        <v>0</v>
      </c>
      <c r="AR618" s="56"/>
      <c r="AS618" s="56"/>
      <c r="AT618" s="56"/>
      <c r="AU618" s="60"/>
      <c r="AV618" s="56"/>
      <c r="AW618" s="47"/>
      <c r="AX618" s="56"/>
      <c r="AY618" s="56"/>
      <c r="AZ618" s="56"/>
      <c r="BA618" s="56"/>
      <c r="BB618" s="56"/>
      <c r="BC618" s="47"/>
      <c r="BD618" s="56"/>
      <c r="BE618" s="47"/>
      <c r="BF618" s="56"/>
      <c r="BG618" s="56"/>
      <c r="BH618" s="56"/>
      <c r="BI618" s="56"/>
      <c r="BJ618" s="56"/>
      <c r="BK618" s="47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  <c r="CL618" s="56"/>
      <c r="CM618" s="56"/>
      <c r="CN618" s="56"/>
      <c r="CO618" s="56"/>
      <c r="CP618" s="57"/>
      <c r="CQ618" s="56"/>
      <c r="CR618" s="47"/>
      <c r="CS618" s="56"/>
      <c r="CT618" s="56"/>
      <c r="CU618" s="56"/>
      <c r="CV618" s="56"/>
      <c r="CW618" s="47"/>
      <c r="CX618" s="46"/>
      <c r="CY618" s="47"/>
      <c r="CZ618" s="56"/>
      <c r="DA618" s="56"/>
      <c r="DB618" s="56"/>
      <c r="DC618" s="56"/>
      <c r="DD618" s="47"/>
      <c r="DE618" s="56"/>
      <c r="DF618" s="46"/>
      <c r="DG618" s="56"/>
      <c r="DH618" s="57">
        <f t="shared" si="435"/>
        <v>0</v>
      </c>
      <c r="DI618" s="56"/>
      <c r="DJ618" s="56"/>
      <c r="DK618" s="47"/>
      <c r="DL618" s="47"/>
      <c r="DM618" s="56"/>
      <c r="DN618" s="46">
        <f t="shared" si="423"/>
        <v>0</v>
      </c>
      <c r="DO618" s="56"/>
      <c r="DP618" s="46">
        <f t="shared" si="425"/>
        <v>0</v>
      </c>
      <c r="DQ618" s="56"/>
      <c r="DR618" s="46">
        <f t="shared" si="437"/>
        <v>0</v>
      </c>
      <c r="DS618" s="56"/>
      <c r="DT618" s="46">
        <f t="shared" si="427"/>
        <v>0</v>
      </c>
      <c r="DU618" s="56"/>
      <c r="DV618" s="46">
        <f t="shared" si="430"/>
        <v>0</v>
      </c>
      <c r="DW618" s="56"/>
      <c r="DX618" s="47">
        <f t="shared" si="418"/>
        <v>0</v>
      </c>
      <c r="DY618" s="56"/>
      <c r="DZ618" s="56"/>
      <c r="EA618" s="56"/>
      <c r="EB618" s="56"/>
      <c r="EC618" s="56"/>
      <c r="ED618" s="56"/>
      <c r="EE618" s="47"/>
      <c r="EF618" s="56"/>
      <c r="EG618" s="56"/>
      <c r="EH618" s="56"/>
      <c r="EI618" s="56"/>
      <c r="EJ618" s="56"/>
      <c r="EK618" s="47"/>
      <c r="EL618" s="46"/>
      <c r="EM618" s="56"/>
      <c r="EN618" s="61"/>
    </row>
    <row r="619" spans="2:144" s="51" customFormat="1" ht="15" customHeight="1" x14ac:dyDescent="0.25">
      <c r="B619" s="41"/>
      <c r="C619" s="52"/>
      <c r="D619" s="53"/>
      <c r="E619" s="52"/>
      <c r="F619" s="52"/>
      <c r="G619" s="52"/>
      <c r="H619" s="52"/>
      <c r="I619" s="52"/>
      <c r="J619" s="52"/>
      <c r="K619" s="52"/>
      <c r="L619" s="52"/>
      <c r="M619" s="52"/>
      <c r="N619" s="54"/>
      <c r="O619" s="54"/>
      <c r="P619" s="52"/>
      <c r="Q619" s="55"/>
      <c r="R619" s="55"/>
      <c r="S619" s="55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47">
        <f t="shared" si="420"/>
        <v>0</v>
      </c>
      <c r="AO619" s="46">
        <f t="shared" si="421"/>
        <v>0</v>
      </c>
      <c r="AP619" s="56"/>
      <c r="AQ619" s="46">
        <f t="shared" si="431"/>
        <v>0</v>
      </c>
      <c r="AR619" s="56"/>
      <c r="AS619" s="56"/>
      <c r="AT619" s="56"/>
      <c r="AU619" s="60"/>
      <c r="AV619" s="56"/>
      <c r="AW619" s="47"/>
      <c r="AX619" s="56"/>
      <c r="AY619" s="56"/>
      <c r="AZ619" s="56"/>
      <c r="BA619" s="56"/>
      <c r="BB619" s="56"/>
      <c r="BC619" s="47"/>
      <c r="BD619" s="56"/>
      <c r="BE619" s="47"/>
      <c r="BF619" s="56"/>
      <c r="BG619" s="56"/>
      <c r="BH619" s="56"/>
      <c r="BI619" s="56"/>
      <c r="BJ619" s="56"/>
      <c r="BK619" s="47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  <c r="CL619" s="56"/>
      <c r="CM619" s="56"/>
      <c r="CN619" s="56"/>
      <c r="CO619" s="56"/>
      <c r="CP619" s="57"/>
      <c r="CQ619" s="56"/>
      <c r="CR619" s="47"/>
      <c r="CS619" s="56"/>
      <c r="CT619" s="56"/>
      <c r="CU619" s="56"/>
      <c r="CV619" s="56"/>
      <c r="CW619" s="47"/>
      <c r="CX619" s="46"/>
      <c r="CY619" s="47"/>
      <c r="CZ619" s="56"/>
      <c r="DA619" s="56"/>
      <c r="DB619" s="56"/>
      <c r="DC619" s="56"/>
      <c r="DD619" s="47"/>
      <c r="DE619" s="56"/>
      <c r="DF619" s="46"/>
      <c r="DG619" s="56"/>
      <c r="DH619" s="57">
        <f t="shared" si="435"/>
        <v>0</v>
      </c>
      <c r="DI619" s="56"/>
      <c r="DJ619" s="56"/>
      <c r="DK619" s="47"/>
      <c r="DL619" s="47"/>
      <c r="DM619" s="56"/>
      <c r="DN619" s="46">
        <f t="shared" si="423"/>
        <v>0</v>
      </c>
      <c r="DO619" s="56"/>
      <c r="DP619" s="46">
        <f t="shared" si="425"/>
        <v>0</v>
      </c>
      <c r="DQ619" s="56"/>
      <c r="DR619" s="46">
        <f t="shared" si="437"/>
        <v>0</v>
      </c>
      <c r="DS619" s="56"/>
      <c r="DT619" s="46">
        <f t="shared" si="427"/>
        <v>0</v>
      </c>
      <c r="DU619" s="56"/>
      <c r="DV619" s="46">
        <f t="shared" si="430"/>
        <v>0</v>
      </c>
      <c r="DW619" s="56"/>
      <c r="DX619" s="47">
        <f t="shared" si="418"/>
        <v>0</v>
      </c>
      <c r="DY619" s="56"/>
      <c r="DZ619" s="56"/>
      <c r="EA619" s="56"/>
      <c r="EB619" s="56"/>
      <c r="EC619" s="56"/>
      <c r="ED619" s="56"/>
      <c r="EE619" s="47"/>
      <c r="EF619" s="56"/>
      <c r="EG619" s="56"/>
      <c r="EH619" s="56"/>
      <c r="EI619" s="56"/>
      <c r="EJ619" s="56"/>
      <c r="EK619" s="47"/>
      <c r="EL619" s="46"/>
      <c r="EM619" s="56"/>
      <c r="EN619" s="61"/>
    </row>
    <row r="620" spans="2:144" s="51" customFormat="1" ht="15" customHeight="1" x14ac:dyDescent="0.25">
      <c r="B620" s="41"/>
      <c r="C620" s="52"/>
      <c r="D620" s="53"/>
      <c r="E620" s="52"/>
      <c r="F620" s="52"/>
      <c r="G620" s="52"/>
      <c r="H620" s="52"/>
      <c r="I620" s="52"/>
      <c r="J620" s="52"/>
      <c r="K620" s="52"/>
      <c r="L620" s="52"/>
      <c r="M620" s="52"/>
      <c r="N620" s="54"/>
      <c r="O620" s="54"/>
      <c r="P620" s="52"/>
      <c r="Q620" s="55"/>
      <c r="R620" s="55"/>
      <c r="S620" s="55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47">
        <f t="shared" si="420"/>
        <v>0</v>
      </c>
      <c r="AO620" s="46">
        <f t="shared" si="421"/>
        <v>0</v>
      </c>
      <c r="AP620" s="56"/>
      <c r="AQ620" s="46">
        <f t="shared" si="431"/>
        <v>0</v>
      </c>
      <c r="AR620" s="56"/>
      <c r="AS620" s="56"/>
      <c r="AT620" s="56"/>
      <c r="AU620" s="60"/>
      <c r="AV620" s="56"/>
      <c r="AW620" s="47"/>
      <c r="AX620" s="56"/>
      <c r="AY620" s="56"/>
      <c r="AZ620" s="56"/>
      <c r="BA620" s="56"/>
      <c r="BB620" s="56"/>
      <c r="BC620" s="47"/>
      <c r="BD620" s="56"/>
      <c r="BE620" s="47"/>
      <c r="BF620" s="56"/>
      <c r="BG620" s="56"/>
      <c r="BH620" s="56"/>
      <c r="BI620" s="56"/>
      <c r="BJ620" s="56"/>
      <c r="BK620" s="47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  <c r="CL620" s="56"/>
      <c r="CM620" s="56"/>
      <c r="CN620" s="56"/>
      <c r="CO620" s="56"/>
      <c r="CP620" s="57"/>
      <c r="CQ620" s="56"/>
      <c r="CR620" s="47"/>
      <c r="CS620" s="56"/>
      <c r="CT620" s="56"/>
      <c r="CU620" s="56"/>
      <c r="CV620" s="56"/>
      <c r="CW620" s="47"/>
      <c r="CX620" s="46"/>
      <c r="CY620" s="47"/>
      <c r="CZ620" s="56"/>
      <c r="DA620" s="56"/>
      <c r="DB620" s="56"/>
      <c r="DC620" s="56"/>
      <c r="DD620" s="47"/>
      <c r="DE620" s="56"/>
      <c r="DF620" s="46"/>
      <c r="DG620" s="56"/>
      <c r="DH620" s="57">
        <f t="shared" si="435"/>
        <v>0</v>
      </c>
      <c r="DI620" s="56"/>
      <c r="DJ620" s="56"/>
      <c r="DK620" s="47"/>
      <c r="DL620" s="47"/>
      <c r="DM620" s="56"/>
      <c r="DN620" s="46">
        <f t="shared" si="423"/>
        <v>0</v>
      </c>
      <c r="DO620" s="56"/>
      <c r="DP620" s="46">
        <f t="shared" si="425"/>
        <v>0</v>
      </c>
      <c r="DQ620" s="56"/>
      <c r="DR620" s="46">
        <f t="shared" si="437"/>
        <v>0</v>
      </c>
      <c r="DS620" s="56"/>
      <c r="DT620" s="46">
        <f t="shared" si="427"/>
        <v>0</v>
      </c>
      <c r="DU620" s="56"/>
      <c r="DV620" s="46">
        <f t="shared" si="430"/>
        <v>0</v>
      </c>
      <c r="DW620" s="56"/>
      <c r="DX620" s="47">
        <f t="shared" si="418"/>
        <v>0</v>
      </c>
      <c r="DY620" s="56"/>
      <c r="DZ620" s="56"/>
      <c r="EA620" s="56"/>
      <c r="EB620" s="56"/>
      <c r="EC620" s="56"/>
      <c r="ED620" s="56"/>
      <c r="EE620" s="47"/>
      <c r="EF620" s="56"/>
      <c r="EG620" s="56"/>
      <c r="EH620" s="56"/>
      <c r="EI620" s="56"/>
      <c r="EJ620" s="56"/>
      <c r="EK620" s="47"/>
      <c r="EL620" s="46"/>
      <c r="EM620" s="56"/>
      <c r="EN620" s="61"/>
    </row>
    <row r="621" spans="2:144" s="51" customFormat="1" ht="15" customHeight="1" x14ac:dyDescent="0.25">
      <c r="B621" s="41"/>
      <c r="C621" s="52"/>
      <c r="D621" s="53"/>
      <c r="E621" s="52"/>
      <c r="F621" s="52"/>
      <c r="G621" s="52"/>
      <c r="H621" s="52"/>
      <c r="I621" s="52"/>
      <c r="J621" s="52"/>
      <c r="K621" s="52"/>
      <c r="L621" s="52"/>
      <c r="M621" s="52"/>
      <c r="N621" s="54"/>
      <c r="O621" s="54"/>
      <c r="P621" s="52"/>
      <c r="Q621" s="55"/>
      <c r="R621" s="55"/>
      <c r="S621" s="55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47"/>
      <c r="AO621" s="46"/>
      <c r="AP621" s="56"/>
      <c r="AQ621" s="46">
        <f t="shared" si="431"/>
        <v>0</v>
      </c>
      <c r="AR621" s="56"/>
      <c r="AS621" s="56"/>
      <c r="AT621" s="56"/>
      <c r="AU621" s="60"/>
      <c r="AV621" s="56"/>
      <c r="AW621" s="47"/>
      <c r="AX621" s="56"/>
      <c r="AY621" s="56"/>
      <c r="AZ621" s="56"/>
      <c r="BA621" s="56"/>
      <c r="BB621" s="56"/>
      <c r="BC621" s="47"/>
      <c r="BD621" s="56"/>
      <c r="BE621" s="47"/>
      <c r="BF621" s="56"/>
      <c r="BG621" s="56"/>
      <c r="BH621" s="56"/>
      <c r="BI621" s="56"/>
      <c r="BJ621" s="56"/>
      <c r="BK621" s="47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  <c r="CL621" s="56"/>
      <c r="CM621" s="56"/>
      <c r="CN621" s="56"/>
      <c r="CO621" s="56"/>
      <c r="CP621" s="57"/>
      <c r="CQ621" s="56"/>
      <c r="CR621" s="47"/>
      <c r="CS621" s="56"/>
      <c r="CT621" s="56"/>
      <c r="CU621" s="56"/>
      <c r="CV621" s="56"/>
      <c r="CW621" s="47"/>
      <c r="CX621" s="46"/>
      <c r="CY621" s="47"/>
      <c r="CZ621" s="56"/>
      <c r="DA621" s="56"/>
      <c r="DB621" s="56"/>
      <c r="DC621" s="56"/>
      <c r="DD621" s="47"/>
      <c r="DE621" s="56"/>
      <c r="DF621" s="46"/>
      <c r="DG621" s="56"/>
      <c r="DH621" s="57">
        <f t="shared" si="435"/>
        <v>0</v>
      </c>
      <c r="DI621" s="56"/>
      <c r="DJ621" s="56"/>
      <c r="DK621" s="47"/>
      <c r="DL621" s="47"/>
      <c r="DM621" s="56"/>
      <c r="DN621" s="46">
        <f t="shared" si="423"/>
        <v>0</v>
      </c>
      <c r="DO621" s="56"/>
      <c r="DP621" s="46">
        <f t="shared" si="425"/>
        <v>0</v>
      </c>
      <c r="DQ621" s="56"/>
      <c r="DR621" s="46">
        <f t="shared" si="437"/>
        <v>0</v>
      </c>
      <c r="DS621" s="56"/>
      <c r="DT621" s="46">
        <f t="shared" si="427"/>
        <v>0</v>
      </c>
      <c r="DU621" s="56"/>
      <c r="DV621" s="46">
        <f t="shared" si="430"/>
        <v>0</v>
      </c>
      <c r="DW621" s="56"/>
      <c r="DX621" s="47">
        <f t="shared" si="418"/>
        <v>0</v>
      </c>
      <c r="DY621" s="56"/>
      <c r="DZ621" s="56"/>
      <c r="EA621" s="56"/>
      <c r="EB621" s="56"/>
      <c r="EC621" s="56"/>
      <c r="ED621" s="56"/>
      <c r="EE621" s="47"/>
      <c r="EF621" s="56"/>
      <c r="EG621" s="56"/>
      <c r="EH621" s="56"/>
      <c r="EI621" s="56"/>
      <c r="EJ621" s="56"/>
      <c r="EK621" s="47"/>
      <c r="EL621" s="46"/>
      <c r="EM621" s="56"/>
      <c r="EN621" s="61"/>
    </row>
    <row r="622" spans="2:144" s="51" customFormat="1" ht="15" customHeight="1" x14ac:dyDescent="0.25">
      <c r="B622" s="41"/>
      <c r="C622" s="52"/>
      <c r="D622" s="53"/>
      <c r="E622" s="52"/>
      <c r="F622" s="52"/>
      <c r="G622" s="52"/>
      <c r="H622" s="52"/>
      <c r="I622" s="52"/>
      <c r="J622" s="52"/>
      <c r="K622" s="52"/>
      <c r="L622" s="52"/>
      <c r="M622" s="52"/>
      <c r="N622" s="54"/>
      <c r="O622" s="54"/>
      <c r="P622" s="52"/>
      <c r="Q622" s="55"/>
      <c r="R622" s="55"/>
      <c r="S622" s="55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47"/>
      <c r="AO622" s="46"/>
      <c r="AP622" s="56"/>
      <c r="AQ622" s="46">
        <f t="shared" si="431"/>
        <v>0</v>
      </c>
      <c r="AR622" s="56"/>
      <c r="AS622" s="56"/>
      <c r="AT622" s="56"/>
      <c r="AU622" s="60"/>
      <c r="AV622" s="56"/>
      <c r="AW622" s="47"/>
      <c r="AX622" s="56"/>
      <c r="AY622" s="56"/>
      <c r="AZ622" s="56"/>
      <c r="BA622" s="56"/>
      <c r="BB622" s="56"/>
      <c r="BC622" s="47"/>
      <c r="BD622" s="56"/>
      <c r="BE622" s="47"/>
      <c r="BF622" s="56"/>
      <c r="BG622" s="56"/>
      <c r="BH622" s="56"/>
      <c r="BI622" s="56"/>
      <c r="BJ622" s="56"/>
      <c r="BK622" s="47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  <c r="CL622" s="56"/>
      <c r="CM622" s="56"/>
      <c r="CN622" s="56"/>
      <c r="CO622" s="56"/>
      <c r="CP622" s="57"/>
      <c r="CQ622" s="56"/>
      <c r="CR622" s="47"/>
      <c r="CS622" s="56"/>
      <c r="CT622" s="56"/>
      <c r="CU622" s="56"/>
      <c r="CV622" s="56"/>
      <c r="CW622" s="47"/>
      <c r="CX622" s="46"/>
      <c r="CY622" s="47"/>
      <c r="CZ622" s="56"/>
      <c r="DA622" s="56"/>
      <c r="DB622" s="56"/>
      <c r="DC622" s="56"/>
      <c r="DD622" s="47"/>
      <c r="DE622" s="56"/>
      <c r="DF622" s="46"/>
      <c r="DG622" s="56"/>
      <c r="DH622" s="57"/>
      <c r="DI622" s="56"/>
      <c r="DJ622" s="56"/>
      <c r="DK622" s="47"/>
      <c r="DL622" s="47"/>
      <c r="DM622" s="56"/>
      <c r="DN622" s="46">
        <f t="shared" si="423"/>
        <v>0</v>
      </c>
      <c r="DO622" s="56"/>
      <c r="DP622" s="46">
        <f t="shared" si="425"/>
        <v>0</v>
      </c>
      <c r="DQ622" s="56"/>
      <c r="DR622" s="46">
        <f t="shared" si="437"/>
        <v>0</v>
      </c>
      <c r="DS622" s="56"/>
      <c r="DT622" s="46">
        <f t="shared" si="427"/>
        <v>0</v>
      </c>
      <c r="DU622" s="56"/>
      <c r="DV622" s="46">
        <f t="shared" si="430"/>
        <v>0</v>
      </c>
      <c r="DW622" s="56"/>
      <c r="DX622" s="47">
        <f t="shared" si="418"/>
        <v>0</v>
      </c>
      <c r="DY622" s="56"/>
      <c r="DZ622" s="56"/>
      <c r="EA622" s="56"/>
      <c r="EB622" s="56"/>
      <c r="EC622" s="56"/>
      <c r="ED622" s="56"/>
      <c r="EE622" s="47"/>
      <c r="EF622" s="56"/>
      <c r="EG622" s="56"/>
      <c r="EH622" s="56"/>
      <c r="EI622" s="56"/>
      <c r="EJ622" s="56"/>
      <c r="EK622" s="47"/>
      <c r="EL622" s="46"/>
      <c r="EM622" s="56"/>
      <c r="EN622" s="61"/>
    </row>
    <row r="623" spans="2:144" s="51" customFormat="1" ht="15" customHeight="1" x14ac:dyDescent="0.25">
      <c r="B623" s="41"/>
      <c r="C623" s="52"/>
      <c r="D623" s="53"/>
      <c r="E623" s="52"/>
      <c r="F623" s="52"/>
      <c r="G623" s="52"/>
      <c r="H623" s="52"/>
      <c r="I623" s="52"/>
      <c r="J623" s="52"/>
      <c r="K623" s="52"/>
      <c r="L623" s="52"/>
      <c r="M623" s="52"/>
      <c r="N623" s="54"/>
      <c r="O623" s="54"/>
      <c r="P623" s="52"/>
      <c r="Q623" s="55"/>
      <c r="R623" s="55"/>
      <c r="S623" s="55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47"/>
      <c r="AO623" s="46"/>
      <c r="AP623" s="56"/>
      <c r="AQ623" s="46">
        <f t="shared" si="431"/>
        <v>0</v>
      </c>
      <c r="AR623" s="56"/>
      <c r="AS623" s="56"/>
      <c r="AT623" s="56"/>
      <c r="AU623" s="60"/>
      <c r="AV623" s="56"/>
      <c r="AW623" s="47"/>
      <c r="AX623" s="56"/>
      <c r="AY623" s="56"/>
      <c r="AZ623" s="56"/>
      <c r="BA623" s="56"/>
      <c r="BB623" s="56"/>
      <c r="BC623" s="47"/>
      <c r="BD623" s="56"/>
      <c r="BE623" s="47"/>
      <c r="BF623" s="56"/>
      <c r="BG623" s="56"/>
      <c r="BH623" s="56"/>
      <c r="BI623" s="56"/>
      <c r="BJ623" s="56"/>
      <c r="BK623" s="47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  <c r="CL623" s="56"/>
      <c r="CM623" s="56"/>
      <c r="CN623" s="56"/>
      <c r="CO623" s="56"/>
      <c r="CP623" s="57"/>
      <c r="CQ623" s="56"/>
      <c r="CR623" s="47"/>
      <c r="CS623" s="56"/>
      <c r="CT623" s="56"/>
      <c r="CU623" s="56"/>
      <c r="CV623" s="56"/>
      <c r="CW623" s="47"/>
      <c r="CX623" s="46"/>
      <c r="CY623" s="47"/>
      <c r="CZ623" s="56"/>
      <c r="DA623" s="56"/>
      <c r="DB623" s="56"/>
      <c r="DC623" s="56"/>
      <c r="DD623" s="47"/>
      <c r="DE623" s="56"/>
      <c r="DF623" s="46"/>
      <c r="DG623" s="56"/>
      <c r="DH623" s="57"/>
      <c r="DI623" s="56"/>
      <c r="DJ623" s="56"/>
      <c r="DK623" s="47"/>
      <c r="DL623" s="47"/>
      <c r="DM623" s="56"/>
      <c r="DN623" s="46">
        <f t="shared" si="423"/>
        <v>0</v>
      </c>
      <c r="DO623" s="56"/>
      <c r="DP623" s="46">
        <f t="shared" si="425"/>
        <v>0</v>
      </c>
      <c r="DQ623" s="56"/>
      <c r="DR623" s="46">
        <f t="shared" si="437"/>
        <v>0</v>
      </c>
      <c r="DS623" s="56"/>
      <c r="DT623" s="46">
        <f t="shared" si="427"/>
        <v>0</v>
      </c>
      <c r="DU623" s="56"/>
      <c r="DV623" s="46">
        <f t="shared" si="430"/>
        <v>0</v>
      </c>
      <c r="DW623" s="56"/>
      <c r="DX623" s="47">
        <f t="shared" si="418"/>
        <v>0</v>
      </c>
      <c r="DY623" s="56"/>
      <c r="DZ623" s="56"/>
      <c r="EA623" s="56"/>
      <c r="EB623" s="56"/>
      <c r="EC623" s="56"/>
      <c r="ED623" s="56"/>
      <c r="EE623" s="47"/>
      <c r="EF623" s="56"/>
      <c r="EG623" s="56"/>
      <c r="EH623" s="56"/>
      <c r="EI623" s="56"/>
      <c r="EJ623" s="56"/>
      <c r="EK623" s="47"/>
      <c r="EL623" s="46"/>
      <c r="EM623" s="56"/>
      <c r="EN623" s="61"/>
    </row>
    <row r="624" spans="2:144" s="48" customFormat="1" ht="15" customHeight="1" x14ac:dyDescent="0.25">
      <c r="B624" s="41"/>
      <c r="C624" s="97"/>
      <c r="D624" s="98"/>
      <c r="E624" s="97"/>
      <c r="F624" s="97"/>
      <c r="G624" s="97"/>
      <c r="H624" s="97"/>
      <c r="I624" s="97"/>
      <c r="J624" s="97"/>
      <c r="K624" s="97"/>
      <c r="L624" s="97"/>
      <c r="M624" s="97"/>
      <c r="N624" s="142"/>
      <c r="O624" s="142"/>
      <c r="P624" s="97"/>
      <c r="Q624" s="143"/>
      <c r="R624" s="143"/>
      <c r="S624" s="97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47">
        <f t="shared" si="420"/>
        <v>0</v>
      </c>
      <c r="AO624" s="46">
        <f t="shared" si="421"/>
        <v>0</v>
      </c>
      <c r="AP624" s="61" t="s">
        <v>145</v>
      </c>
      <c r="AQ624" s="46">
        <f t="shared" si="431"/>
        <v>0</v>
      </c>
      <c r="AR624" s="61"/>
      <c r="AS624" s="61"/>
      <c r="AT624" s="61"/>
      <c r="AU624" s="60">
        <f>AS624*AT624</f>
        <v>0</v>
      </c>
      <c r="AV624" s="61"/>
      <c r="AW624" s="47">
        <f>AQ624+AU624+AV624+AR624</f>
        <v>0</v>
      </c>
      <c r="AX624" s="61"/>
      <c r="AY624" s="61"/>
      <c r="AZ624" s="61"/>
      <c r="BA624" s="61"/>
      <c r="BB624" s="61"/>
      <c r="BC624" s="47">
        <f>BA624*BB624</f>
        <v>0</v>
      </c>
      <c r="BD624" s="61"/>
      <c r="BE624" s="47">
        <f t="shared" ref="BE624:BE625" si="442">+AY624+AZ624+BC624+BD624</f>
        <v>0</v>
      </c>
      <c r="BF624" s="61"/>
      <c r="BG624" s="61"/>
      <c r="BH624" s="61"/>
      <c r="BI624" s="61"/>
      <c r="BJ624" s="61"/>
      <c r="BK624" s="47">
        <f t="shared" ref="BK624:BK680" si="443">+BI624*BJ624</f>
        <v>0</v>
      </c>
      <c r="BL624" s="61"/>
      <c r="BM624" s="56">
        <f>BK624+BL624</f>
        <v>0</v>
      </c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  <c r="CN624" s="61"/>
      <c r="CO624" s="61"/>
      <c r="CP624" s="57">
        <f>CN624*CO624</f>
        <v>0</v>
      </c>
      <c r="CQ624" s="61"/>
      <c r="CR624" s="47">
        <f>CM624+CP624+CQ624</f>
        <v>0</v>
      </c>
      <c r="CS624" s="61"/>
      <c r="CT624" s="61"/>
      <c r="CU624" s="61"/>
      <c r="CV624" s="61"/>
      <c r="CW624" s="47">
        <f>CU624*CV624</f>
        <v>0</v>
      </c>
      <c r="CX624" s="46"/>
      <c r="CY624" s="47">
        <f>+CT624+CW624+CX624</f>
        <v>0</v>
      </c>
      <c r="CZ624" s="61"/>
      <c r="DA624" s="61"/>
      <c r="DB624" s="61"/>
      <c r="DC624" s="61"/>
      <c r="DD624" s="47">
        <f t="shared" ref="DD624:DD669" si="444">+DB624*DC624</f>
        <v>0</v>
      </c>
      <c r="DE624" s="61"/>
      <c r="DF624" s="46">
        <f>DC624</f>
        <v>0</v>
      </c>
      <c r="DG624" s="61"/>
      <c r="DH624" s="57">
        <f>AQ624/2</f>
        <v>0</v>
      </c>
      <c r="DI624" s="61"/>
      <c r="DJ624" s="61"/>
      <c r="DK624" s="47">
        <f>DI624*DJ624</f>
        <v>0</v>
      </c>
      <c r="DL624" s="47">
        <f>+DH624+DK624</f>
        <v>0</v>
      </c>
      <c r="DM624" s="61"/>
      <c r="DN624" s="46">
        <f t="shared" si="423"/>
        <v>0</v>
      </c>
      <c r="DO624" s="61"/>
      <c r="DP624" s="46">
        <f t="shared" si="425"/>
        <v>0</v>
      </c>
      <c r="DQ624" s="61"/>
      <c r="DR624" s="46">
        <f t="shared" si="437"/>
        <v>0</v>
      </c>
      <c r="DS624" s="61"/>
      <c r="DT624" s="46">
        <f t="shared" si="427"/>
        <v>0</v>
      </c>
      <c r="DU624" s="61"/>
      <c r="DV624" s="46">
        <f>DT624/2</f>
        <v>0</v>
      </c>
      <c r="DW624" s="61"/>
      <c r="DX624" s="47">
        <f t="shared" si="418"/>
        <v>0</v>
      </c>
      <c r="DY624" s="61"/>
      <c r="DZ624" s="61"/>
      <c r="EA624" s="61"/>
      <c r="EB624" s="61"/>
      <c r="EC624" s="61"/>
      <c r="ED624" s="61"/>
      <c r="EE624" s="47">
        <f t="shared" ref="EE624:EE652" si="445">+AW624+BE624+BM624+CR624+CY624+DF624+DL624+DX624+DY624+DZ624+EB624+EC624</f>
        <v>0</v>
      </c>
      <c r="EF624" s="61"/>
      <c r="EG624" s="61"/>
      <c r="EH624" s="61"/>
      <c r="EI624" s="61"/>
      <c r="EJ624" s="61"/>
      <c r="EK624" s="47">
        <f>+EG624+EH624+EI624+EJ624</f>
        <v>0</v>
      </c>
      <c r="EL624" s="46">
        <f>+AO624-EE624-EK624</f>
        <v>0</v>
      </c>
      <c r="EM624" s="61"/>
      <c r="EN624" s="61">
        <f>EL624+EM624</f>
        <v>0</v>
      </c>
    </row>
    <row r="625" spans="2:144" s="48" customFormat="1" ht="15" customHeight="1" x14ac:dyDescent="0.25">
      <c r="B625" s="155"/>
      <c r="C625" s="144"/>
      <c r="D625" s="156"/>
      <c r="E625" s="144"/>
      <c r="F625" s="144"/>
      <c r="G625" s="144"/>
      <c r="H625" s="144"/>
      <c r="I625" s="144"/>
      <c r="J625" s="144"/>
      <c r="K625" s="144"/>
      <c r="L625" s="144"/>
      <c r="M625" s="144"/>
      <c r="N625" s="155"/>
      <c r="O625" s="155"/>
      <c r="P625" s="144"/>
      <c r="Q625" s="157"/>
      <c r="R625" s="157"/>
      <c r="S625" s="15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58"/>
      <c r="AV625" s="107"/>
      <c r="AW625" s="158"/>
      <c r="AX625" s="107"/>
      <c r="AY625" s="107"/>
      <c r="AZ625" s="107"/>
      <c r="BA625" s="107"/>
      <c r="BB625" s="107"/>
      <c r="BC625" s="158"/>
      <c r="BD625" s="107"/>
      <c r="BE625" s="47">
        <f t="shared" si="442"/>
        <v>0</v>
      </c>
      <c r="BF625" s="107"/>
      <c r="BG625" s="107"/>
      <c r="BH625" s="107"/>
      <c r="BI625" s="107"/>
      <c r="BJ625" s="107"/>
      <c r="BK625" s="47">
        <f t="shared" si="443"/>
        <v>0</v>
      </c>
      <c r="BL625" s="107"/>
      <c r="BM625" s="107"/>
      <c r="BN625" s="107"/>
      <c r="BO625" s="107"/>
      <c r="BP625" s="107"/>
      <c r="BQ625" s="107"/>
      <c r="BR625" s="107"/>
      <c r="BS625" s="107"/>
      <c r="BT625" s="107"/>
      <c r="BU625" s="107"/>
      <c r="BV625" s="107"/>
      <c r="BW625" s="107"/>
      <c r="BX625" s="107"/>
      <c r="BY625" s="107"/>
      <c r="BZ625" s="107"/>
      <c r="CA625" s="107"/>
      <c r="CB625" s="107"/>
      <c r="CC625" s="107"/>
      <c r="CD625" s="107"/>
      <c r="CE625" s="107"/>
      <c r="CF625" s="107"/>
      <c r="CG625" s="107"/>
      <c r="CH625" s="107"/>
      <c r="CI625" s="107"/>
      <c r="CJ625" s="107"/>
      <c r="CK625" s="107"/>
      <c r="CL625" s="107"/>
      <c r="CM625" s="107"/>
      <c r="CN625" s="107"/>
      <c r="CO625" s="107"/>
      <c r="CP625" s="107"/>
      <c r="CQ625" s="158"/>
      <c r="CR625" s="47">
        <f>CM625+CP625+CQ625</f>
        <v>0</v>
      </c>
      <c r="CS625" s="107"/>
      <c r="CT625" s="107"/>
      <c r="CU625" s="107"/>
      <c r="CV625" s="158"/>
      <c r="CW625" s="107"/>
      <c r="CX625" s="158"/>
      <c r="CY625" s="107"/>
      <c r="CZ625" s="107"/>
      <c r="DA625" s="107"/>
      <c r="DB625" s="107"/>
      <c r="DC625" s="158"/>
      <c r="DD625" s="47">
        <f t="shared" si="444"/>
        <v>0</v>
      </c>
      <c r="DE625" s="107"/>
      <c r="DF625" s="107"/>
      <c r="DG625" s="57">
        <f>AQ625/2</f>
        <v>0</v>
      </c>
      <c r="DH625" s="57">
        <f>AQ625/2</f>
        <v>0</v>
      </c>
      <c r="DI625" s="107"/>
      <c r="DJ625" s="158"/>
      <c r="DK625" s="158"/>
      <c r="DL625" s="107"/>
      <c r="DM625" s="107"/>
      <c r="DN625" s="107"/>
      <c r="DO625" s="107"/>
      <c r="DP625" s="107"/>
      <c r="DQ625" s="107"/>
      <c r="DR625" s="46">
        <f t="shared" si="437"/>
        <v>0</v>
      </c>
      <c r="DS625" s="107"/>
      <c r="DT625" s="46">
        <f t="shared" si="427"/>
        <v>0</v>
      </c>
      <c r="DU625" s="107"/>
      <c r="DV625" s="107"/>
      <c r="DW625" s="158"/>
      <c r="DX625" s="47">
        <f t="shared" si="418"/>
        <v>0</v>
      </c>
      <c r="DY625" s="107"/>
      <c r="DZ625" s="107"/>
      <c r="EA625" s="107"/>
      <c r="EB625" s="107"/>
      <c r="EC625" s="158"/>
      <c r="ED625" s="158"/>
      <c r="EE625" s="47">
        <f t="shared" si="445"/>
        <v>0</v>
      </c>
      <c r="EF625" s="107"/>
      <c r="EG625" s="107"/>
      <c r="EH625" s="107"/>
      <c r="EI625" s="107"/>
      <c r="EJ625" s="158"/>
      <c r="EK625" s="158"/>
      <c r="EL625" s="107"/>
      <c r="EM625" s="158"/>
    </row>
    <row r="626" spans="2:144" s="48" customFormat="1" ht="15" customHeight="1" x14ac:dyDescent="0.25">
      <c r="B626" s="159" t="s">
        <v>146</v>
      </c>
      <c r="C626" s="144"/>
      <c r="D626" s="156"/>
      <c r="E626" s="144"/>
      <c r="F626" s="144"/>
      <c r="G626" s="144"/>
      <c r="H626" s="144"/>
      <c r="I626" s="144"/>
      <c r="J626" s="144"/>
      <c r="K626" s="144"/>
      <c r="L626" s="144"/>
      <c r="M626" s="144"/>
      <c r="N626" s="155"/>
      <c r="O626" s="155"/>
      <c r="P626" s="144"/>
      <c r="Q626" s="157"/>
      <c r="R626" s="157"/>
      <c r="S626" s="15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58"/>
      <c r="AV626" s="107"/>
      <c r="AW626" s="158"/>
      <c r="AX626" s="107"/>
      <c r="AY626" s="107"/>
      <c r="AZ626" s="107"/>
      <c r="BA626" s="107"/>
      <c r="BB626" s="107"/>
      <c r="BC626" s="158"/>
      <c r="BD626" s="107"/>
      <c r="BE626" s="158"/>
      <c r="BF626" s="107"/>
      <c r="BG626" s="107"/>
      <c r="BH626" s="107"/>
      <c r="BI626" s="107"/>
      <c r="BJ626" s="107"/>
      <c r="BK626" s="47">
        <f t="shared" si="443"/>
        <v>0</v>
      </c>
      <c r="BL626" s="107"/>
      <c r="BM626" s="107"/>
      <c r="BN626" s="107"/>
      <c r="BO626" s="107"/>
      <c r="BP626" s="107"/>
      <c r="BQ626" s="107"/>
      <c r="BR626" s="107"/>
      <c r="BS626" s="107"/>
      <c r="BT626" s="107"/>
      <c r="BU626" s="107"/>
      <c r="BV626" s="107"/>
      <c r="BW626" s="107"/>
      <c r="BX626" s="107"/>
      <c r="BY626" s="107"/>
      <c r="BZ626" s="107"/>
      <c r="CA626" s="107"/>
      <c r="CB626" s="107"/>
      <c r="CC626" s="107"/>
      <c r="CD626" s="107"/>
      <c r="CE626" s="107"/>
      <c r="CF626" s="107"/>
      <c r="CG626" s="107"/>
      <c r="CH626" s="107"/>
      <c r="CI626" s="107"/>
      <c r="CJ626" s="107"/>
      <c r="CK626" s="107"/>
      <c r="CL626" s="107"/>
      <c r="CM626" s="107"/>
      <c r="CN626" s="107"/>
      <c r="CO626" s="107"/>
      <c r="CP626" s="107"/>
      <c r="CQ626" s="158"/>
      <c r="CR626" s="47">
        <f>CM626+CP626+CQ626</f>
        <v>0</v>
      </c>
      <c r="CS626" s="107"/>
      <c r="CT626" s="107"/>
      <c r="CU626" s="107"/>
      <c r="CV626" s="158"/>
      <c r="CW626" s="107"/>
      <c r="CX626" s="158"/>
      <c r="CY626" s="107"/>
      <c r="CZ626" s="107"/>
      <c r="DA626" s="107"/>
      <c r="DB626" s="107"/>
      <c r="DC626" s="158"/>
      <c r="DD626" s="47">
        <f t="shared" si="444"/>
        <v>0</v>
      </c>
      <c r="DE626" s="107"/>
      <c r="DF626" s="107"/>
      <c r="DG626" s="107"/>
      <c r="DH626" s="57">
        <f>AQ626/2</f>
        <v>0</v>
      </c>
      <c r="DI626" s="107"/>
      <c r="DJ626" s="158"/>
      <c r="DK626" s="158"/>
      <c r="DL626" s="107"/>
      <c r="DM626" s="107"/>
      <c r="DN626" s="107"/>
      <c r="DO626" s="107"/>
      <c r="DP626" s="107"/>
      <c r="DQ626" s="107"/>
      <c r="DR626" s="107"/>
      <c r="DS626" s="107"/>
      <c r="DT626" s="46">
        <f t="shared" si="427"/>
        <v>0</v>
      </c>
      <c r="DU626" s="107"/>
      <c r="DV626" s="107"/>
      <c r="DW626" s="158"/>
      <c r="DX626" s="47">
        <f t="shared" si="418"/>
        <v>0</v>
      </c>
      <c r="DY626" s="107"/>
      <c r="DZ626" s="107"/>
      <c r="EA626" s="107"/>
      <c r="EB626" s="107"/>
      <c r="EC626" s="158"/>
      <c r="ED626" s="158"/>
      <c r="EE626" s="47">
        <f t="shared" si="445"/>
        <v>0</v>
      </c>
      <c r="EF626" s="107"/>
      <c r="EG626" s="107"/>
      <c r="EH626" s="107"/>
      <c r="EI626" s="107"/>
      <c r="EJ626" s="158"/>
      <c r="EK626" s="158"/>
      <c r="EL626" s="107"/>
      <c r="EM626" s="158"/>
    </row>
    <row r="627" spans="2:144" s="144" customFormat="1" ht="15" customHeight="1" x14ac:dyDescent="0.25">
      <c r="B627" s="159"/>
      <c r="D627" s="156"/>
      <c r="N627" s="155"/>
      <c r="O627" s="155"/>
      <c r="Q627" s="157"/>
      <c r="R627" s="157"/>
      <c r="T627" s="107"/>
      <c r="U627" s="107"/>
      <c r="V627" s="107"/>
      <c r="W627" s="107"/>
      <c r="X627" s="107"/>
      <c r="Y627" s="107"/>
      <c r="AI627" s="107"/>
      <c r="AN627" s="158"/>
      <c r="AO627" s="158"/>
      <c r="AT627" s="107"/>
      <c r="AU627" s="158"/>
      <c r="AV627" s="158"/>
      <c r="AW627" s="158"/>
      <c r="AX627" s="158"/>
      <c r="AY627" s="158"/>
      <c r="AZ627" s="158"/>
      <c r="BA627" s="158"/>
      <c r="BB627" s="158"/>
      <c r="BC627" s="158"/>
      <c r="BD627" s="158"/>
      <c r="BE627" s="158"/>
      <c r="BF627" s="158"/>
      <c r="BG627" s="158"/>
      <c r="BH627" s="158"/>
      <c r="BI627" s="158"/>
      <c r="BJ627" s="158"/>
      <c r="BK627" s="47">
        <f t="shared" si="443"/>
        <v>0</v>
      </c>
      <c r="BL627" s="158"/>
      <c r="BM627" s="158"/>
      <c r="BN627" s="158"/>
      <c r="BO627" s="158"/>
      <c r="BP627" s="158"/>
      <c r="BQ627" s="158"/>
      <c r="BR627" s="158"/>
      <c r="BS627" s="158"/>
      <c r="BT627" s="158"/>
      <c r="BU627" s="158"/>
      <c r="BV627" s="158"/>
      <c r="BW627" s="158"/>
      <c r="BX627" s="158"/>
      <c r="BY627" s="158"/>
      <c r="BZ627" s="158"/>
      <c r="CA627" s="158"/>
      <c r="CB627" s="158"/>
      <c r="CC627" s="158"/>
      <c r="CD627" s="158"/>
      <c r="CE627" s="158"/>
      <c r="CF627" s="158"/>
      <c r="CG627" s="158"/>
      <c r="CH627" s="158"/>
      <c r="CI627" s="158"/>
      <c r="CJ627" s="158"/>
      <c r="CK627" s="158"/>
      <c r="CL627" s="158"/>
      <c r="CM627" s="158"/>
      <c r="CN627" s="158"/>
      <c r="CO627" s="158"/>
      <c r="CP627" s="158"/>
      <c r="CQ627" s="158"/>
      <c r="CR627" s="47">
        <f>CM627+CP627+CQ627</f>
        <v>0</v>
      </c>
      <c r="CS627" s="158"/>
      <c r="CT627" s="158"/>
      <c r="CU627" s="158"/>
      <c r="CV627" s="158"/>
      <c r="CW627" s="158"/>
      <c r="CX627" s="158"/>
      <c r="CY627" s="158"/>
      <c r="CZ627" s="158"/>
      <c r="DA627" s="158"/>
      <c r="DB627" s="158"/>
      <c r="DC627" s="158"/>
      <c r="DD627" s="47">
        <f t="shared" si="444"/>
        <v>0</v>
      </c>
      <c r="DE627" s="158"/>
      <c r="DF627" s="158"/>
      <c r="DG627" s="158"/>
      <c r="DH627" s="158"/>
      <c r="DI627" s="158"/>
      <c r="DJ627" s="158"/>
      <c r="DK627" s="158"/>
      <c r="DL627" s="158"/>
      <c r="DM627" s="158"/>
      <c r="DN627" s="158"/>
      <c r="DO627" s="107"/>
      <c r="DP627" s="158"/>
      <c r="DQ627" s="107"/>
      <c r="DR627" s="158"/>
      <c r="DS627" s="158"/>
      <c r="DT627" s="158"/>
      <c r="DU627" s="158"/>
      <c r="DV627" s="158"/>
      <c r="DW627" s="158"/>
      <c r="DX627" s="158"/>
      <c r="DY627" s="158"/>
      <c r="DZ627" s="158"/>
      <c r="EA627" s="158"/>
      <c r="EB627" s="158"/>
      <c r="EC627" s="158"/>
      <c r="ED627" s="158"/>
      <c r="EE627" s="47">
        <f t="shared" si="445"/>
        <v>0</v>
      </c>
      <c r="EF627" s="158"/>
      <c r="EG627" s="158"/>
      <c r="EH627" s="158"/>
      <c r="EI627" s="158"/>
      <c r="EJ627" s="158"/>
      <c r="EK627" s="158"/>
      <c r="EL627" s="158"/>
      <c r="EM627" s="158"/>
    </row>
    <row r="628" spans="2:144" s="144" customFormat="1" ht="15" customHeight="1" x14ac:dyDescent="0.25">
      <c r="B628" s="159" t="s">
        <v>1</v>
      </c>
      <c r="D628" s="156"/>
      <c r="N628" s="155"/>
      <c r="O628" s="155"/>
      <c r="Q628" s="157"/>
      <c r="R628" s="157"/>
      <c r="T628" s="107"/>
      <c r="U628" s="107"/>
      <c r="V628" s="107"/>
      <c r="W628" s="107"/>
      <c r="X628" s="107"/>
      <c r="Y628" s="107"/>
      <c r="AI628" s="107"/>
      <c r="AN628" s="158"/>
      <c r="AO628" s="158"/>
      <c r="AT628" s="107"/>
      <c r="AU628" s="158"/>
      <c r="AV628" s="158"/>
      <c r="AW628" s="158"/>
      <c r="AX628" s="158"/>
      <c r="AY628" s="158"/>
      <c r="AZ628" s="158"/>
      <c r="BA628" s="158"/>
      <c r="BB628" s="158"/>
      <c r="BC628" s="158"/>
      <c r="BD628" s="158"/>
      <c r="BE628" s="158"/>
      <c r="BF628" s="158"/>
      <c r="BG628" s="158"/>
      <c r="BH628" s="158"/>
      <c r="BI628" s="158"/>
      <c r="BJ628" s="158"/>
      <c r="BK628" s="47">
        <f t="shared" si="443"/>
        <v>0</v>
      </c>
      <c r="BL628" s="158"/>
      <c r="BM628" s="158"/>
      <c r="BN628" s="158"/>
      <c r="BO628" s="158"/>
      <c r="BP628" s="158"/>
      <c r="BQ628" s="158"/>
      <c r="BR628" s="158"/>
      <c r="BS628" s="158"/>
      <c r="BT628" s="158"/>
      <c r="BU628" s="158"/>
      <c r="BV628" s="158"/>
      <c r="BW628" s="158"/>
      <c r="BX628" s="158"/>
      <c r="BY628" s="158"/>
      <c r="BZ628" s="158"/>
      <c r="CA628" s="158"/>
      <c r="CB628" s="158"/>
      <c r="CC628" s="158"/>
      <c r="CD628" s="158"/>
      <c r="CE628" s="158"/>
      <c r="CF628" s="158"/>
      <c r="CG628" s="158"/>
      <c r="CH628" s="158"/>
      <c r="CI628" s="158"/>
      <c r="CJ628" s="158"/>
      <c r="CK628" s="158"/>
      <c r="CL628" s="158"/>
      <c r="CM628" s="158"/>
      <c r="CN628" s="158"/>
      <c r="CO628" s="158"/>
      <c r="CP628" s="158"/>
      <c r="CQ628" s="158"/>
      <c r="CR628" s="158"/>
      <c r="CS628" s="158"/>
      <c r="CT628" s="158"/>
      <c r="CU628" s="158"/>
      <c r="CV628" s="158"/>
      <c r="CW628" s="158"/>
      <c r="CX628" s="158"/>
      <c r="CY628" s="158"/>
      <c r="CZ628" s="158"/>
      <c r="DA628" s="158"/>
      <c r="DB628" s="158"/>
      <c r="DC628" s="158"/>
      <c r="DD628" s="47">
        <f t="shared" si="444"/>
        <v>0</v>
      </c>
      <c r="DE628" s="158"/>
      <c r="DF628" s="158"/>
      <c r="DG628" s="158"/>
      <c r="DH628" s="158"/>
      <c r="DI628" s="158"/>
      <c r="DJ628" s="158"/>
      <c r="DK628" s="158"/>
      <c r="DL628" s="158"/>
      <c r="DM628" s="158"/>
      <c r="DN628" s="158"/>
      <c r="DO628" s="107"/>
      <c r="DP628" s="158"/>
      <c r="DQ628" s="107"/>
      <c r="DR628" s="158"/>
      <c r="DS628" s="158"/>
      <c r="DT628" s="158"/>
      <c r="DU628" s="158"/>
      <c r="DV628" s="158"/>
      <c r="DW628" s="158"/>
      <c r="DX628" s="158"/>
      <c r="DY628" s="158"/>
      <c r="DZ628" s="158"/>
      <c r="EA628" s="158"/>
      <c r="EB628" s="158"/>
      <c r="EC628" s="158"/>
      <c r="ED628" s="158"/>
      <c r="EE628" s="47">
        <f t="shared" si="445"/>
        <v>0</v>
      </c>
      <c r="EF628" s="158"/>
      <c r="EG628" s="158"/>
      <c r="EH628" s="158"/>
      <c r="EI628" s="158"/>
      <c r="EJ628" s="158"/>
      <c r="EK628" s="158"/>
      <c r="EL628" s="158"/>
      <c r="EM628" s="158"/>
    </row>
    <row r="629" spans="2:144" s="48" customFormat="1" ht="15" customHeight="1" x14ac:dyDescent="0.25">
      <c r="B629" s="41">
        <v>1</v>
      </c>
      <c r="C629" s="42"/>
      <c r="D629" s="43"/>
      <c r="E629" s="42"/>
      <c r="F629" s="42"/>
      <c r="G629" s="42"/>
      <c r="H629" s="42"/>
      <c r="I629" s="42"/>
      <c r="J629" s="42"/>
      <c r="K629" s="42"/>
      <c r="L629" s="42"/>
      <c r="M629" s="42"/>
      <c r="N629" s="41"/>
      <c r="O629" s="41"/>
      <c r="P629" s="41"/>
      <c r="Q629" s="45"/>
      <c r="R629" s="45"/>
      <c r="S629" s="42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7">
        <f t="shared" ref="AN629:AN693" si="446">+X629+Y629+Z629+AA629+AB629+AC629+AD629+AE629+AF629+AG629+AH629+AI629+AJ629+AL629+AM629</f>
        <v>0</v>
      </c>
      <c r="AO629" s="47">
        <f t="shared" ref="AO629:AO693" si="447">+T629-AN629</f>
        <v>0</v>
      </c>
      <c r="AP629" s="42"/>
      <c r="AQ629" s="46"/>
      <c r="AR629" s="46"/>
      <c r="AS629" s="46"/>
      <c r="AT629" s="46"/>
      <c r="AU629" s="47"/>
      <c r="AV629" s="46"/>
      <c r="AW629" s="47"/>
      <c r="AX629" s="42"/>
      <c r="AY629" s="46"/>
      <c r="AZ629" s="46"/>
      <c r="BA629" s="46"/>
      <c r="BB629" s="46"/>
      <c r="BC629" s="60"/>
      <c r="BD629" s="46"/>
      <c r="BE629" s="47">
        <f t="shared" ref="BE629:BE670" si="448">+AY629+AZ629+BC629+BD629</f>
        <v>0</v>
      </c>
      <c r="BF629" s="42"/>
      <c r="BG629" s="46"/>
      <c r="BH629" s="46"/>
      <c r="BI629" s="46"/>
      <c r="BJ629" s="46"/>
      <c r="BK629" s="47">
        <f t="shared" si="443"/>
        <v>0</v>
      </c>
      <c r="BL629" s="46"/>
      <c r="BM629" s="47"/>
      <c r="BN629" s="42"/>
      <c r="BO629" s="46"/>
      <c r="BP629" s="46"/>
      <c r="BQ629" s="46"/>
      <c r="BR629" s="46"/>
      <c r="BS629" s="47">
        <f t="shared" ref="BS629:BS639" si="449">+BQ629*BR629</f>
        <v>0</v>
      </c>
      <c r="BT629" s="46"/>
      <c r="BU629" s="47"/>
      <c r="BV629" s="42"/>
      <c r="BW629" s="46"/>
      <c r="BX629" s="46"/>
      <c r="BY629" s="46"/>
      <c r="BZ629" s="46"/>
      <c r="CA629" s="47">
        <f t="shared" ref="CA629:CA639" si="450">+BY629*BZ629</f>
        <v>0</v>
      </c>
      <c r="CB629" s="46"/>
      <c r="CC629" s="47"/>
      <c r="CD629" s="42"/>
      <c r="CE629" s="46"/>
      <c r="CF629" s="46"/>
      <c r="CG629" s="46"/>
      <c r="CH629" s="46"/>
      <c r="CI629" s="47">
        <f t="shared" ref="CI629:CI639" si="451">+CG629*CH629</f>
        <v>0</v>
      </c>
      <c r="CJ629" s="46"/>
      <c r="CK629" s="47"/>
      <c r="CL629" s="46"/>
      <c r="CM629" s="46"/>
      <c r="CN629" s="46"/>
      <c r="CO629" s="46"/>
      <c r="CP629" s="57">
        <f t="shared" ref="CP629:CP692" si="452">CN629*CO629</f>
        <v>0</v>
      </c>
      <c r="CQ629" s="46"/>
      <c r="CR629" s="47">
        <f t="shared" ref="CR629:CR692" si="453">+CM629+CP629+CQ629</f>
        <v>0</v>
      </c>
      <c r="CS629" s="46"/>
      <c r="CT629" s="46"/>
      <c r="CU629" s="46"/>
      <c r="CV629" s="46"/>
      <c r="CW629" s="47">
        <f t="shared" ref="CW629:CW670" si="454">+CU629*CV629</f>
        <v>0</v>
      </c>
      <c r="CX629" s="46"/>
      <c r="CY629" s="47">
        <f t="shared" ref="CY629:CY692" si="455">+CT629+CW629+CX629</f>
        <v>0</v>
      </c>
      <c r="CZ629" s="46"/>
      <c r="DA629" s="46"/>
      <c r="DB629" s="46"/>
      <c r="DC629" s="46"/>
      <c r="DD629" s="47">
        <f t="shared" si="444"/>
        <v>0</v>
      </c>
      <c r="DE629" s="46"/>
      <c r="DF629" s="47"/>
      <c r="DG629" s="46"/>
      <c r="DH629" s="46"/>
      <c r="DI629" s="46"/>
      <c r="DJ629" s="46"/>
      <c r="DK629" s="47"/>
      <c r="DL629" s="47">
        <f t="shared" ref="DL629:DL670" si="456">+DH629+DK629</f>
        <v>0</v>
      </c>
      <c r="DM629" s="47"/>
      <c r="DN629" s="46"/>
      <c r="DO629" s="46"/>
      <c r="DP629" s="46"/>
      <c r="DQ629" s="46"/>
      <c r="DR629" s="46"/>
      <c r="DS629" s="46"/>
      <c r="DT629" s="46"/>
      <c r="DU629" s="46"/>
      <c r="DV629" s="46"/>
      <c r="DW629" s="46"/>
      <c r="DX629" s="47">
        <f t="shared" ref="DX629:DX670" si="457">+DN629+DP629+DR629+DT629+DV629</f>
        <v>0</v>
      </c>
      <c r="DY629" s="46"/>
      <c r="DZ629" s="46"/>
      <c r="EA629" s="46"/>
      <c r="EB629" s="46"/>
      <c r="EC629" s="46"/>
      <c r="ED629" s="46"/>
      <c r="EE629" s="47">
        <f t="shared" si="445"/>
        <v>0</v>
      </c>
      <c r="EF629" s="46"/>
      <c r="EG629" s="46"/>
      <c r="EH629" s="46"/>
      <c r="EI629" s="46"/>
      <c r="EJ629" s="46"/>
      <c r="EK629" s="47">
        <f>+EG629+EH629+EI629+EJ629</f>
        <v>0</v>
      </c>
      <c r="EL629" s="46">
        <f t="shared" ref="EL629:EL692" si="458">+AO629-EE629-EK629</f>
        <v>0</v>
      </c>
      <c r="EM629" s="46"/>
      <c r="EN629" s="46">
        <f t="shared" ref="EN629:EN692" si="459">EL629+EM629</f>
        <v>0</v>
      </c>
    </row>
    <row r="630" spans="2:144" s="48" customFormat="1" ht="15" customHeight="1" x14ac:dyDescent="0.25">
      <c r="B630" s="41">
        <v>2</v>
      </c>
      <c r="C630" s="42"/>
      <c r="D630" s="43"/>
      <c r="E630" s="42"/>
      <c r="F630" s="42"/>
      <c r="G630" s="42"/>
      <c r="H630" s="42"/>
      <c r="I630" s="42"/>
      <c r="J630" s="42"/>
      <c r="K630" s="42"/>
      <c r="L630" s="42"/>
      <c r="M630" s="42"/>
      <c r="N630" s="41"/>
      <c r="O630" s="41"/>
      <c r="P630" s="41"/>
      <c r="Q630" s="45"/>
      <c r="R630" s="45"/>
      <c r="S630" s="42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7">
        <f t="shared" si="446"/>
        <v>0</v>
      </c>
      <c r="AO630" s="47">
        <f t="shared" si="447"/>
        <v>0</v>
      </c>
      <c r="AP630" s="42"/>
      <c r="AQ630" s="46"/>
      <c r="AR630" s="46"/>
      <c r="AS630" s="46"/>
      <c r="AT630" s="46"/>
      <c r="AU630" s="47"/>
      <c r="AV630" s="46"/>
      <c r="AW630" s="47"/>
      <c r="AX630" s="42"/>
      <c r="AY630" s="46"/>
      <c r="AZ630" s="46"/>
      <c r="BA630" s="46"/>
      <c r="BB630" s="46"/>
      <c r="BC630" s="47"/>
      <c r="BD630" s="46"/>
      <c r="BE630" s="47">
        <f t="shared" si="448"/>
        <v>0</v>
      </c>
      <c r="BF630" s="42"/>
      <c r="BG630" s="46"/>
      <c r="BH630" s="46"/>
      <c r="BI630" s="46"/>
      <c r="BJ630" s="46"/>
      <c r="BK630" s="47">
        <f t="shared" si="443"/>
        <v>0</v>
      </c>
      <c r="BL630" s="46"/>
      <c r="BM630" s="47"/>
      <c r="BN630" s="42"/>
      <c r="BO630" s="46"/>
      <c r="BP630" s="46"/>
      <c r="BQ630" s="46"/>
      <c r="BR630" s="46"/>
      <c r="BS630" s="47">
        <f t="shared" si="449"/>
        <v>0</v>
      </c>
      <c r="BT630" s="46"/>
      <c r="BU630" s="47"/>
      <c r="BV630" s="42"/>
      <c r="BW630" s="46"/>
      <c r="BX630" s="46"/>
      <c r="BY630" s="46"/>
      <c r="BZ630" s="46"/>
      <c r="CA630" s="47">
        <f t="shared" si="450"/>
        <v>0</v>
      </c>
      <c r="CB630" s="46"/>
      <c r="CC630" s="47"/>
      <c r="CD630" s="42"/>
      <c r="CE630" s="46"/>
      <c r="CF630" s="46"/>
      <c r="CG630" s="46"/>
      <c r="CH630" s="46"/>
      <c r="CI630" s="47">
        <f t="shared" si="451"/>
        <v>0</v>
      </c>
      <c r="CJ630" s="46"/>
      <c r="CK630" s="47"/>
      <c r="CL630" s="46"/>
      <c r="CM630" s="46"/>
      <c r="CN630" s="46"/>
      <c r="CO630" s="46"/>
      <c r="CP630" s="57">
        <f t="shared" si="452"/>
        <v>0</v>
      </c>
      <c r="CQ630" s="46"/>
      <c r="CR630" s="47">
        <f t="shared" si="453"/>
        <v>0</v>
      </c>
      <c r="CS630" s="46"/>
      <c r="CT630" s="46"/>
      <c r="CU630" s="46"/>
      <c r="CV630" s="46"/>
      <c r="CW630" s="47">
        <f t="shared" si="454"/>
        <v>0</v>
      </c>
      <c r="CX630" s="46"/>
      <c r="CY630" s="47">
        <f t="shared" si="455"/>
        <v>0</v>
      </c>
      <c r="CZ630" s="46"/>
      <c r="DA630" s="46"/>
      <c r="DB630" s="46"/>
      <c r="DC630" s="46"/>
      <c r="DD630" s="47">
        <f t="shared" si="444"/>
        <v>0</v>
      </c>
      <c r="DE630" s="46"/>
      <c r="DF630" s="47"/>
      <c r="DG630" s="46"/>
      <c r="DH630" s="46"/>
      <c r="DI630" s="46"/>
      <c r="DJ630" s="46"/>
      <c r="DK630" s="47"/>
      <c r="DL630" s="47">
        <f t="shared" si="456"/>
        <v>0</v>
      </c>
      <c r="DM630" s="47"/>
      <c r="DN630" s="46"/>
      <c r="DO630" s="46"/>
      <c r="DP630" s="46"/>
      <c r="DQ630" s="46"/>
      <c r="DR630" s="46"/>
      <c r="DS630" s="46"/>
      <c r="DT630" s="46"/>
      <c r="DU630" s="46"/>
      <c r="DV630" s="46"/>
      <c r="DW630" s="46"/>
      <c r="DX630" s="47">
        <f t="shared" si="457"/>
        <v>0</v>
      </c>
      <c r="DY630" s="46"/>
      <c r="DZ630" s="46"/>
      <c r="EA630" s="46"/>
      <c r="EB630" s="46"/>
      <c r="EC630" s="46"/>
      <c r="ED630" s="46"/>
      <c r="EE630" s="47">
        <f t="shared" si="445"/>
        <v>0</v>
      </c>
      <c r="EF630" s="46"/>
      <c r="EG630" s="46"/>
      <c r="EH630" s="46"/>
      <c r="EI630" s="46"/>
      <c r="EJ630" s="46"/>
      <c r="EK630" s="47">
        <f t="shared" ref="EK630:EK670" si="460">+EG630+EH630+EI630+EJ630</f>
        <v>0</v>
      </c>
      <c r="EL630" s="46">
        <f t="shared" si="458"/>
        <v>0</v>
      </c>
      <c r="EM630" s="46"/>
      <c r="EN630" s="46">
        <f t="shared" si="459"/>
        <v>0</v>
      </c>
    </row>
    <row r="631" spans="2:144" s="48" customFormat="1" ht="15" customHeight="1" x14ac:dyDescent="0.25">
      <c r="B631" s="41">
        <v>3</v>
      </c>
      <c r="C631" s="42"/>
      <c r="D631" s="43"/>
      <c r="E631" s="42"/>
      <c r="F631" s="42"/>
      <c r="G631" s="42"/>
      <c r="H631" s="42"/>
      <c r="I631" s="42"/>
      <c r="J631" s="42"/>
      <c r="K631" s="42"/>
      <c r="L631" s="42"/>
      <c r="M631" s="42"/>
      <c r="N631" s="41"/>
      <c r="O631" s="41"/>
      <c r="P631" s="41"/>
      <c r="Q631" s="45"/>
      <c r="R631" s="45"/>
      <c r="S631" s="42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7">
        <f t="shared" si="446"/>
        <v>0</v>
      </c>
      <c r="AO631" s="47">
        <f t="shared" si="447"/>
        <v>0</v>
      </c>
      <c r="AP631" s="42"/>
      <c r="AQ631" s="46"/>
      <c r="AR631" s="46"/>
      <c r="AS631" s="46"/>
      <c r="AT631" s="46"/>
      <c r="AU631" s="47"/>
      <c r="AV631" s="46"/>
      <c r="AW631" s="47"/>
      <c r="AX631" s="42"/>
      <c r="AY631" s="46"/>
      <c r="AZ631" s="46"/>
      <c r="BA631" s="46"/>
      <c r="BB631" s="46"/>
      <c r="BC631" s="47"/>
      <c r="BD631" s="46"/>
      <c r="BE631" s="47">
        <f t="shared" si="448"/>
        <v>0</v>
      </c>
      <c r="BF631" s="42"/>
      <c r="BG631" s="46"/>
      <c r="BH631" s="46"/>
      <c r="BI631" s="46"/>
      <c r="BJ631" s="46"/>
      <c r="BK631" s="47">
        <f t="shared" si="443"/>
        <v>0</v>
      </c>
      <c r="BL631" s="46"/>
      <c r="BM631" s="47"/>
      <c r="BN631" s="42"/>
      <c r="BO631" s="46"/>
      <c r="BP631" s="46"/>
      <c r="BQ631" s="46"/>
      <c r="BR631" s="46"/>
      <c r="BS631" s="47">
        <f t="shared" si="449"/>
        <v>0</v>
      </c>
      <c r="BT631" s="46"/>
      <c r="BU631" s="47"/>
      <c r="BV631" s="42"/>
      <c r="BW631" s="46"/>
      <c r="BX631" s="46"/>
      <c r="BY631" s="46"/>
      <c r="BZ631" s="46"/>
      <c r="CA631" s="47">
        <f t="shared" si="450"/>
        <v>0</v>
      </c>
      <c r="CB631" s="46"/>
      <c r="CC631" s="47"/>
      <c r="CD631" s="42"/>
      <c r="CE631" s="46"/>
      <c r="CF631" s="46"/>
      <c r="CG631" s="46"/>
      <c r="CH631" s="46"/>
      <c r="CI631" s="47">
        <f t="shared" si="451"/>
        <v>0</v>
      </c>
      <c r="CJ631" s="46"/>
      <c r="CK631" s="47"/>
      <c r="CL631" s="46"/>
      <c r="CM631" s="46"/>
      <c r="CN631" s="46"/>
      <c r="CO631" s="46"/>
      <c r="CP631" s="57">
        <f t="shared" si="452"/>
        <v>0</v>
      </c>
      <c r="CQ631" s="46"/>
      <c r="CR631" s="47">
        <f t="shared" si="453"/>
        <v>0</v>
      </c>
      <c r="CS631" s="46"/>
      <c r="CT631" s="46"/>
      <c r="CU631" s="46"/>
      <c r="CV631" s="46"/>
      <c r="CW631" s="47">
        <f t="shared" si="454"/>
        <v>0</v>
      </c>
      <c r="CX631" s="46"/>
      <c r="CY631" s="47">
        <f t="shared" si="455"/>
        <v>0</v>
      </c>
      <c r="CZ631" s="46"/>
      <c r="DA631" s="46"/>
      <c r="DB631" s="46"/>
      <c r="DC631" s="46"/>
      <c r="DD631" s="47">
        <f t="shared" si="444"/>
        <v>0</v>
      </c>
      <c r="DE631" s="46"/>
      <c r="DF631" s="47"/>
      <c r="DG631" s="46"/>
      <c r="DH631" s="46"/>
      <c r="DI631" s="46"/>
      <c r="DJ631" s="46"/>
      <c r="DK631" s="47"/>
      <c r="DL631" s="47">
        <f t="shared" si="456"/>
        <v>0</v>
      </c>
      <c r="DM631" s="47"/>
      <c r="DN631" s="46"/>
      <c r="DO631" s="46"/>
      <c r="DP631" s="46"/>
      <c r="DQ631" s="46"/>
      <c r="DR631" s="46"/>
      <c r="DS631" s="46"/>
      <c r="DT631" s="46"/>
      <c r="DU631" s="46"/>
      <c r="DV631" s="46"/>
      <c r="DW631" s="46"/>
      <c r="DX631" s="47">
        <f t="shared" si="457"/>
        <v>0</v>
      </c>
      <c r="DY631" s="46"/>
      <c r="DZ631" s="46"/>
      <c r="EA631" s="46"/>
      <c r="EB631" s="46"/>
      <c r="EC631" s="46"/>
      <c r="ED631" s="46"/>
      <c r="EE631" s="47">
        <f t="shared" si="445"/>
        <v>0</v>
      </c>
      <c r="EF631" s="46"/>
      <c r="EG631" s="46"/>
      <c r="EH631" s="46"/>
      <c r="EI631" s="46"/>
      <c r="EJ631" s="46"/>
      <c r="EK631" s="47">
        <f t="shared" si="460"/>
        <v>0</v>
      </c>
      <c r="EL631" s="46">
        <f t="shared" si="458"/>
        <v>0</v>
      </c>
      <c r="EM631" s="46"/>
      <c r="EN631" s="46">
        <f t="shared" si="459"/>
        <v>0</v>
      </c>
    </row>
    <row r="632" spans="2:144" s="48" customFormat="1" ht="15" customHeight="1" x14ac:dyDescent="0.25">
      <c r="B632" s="41">
        <v>4</v>
      </c>
      <c r="C632" s="42"/>
      <c r="D632" s="43"/>
      <c r="E632" s="42"/>
      <c r="F632" s="42"/>
      <c r="G632" s="42"/>
      <c r="H632" s="42"/>
      <c r="I632" s="42"/>
      <c r="J632" s="42"/>
      <c r="K632" s="42"/>
      <c r="L632" s="42"/>
      <c r="M632" s="42"/>
      <c r="N632" s="41"/>
      <c r="O632" s="41"/>
      <c r="P632" s="41"/>
      <c r="Q632" s="45"/>
      <c r="R632" s="45"/>
      <c r="S632" s="42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7">
        <f t="shared" si="446"/>
        <v>0</v>
      </c>
      <c r="AO632" s="47">
        <f t="shared" si="447"/>
        <v>0</v>
      </c>
      <c r="AP632" s="42"/>
      <c r="AQ632" s="46"/>
      <c r="AR632" s="46"/>
      <c r="AS632" s="46"/>
      <c r="AT632" s="46"/>
      <c r="AU632" s="47"/>
      <c r="AV632" s="46"/>
      <c r="AW632" s="47"/>
      <c r="AX632" s="42"/>
      <c r="AY632" s="46"/>
      <c r="AZ632" s="46"/>
      <c r="BA632" s="46"/>
      <c r="BB632" s="46"/>
      <c r="BC632" s="47"/>
      <c r="BD632" s="46"/>
      <c r="BE632" s="47">
        <f t="shared" si="448"/>
        <v>0</v>
      </c>
      <c r="BF632" s="42"/>
      <c r="BG632" s="46"/>
      <c r="BH632" s="46"/>
      <c r="BI632" s="46"/>
      <c r="BJ632" s="46"/>
      <c r="BK632" s="47">
        <f t="shared" si="443"/>
        <v>0</v>
      </c>
      <c r="BL632" s="46"/>
      <c r="BM632" s="47"/>
      <c r="BN632" s="42"/>
      <c r="BO632" s="46"/>
      <c r="BP632" s="46"/>
      <c r="BQ632" s="46"/>
      <c r="BR632" s="46"/>
      <c r="BS632" s="47">
        <f t="shared" si="449"/>
        <v>0</v>
      </c>
      <c r="BT632" s="46"/>
      <c r="BU632" s="47"/>
      <c r="BV632" s="42"/>
      <c r="BW632" s="46"/>
      <c r="BX632" s="46"/>
      <c r="BY632" s="46"/>
      <c r="BZ632" s="46"/>
      <c r="CA632" s="47">
        <f t="shared" si="450"/>
        <v>0</v>
      </c>
      <c r="CB632" s="46"/>
      <c r="CC632" s="47"/>
      <c r="CD632" s="42"/>
      <c r="CE632" s="46"/>
      <c r="CF632" s="46"/>
      <c r="CG632" s="46"/>
      <c r="CH632" s="46"/>
      <c r="CI632" s="47">
        <f t="shared" si="451"/>
        <v>0</v>
      </c>
      <c r="CJ632" s="46"/>
      <c r="CK632" s="47"/>
      <c r="CL632" s="46"/>
      <c r="CM632" s="46"/>
      <c r="CN632" s="46"/>
      <c r="CO632" s="46"/>
      <c r="CP632" s="57">
        <f t="shared" si="452"/>
        <v>0</v>
      </c>
      <c r="CQ632" s="46"/>
      <c r="CR632" s="47">
        <f>+CM632+CP632+CQ632</f>
        <v>0</v>
      </c>
      <c r="CS632" s="46"/>
      <c r="CT632" s="46"/>
      <c r="CU632" s="46"/>
      <c r="CV632" s="46"/>
      <c r="CW632" s="47">
        <f t="shared" si="454"/>
        <v>0</v>
      </c>
      <c r="CX632" s="46"/>
      <c r="CY632" s="47">
        <f t="shared" si="455"/>
        <v>0</v>
      </c>
      <c r="CZ632" s="46"/>
      <c r="DA632" s="46"/>
      <c r="DB632" s="46"/>
      <c r="DC632" s="46"/>
      <c r="DD632" s="47">
        <f t="shared" si="444"/>
        <v>0</v>
      </c>
      <c r="DE632" s="46"/>
      <c r="DF632" s="47"/>
      <c r="DG632" s="46"/>
      <c r="DH632" s="46"/>
      <c r="DI632" s="46"/>
      <c r="DJ632" s="46"/>
      <c r="DK632" s="47"/>
      <c r="DL632" s="47">
        <f t="shared" si="456"/>
        <v>0</v>
      </c>
      <c r="DM632" s="47"/>
      <c r="DN632" s="46"/>
      <c r="DO632" s="46"/>
      <c r="DP632" s="46"/>
      <c r="DQ632" s="46"/>
      <c r="DR632" s="46"/>
      <c r="DS632" s="46"/>
      <c r="DT632" s="46"/>
      <c r="DU632" s="46"/>
      <c r="DV632" s="46"/>
      <c r="DW632" s="46"/>
      <c r="DX632" s="47">
        <f t="shared" si="457"/>
        <v>0</v>
      </c>
      <c r="DY632" s="46"/>
      <c r="DZ632" s="46"/>
      <c r="EA632" s="46"/>
      <c r="EB632" s="46"/>
      <c r="EC632" s="46"/>
      <c r="ED632" s="46"/>
      <c r="EE632" s="47">
        <f t="shared" si="445"/>
        <v>0</v>
      </c>
      <c r="EF632" s="46"/>
      <c r="EG632" s="46"/>
      <c r="EH632" s="46"/>
      <c r="EI632" s="46"/>
      <c r="EJ632" s="46"/>
      <c r="EK632" s="47">
        <f t="shared" si="460"/>
        <v>0</v>
      </c>
      <c r="EL632" s="46">
        <f t="shared" si="458"/>
        <v>0</v>
      </c>
      <c r="EM632" s="46"/>
      <c r="EN632" s="46">
        <f t="shared" si="459"/>
        <v>0</v>
      </c>
    </row>
    <row r="633" spans="2:144" s="48" customFormat="1" ht="15" customHeight="1" x14ac:dyDescent="0.25">
      <c r="B633" s="41">
        <v>5</v>
      </c>
      <c r="C633" s="42"/>
      <c r="D633" s="43"/>
      <c r="E633" s="42"/>
      <c r="F633" s="42"/>
      <c r="G633" s="42"/>
      <c r="H633" s="42"/>
      <c r="I633" s="42"/>
      <c r="J633" s="42"/>
      <c r="K633" s="42"/>
      <c r="L633" s="42"/>
      <c r="M633" s="42"/>
      <c r="N633" s="41"/>
      <c r="O633" s="41"/>
      <c r="P633" s="42"/>
      <c r="Q633" s="45"/>
      <c r="R633" s="45"/>
      <c r="S633" s="42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7">
        <f t="shared" si="446"/>
        <v>0</v>
      </c>
      <c r="AO633" s="47">
        <f t="shared" si="447"/>
        <v>0</v>
      </c>
      <c r="AP633" s="42"/>
      <c r="AQ633" s="46"/>
      <c r="AR633" s="46"/>
      <c r="AS633" s="46"/>
      <c r="AT633" s="46"/>
      <c r="AU633" s="47"/>
      <c r="AV633" s="46"/>
      <c r="AW633" s="47"/>
      <c r="AX633" s="42"/>
      <c r="AY633" s="46"/>
      <c r="AZ633" s="46"/>
      <c r="BA633" s="46"/>
      <c r="BB633" s="46"/>
      <c r="BC633" s="47"/>
      <c r="BD633" s="46"/>
      <c r="BE633" s="47">
        <f t="shared" si="448"/>
        <v>0</v>
      </c>
      <c r="BF633" s="42"/>
      <c r="BG633" s="46"/>
      <c r="BH633" s="46"/>
      <c r="BI633" s="46"/>
      <c r="BJ633" s="46"/>
      <c r="BK633" s="47">
        <f t="shared" si="443"/>
        <v>0</v>
      </c>
      <c r="BL633" s="46"/>
      <c r="BM633" s="47"/>
      <c r="BN633" s="42"/>
      <c r="BO633" s="46"/>
      <c r="BP633" s="46"/>
      <c r="BQ633" s="46"/>
      <c r="BR633" s="46"/>
      <c r="BS633" s="47">
        <f t="shared" si="449"/>
        <v>0</v>
      </c>
      <c r="BT633" s="46"/>
      <c r="BU633" s="47"/>
      <c r="BV633" s="42"/>
      <c r="BW633" s="46"/>
      <c r="BX633" s="46"/>
      <c r="BY633" s="46"/>
      <c r="BZ633" s="46"/>
      <c r="CA633" s="47">
        <f t="shared" si="450"/>
        <v>0</v>
      </c>
      <c r="CB633" s="46"/>
      <c r="CC633" s="47"/>
      <c r="CD633" s="42"/>
      <c r="CE633" s="46"/>
      <c r="CF633" s="46"/>
      <c r="CG633" s="46"/>
      <c r="CH633" s="46"/>
      <c r="CI633" s="47">
        <f t="shared" si="451"/>
        <v>0</v>
      </c>
      <c r="CJ633" s="46"/>
      <c r="CK633" s="47"/>
      <c r="CL633" s="46"/>
      <c r="CM633" s="46"/>
      <c r="CN633" s="46"/>
      <c r="CO633" s="46"/>
      <c r="CP633" s="57">
        <f t="shared" si="452"/>
        <v>0</v>
      </c>
      <c r="CQ633" s="46"/>
      <c r="CR633" s="47">
        <f t="shared" si="453"/>
        <v>0</v>
      </c>
      <c r="CS633" s="46"/>
      <c r="CT633" s="46"/>
      <c r="CU633" s="46"/>
      <c r="CV633" s="46"/>
      <c r="CW633" s="47">
        <f t="shared" si="454"/>
        <v>0</v>
      </c>
      <c r="CX633" s="46"/>
      <c r="CY633" s="47">
        <f t="shared" si="455"/>
        <v>0</v>
      </c>
      <c r="CZ633" s="46"/>
      <c r="DA633" s="46"/>
      <c r="DB633" s="46"/>
      <c r="DC633" s="46"/>
      <c r="DD633" s="47">
        <f t="shared" si="444"/>
        <v>0</v>
      </c>
      <c r="DE633" s="46"/>
      <c r="DF633" s="47"/>
      <c r="DG633" s="46"/>
      <c r="DH633" s="46"/>
      <c r="DI633" s="46"/>
      <c r="DJ633" s="46"/>
      <c r="DK633" s="47"/>
      <c r="DL633" s="47">
        <f t="shared" si="456"/>
        <v>0</v>
      </c>
      <c r="DM633" s="47"/>
      <c r="DN633" s="46"/>
      <c r="DO633" s="46"/>
      <c r="DP633" s="46"/>
      <c r="DQ633" s="46"/>
      <c r="DR633" s="46"/>
      <c r="DS633" s="46"/>
      <c r="DT633" s="46"/>
      <c r="DU633" s="46"/>
      <c r="DV633" s="46"/>
      <c r="DW633" s="46"/>
      <c r="DX633" s="47">
        <f t="shared" si="457"/>
        <v>0</v>
      </c>
      <c r="DY633" s="46"/>
      <c r="DZ633" s="46"/>
      <c r="EA633" s="46"/>
      <c r="EB633" s="46"/>
      <c r="EC633" s="46"/>
      <c r="ED633" s="46"/>
      <c r="EE633" s="47">
        <f t="shared" si="445"/>
        <v>0</v>
      </c>
      <c r="EF633" s="46"/>
      <c r="EG633" s="46"/>
      <c r="EH633" s="46"/>
      <c r="EI633" s="46"/>
      <c r="EJ633" s="46"/>
      <c r="EK633" s="47">
        <f t="shared" si="460"/>
        <v>0</v>
      </c>
      <c r="EL633" s="46">
        <f t="shared" si="458"/>
        <v>0</v>
      </c>
      <c r="EM633" s="46"/>
      <c r="EN633" s="46">
        <f t="shared" si="459"/>
        <v>0</v>
      </c>
    </row>
    <row r="634" spans="2:144" s="48" customFormat="1" ht="15" customHeight="1" x14ac:dyDescent="0.25">
      <c r="B634" s="41">
        <v>6</v>
      </c>
      <c r="C634" s="42"/>
      <c r="D634" s="43"/>
      <c r="E634" s="42"/>
      <c r="F634" s="42"/>
      <c r="G634" s="42"/>
      <c r="H634" s="42"/>
      <c r="I634" s="42"/>
      <c r="J634" s="42"/>
      <c r="K634" s="42"/>
      <c r="L634" s="42"/>
      <c r="M634" s="42"/>
      <c r="N634" s="41"/>
      <c r="O634" s="41"/>
      <c r="P634" s="42"/>
      <c r="Q634" s="45"/>
      <c r="R634" s="45"/>
      <c r="S634" s="42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7">
        <f t="shared" si="446"/>
        <v>0</v>
      </c>
      <c r="AO634" s="47">
        <f t="shared" si="447"/>
        <v>0</v>
      </c>
      <c r="AP634" s="42"/>
      <c r="AQ634" s="46"/>
      <c r="AR634" s="46"/>
      <c r="AS634" s="46"/>
      <c r="AT634" s="46"/>
      <c r="AU634" s="47"/>
      <c r="AV634" s="46"/>
      <c r="AW634" s="47"/>
      <c r="AX634" s="42"/>
      <c r="AY634" s="46"/>
      <c r="AZ634" s="46"/>
      <c r="BA634" s="46"/>
      <c r="BB634" s="46"/>
      <c r="BC634" s="47"/>
      <c r="BD634" s="46"/>
      <c r="BE634" s="47">
        <f t="shared" si="448"/>
        <v>0</v>
      </c>
      <c r="BF634" s="42"/>
      <c r="BG634" s="46"/>
      <c r="BH634" s="46"/>
      <c r="BI634" s="46"/>
      <c r="BJ634" s="46"/>
      <c r="BK634" s="47">
        <f t="shared" si="443"/>
        <v>0</v>
      </c>
      <c r="BL634" s="46"/>
      <c r="BM634" s="47"/>
      <c r="BN634" s="42"/>
      <c r="BO634" s="46"/>
      <c r="BP634" s="46"/>
      <c r="BQ634" s="46"/>
      <c r="BR634" s="46"/>
      <c r="BS634" s="47">
        <f t="shared" si="449"/>
        <v>0</v>
      </c>
      <c r="BT634" s="46"/>
      <c r="BU634" s="47"/>
      <c r="BV634" s="42"/>
      <c r="BW634" s="46"/>
      <c r="BX634" s="46"/>
      <c r="BY634" s="46"/>
      <c r="BZ634" s="46"/>
      <c r="CA634" s="47">
        <f t="shared" si="450"/>
        <v>0</v>
      </c>
      <c r="CB634" s="46"/>
      <c r="CC634" s="47"/>
      <c r="CD634" s="42"/>
      <c r="CE634" s="46"/>
      <c r="CF634" s="46"/>
      <c r="CG634" s="46"/>
      <c r="CH634" s="46"/>
      <c r="CI634" s="47">
        <f t="shared" si="451"/>
        <v>0</v>
      </c>
      <c r="CJ634" s="46"/>
      <c r="CK634" s="47"/>
      <c r="CL634" s="46"/>
      <c r="CM634" s="46"/>
      <c r="CN634" s="46"/>
      <c r="CO634" s="46"/>
      <c r="CP634" s="57">
        <f t="shared" si="452"/>
        <v>0</v>
      </c>
      <c r="CQ634" s="46"/>
      <c r="CR634" s="47">
        <f t="shared" si="453"/>
        <v>0</v>
      </c>
      <c r="CS634" s="46"/>
      <c r="CT634" s="46"/>
      <c r="CU634" s="46"/>
      <c r="CV634" s="46"/>
      <c r="CW634" s="47">
        <f t="shared" si="454"/>
        <v>0</v>
      </c>
      <c r="CX634" s="46"/>
      <c r="CY634" s="47">
        <f t="shared" si="455"/>
        <v>0</v>
      </c>
      <c r="CZ634" s="46"/>
      <c r="DA634" s="46"/>
      <c r="DB634" s="46"/>
      <c r="DC634" s="46"/>
      <c r="DD634" s="47">
        <f t="shared" si="444"/>
        <v>0</v>
      </c>
      <c r="DE634" s="46"/>
      <c r="DF634" s="47"/>
      <c r="DG634" s="46"/>
      <c r="DH634" s="46"/>
      <c r="DI634" s="46"/>
      <c r="DJ634" s="46"/>
      <c r="DK634" s="47"/>
      <c r="DL634" s="47">
        <f t="shared" si="456"/>
        <v>0</v>
      </c>
      <c r="DM634" s="47"/>
      <c r="DN634" s="46"/>
      <c r="DO634" s="46"/>
      <c r="DP634" s="46"/>
      <c r="DQ634" s="46"/>
      <c r="DR634" s="46"/>
      <c r="DS634" s="46"/>
      <c r="DT634" s="46"/>
      <c r="DU634" s="46"/>
      <c r="DV634" s="46"/>
      <c r="DW634" s="46"/>
      <c r="DX634" s="47">
        <f t="shared" si="457"/>
        <v>0</v>
      </c>
      <c r="DY634" s="46"/>
      <c r="DZ634" s="46"/>
      <c r="EA634" s="46"/>
      <c r="EB634" s="46"/>
      <c r="EC634" s="46"/>
      <c r="ED634" s="46"/>
      <c r="EE634" s="47">
        <f t="shared" si="445"/>
        <v>0</v>
      </c>
      <c r="EF634" s="46"/>
      <c r="EG634" s="46"/>
      <c r="EH634" s="46"/>
      <c r="EI634" s="46"/>
      <c r="EJ634" s="46"/>
      <c r="EK634" s="47">
        <f t="shared" si="460"/>
        <v>0</v>
      </c>
      <c r="EL634" s="46">
        <f t="shared" si="458"/>
        <v>0</v>
      </c>
      <c r="EM634" s="46"/>
      <c r="EN634" s="46">
        <f t="shared" si="459"/>
        <v>0</v>
      </c>
    </row>
    <row r="635" spans="2:144" s="48" customFormat="1" ht="15" customHeight="1" x14ac:dyDescent="0.25">
      <c r="B635" s="41">
        <v>7</v>
      </c>
      <c r="C635" s="42"/>
      <c r="D635" s="43"/>
      <c r="E635" s="42"/>
      <c r="F635" s="42"/>
      <c r="G635" s="42"/>
      <c r="H635" s="42"/>
      <c r="I635" s="42"/>
      <c r="J635" s="42"/>
      <c r="K635" s="42"/>
      <c r="L635" s="42"/>
      <c r="M635" s="42"/>
      <c r="N635" s="41"/>
      <c r="O635" s="41"/>
      <c r="P635" s="42"/>
      <c r="Q635" s="45"/>
      <c r="R635" s="45"/>
      <c r="S635" s="42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7">
        <f t="shared" si="446"/>
        <v>0</v>
      </c>
      <c r="AO635" s="47">
        <f t="shared" si="447"/>
        <v>0</v>
      </c>
      <c r="AP635" s="42"/>
      <c r="AQ635" s="46"/>
      <c r="AR635" s="46"/>
      <c r="AS635" s="46"/>
      <c r="AT635" s="46"/>
      <c r="AU635" s="47"/>
      <c r="AV635" s="46"/>
      <c r="AW635" s="47"/>
      <c r="AX635" s="42"/>
      <c r="AY635" s="46"/>
      <c r="AZ635" s="46"/>
      <c r="BA635" s="46"/>
      <c r="BB635" s="46"/>
      <c r="BC635" s="47"/>
      <c r="BD635" s="46"/>
      <c r="BE635" s="47">
        <f t="shared" si="448"/>
        <v>0</v>
      </c>
      <c r="BF635" s="42"/>
      <c r="BG635" s="46"/>
      <c r="BH635" s="46"/>
      <c r="BI635" s="46"/>
      <c r="BJ635" s="46"/>
      <c r="BK635" s="47">
        <f t="shared" si="443"/>
        <v>0</v>
      </c>
      <c r="BL635" s="46"/>
      <c r="BM635" s="47"/>
      <c r="BN635" s="42"/>
      <c r="BO635" s="46"/>
      <c r="BP635" s="46"/>
      <c r="BQ635" s="46"/>
      <c r="BR635" s="46"/>
      <c r="BS635" s="47">
        <f t="shared" si="449"/>
        <v>0</v>
      </c>
      <c r="BT635" s="46"/>
      <c r="BU635" s="47"/>
      <c r="BV635" s="42"/>
      <c r="BW635" s="46"/>
      <c r="BX635" s="46"/>
      <c r="BY635" s="46"/>
      <c r="BZ635" s="46"/>
      <c r="CA635" s="47">
        <f t="shared" si="450"/>
        <v>0</v>
      </c>
      <c r="CB635" s="46"/>
      <c r="CC635" s="47"/>
      <c r="CD635" s="42"/>
      <c r="CE635" s="46"/>
      <c r="CF635" s="46"/>
      <c r="CG635" s="46"/>
      <c r="CH635" s="46"/>
      <c r="CI635" s="47">
        <f t="shared" si="451"/>
        <v>0</v>
      </c>
      <c r="CJ635" s="46"/>
      <c r="CK635" s="47"/>
      <c r="CL635" s="46"/>
      <c r="CM635" s="46"/>
      <c r="CN635" s="46"/>
      <c r="CO635" s="46"/>
      <c r="CP635" s="57">
        <f t="shared" si="452"/>
        <v>0</v>
      </c>
      <c r="CQ635" s="46"/>
      <c r="CR635" s="47">
        <f t="shared" si="453"/>
        <v>0</v>
      </c>
      <c r="CS635" s="46"/>
      <c r="CT635" s="46"/>
      <c r="CU635" s="46"/>
      <c r="CV635" s="46"/>
      <c r="CW635" s="47">
        <f t="shared" si="454"/>
        <v>0</v>
      </c>
      <c r="CX635" s="46"/>
      <c r="CY635" s="47">
        <f t="shared" si="455"/>
        <v>0</v>
      </c>
      <c r="CZ635" s="46"/>
      <c r="DA635" s="46"/>
      <c r="DB635" s="46"/>
      <c r="DC635" s="46"/>
      <c r="DD635" s="47">
        <f t="shared" si="444"/>
        <v>0</v>
      </c>
      <c r="DE635" s="46"/>
      <c r="DF635" s="47"/>
      <c r="DG635" s="46"/>
      <c r="DH635" s="46"/>
      <c r="DI635" s="46"/>
      <c r="DJ635" s="46"/>
      <c r="DK635" s="47"/>
      <c r="DL635" s="47">
        <f t="shared" si="456"/>
        <v>0</v>
      </c>
      <c r="DM635" s="47"/>
      <c r="DN635" s="46"/>
      <c r="DO635" s="46"/>
      <c r="DP635" s="46"/>
      <c r="DQ635" s="46"/>
      <c r="DR635" s="46"/>
      <c r="DS635" s="46"/>
      <c r="DT635" s="46"/>
      <c r="DU635" s="46"/>
      <c r="DV635" s="46"/>
      <c r="DW635" s="46"/>
      <c r="DX635" s="47">
        <f t="shared" si="457"/>
        <v>0</v>
      </c>
      <c r="DY635" s="46"/>
      <c r="DZ635" s="46"/>
      <c r="EA635" s="46"/>
      <c r="EB635" s="46"/>
      <c r="EC635" s="46"/>
      <c r="ED635" s="46"/>
      <c r="EE635" s="47">
        <f t="shared" si="445"/>
        <v>0</v>
      </c>
      <c r="EF635" s="46"/>
      <c r="EG635" s="46"/>
      <c r="EH635" s="46"/>
      <c r="EI635" s="46"/>
      <c r="EJ635" s="46"/>
      <c r="EK635" s="47">
        <f t="shared" si="460"/>
        <v>0</v>
      </c>
      <c r="EL635" s="46">
        <f t="shared" si="458"/>
        <v>0</v>
      </c>
      <c r="EM635" s="46"/>
      <c r="EN635" s="46">
        <f t="shared" si="459"/>
        <v>0</v>
      </c>
    </row>
    <row r="636" spans="2:144" s="48" customFormat="1" ht="15" customHeight="1" x14ac:dyDescent="0.25">
      <c r="B636" s="41">
        <v>8</v>
      </c>
      <c r="C636" s="42"/>
      <c r="D636" s="43"/>
      <c r="E636" s="42"/>
      <c r="F636" s="42"/>
      <c r="G636" s="42"/>
      <c r="H636" s="42"/>
      <c r="I636" s="42"/>
      <c r="J636" s="42"/>
      <c r="K636" s="42"/>
      <c r="L636" s="42"/>
      <c r="M636" s="42"/>
      <c r="N636" s="41"/>
      <c r="O636" s="41"/>
      <c r="P636" s="42"/>
      <c r="Q636" s="45"/>
      <c r="R636" s="45"/>
      <c r="S636" s="42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7">
        <f t="shared" si="446"/>
        <v>0</v>
      </c>
      <c r="AO636" s="47">
        <f t="shared" si="447"/>
        <v>0</v>
      </c>
      <c r="AP636" s="42"/>
      <c r="AQ636" s="46"/>
      <c r="AR636" s="46"/>
      <c r="AS636" s="46"/>
      <c r="AT636" s="46"/>
      <c r="AU636" s="47"/>
      <c r="AV636" s="46"/>
      <c r="AW636" s="47"/>
      <c r="AX636" s="42"/>
      <c r="AY636" s="46"/>
      <c r="AZ636" s="46"/>
      <c r="BA636" s="46"/>
      <c r="BB636" s="46"/>
      <c r="BC636" s="47"/>
      <c r="BD636" s="46"/>
      <c r="BE636" s="47">
        <f t="shared" si="448"/>
        <v>0</v>
      </c>
      <c r="BF636" s="42"/>
      <c r="BG636" s="46"/>
      <c r="BH636" s="46"/>
      <c r="BI636" s="46"/>
      <c r="BJ636" s="46"/>
      <c r="BK636" s="47">
        <f t="shared" si="443"/>
        <v>0</v>
      </c>
      <c r="BL636" s="46"/>
      <c r="BM636" s="47"/>
      <c r="BN636" s="42"/>
      <c r="BO636" s="46"/>
      <c r="BP636" s="46"/>
      <c r="BQ636" s="46"/>
      <c r="BR636" s="46"/>
      <c r="BS636" s="47">
        <f t="shared" si="449"/>
        <v>0</v>
      </c>
      <c r="BT636" s="46"/>
      <c r="BU636" s="47"/>
      <c r="BV636" s="42"/>
      <c r="BW636" s="46"/>
      <c r="BX636" s="46"/>
      <c r="BY636" s="46"/>
      <c r="BZ636" s="46"/>
      <c r="CA636" s="47">
        <f t="shared" si="450"/>
        <v>0</v>
      </c>
      <c r="CB636" s="46"/>
      <c r="CC636" s="47"/>
      <c r="CD636" s="42"/>
      <c r="CE636" s="46"/>
      <c r="CF636" s="46"/>
      <c r="CG636" s="46"/>
      <c r="CH636" s="46"/>
      <c r="CI636" s="47">
        <f t="shared" si="451"/>
        <v>0</v>
      </c>
      <c r="CJ636" s="46"/>
      <c r="CK636" s="47"/>
      <c r="CL636" s="46"/>
      <c r="CM636" s="46"/>
      <c r="CN636" s="46"/>
      <c r="CO636" s="46"/>
      <c r="CP636" s="57">
        <f t="shared" si="452"/>
        <v>0</v>
      </c>
      <c r="CQ636" s="46"/>
      <c r="CR636" s="47">
        <f t="shared" si="453"/>
        <v>0</v>
      </c>
      <c r="CS636" s="46"/>
      <c r="CT636" s="46"/>
      <c r="CU636" s="46"/>
      <c r="CV636" s="46"/>
      <c r="CW636" s="47">
        <f t="shared" si="454"/>
        <v>0</v>
      </c>
      <c r="CX636" s="46"/>
      <c r="CY636" s="47">
        <f t="shared" si="455"/>
        <v>0</v>
      </c>
      <c r="CZ636" s="46"/>
      <c r="DA636" s="46"/>
      <c r="DB636" s="46"/>
      <c r="DC636" s="46"/>
      <c r="DD636" s="47">
        <f t="shared" si="444"/>
        <v>0</v>
      </c>
      <c r="DE636" s="46"/>
      <c r="DF636" s="47"/>
      <c r="DG636" s="46"/>
      <c r="DH636" s="46"/>
      <c r="DI636" s="46"/>
      <c r="DJ636" s="46"/>
      <c r="DK636" s="47"/>
      <c r="DL636" s="47">
        <f t="shared" si="456"/>
        <v>0</v>
      </c>
      <c r="DM636" s="47"/>
      <c r="DN636" s="46"/>
      <c r="DO636" s="46"/>
      <c r="DP636" s="46"/>
      <c r="DQ636" s="46"/>
      <c r="DR636" s="46"/>
      <c r="DS636" s="46"/>
      <c r="DT636" s="46"/>
      <c r="DU636" s="46"/>
      <c r="DV636" s="46"/>
      <c r="DW636" s="46"/>
      <c r="DX636" s="47">
        <f t="shared" si="457"/>
        <v>0</v>
      </c>
      <c r="DY636" s="46"/>
      <c r="DZ636" s="46"/>
      <c r="EA636" s="46"/>
      <c r="EB636" s="46"/>
      <c r="EC636" s="46"/>
      <c r="ED636" s="46"/>
      <c r="EE636" s="47">
        <f t="shared" si="445"/>
        <v>0</v>
      </c>
      <c r="EF636" s="46"/>
      <c r="EG636" s="46"/>
      <c r="EH636" s="46"/>
      <c r="EI636" s="46"/>
      <c r="EJ636" s="46"/>
      <c r="EK636" s="47">
        <f t="shared" si="460"/>
        <v>0</v>
      </c>
      <c r="EL636" s="46">
        <f t="shared" si="458"/>
        <v>0</v>
      </c>
      <c r="EM636" s="46"/>
      <c r="EN636" s="46">
        <f t="shared" si="459"/>
        <v>0</v>
      </c>
    </row>
    <row r="637" spans="2:144" s="48" customFormat="1" ht="15" customHeight="1" x14ac:dyDescent="0.25">
      <c r="B637" s="41">
        <v>9</v>
      </c>
      <c r="C637" s="42"/>
      <c r="D637" s="43"/>
      <c r="E637" s="42"/>
      <c r="F637" s="42"/>
      <c r="G637" s="42"/>
      <c r="H637" s="42"/>
      <c r="I637" s="42"/>
      <c r="J637" s="42"/>
      <c r="K637" s="42"/>
      <c r="L637" s="42"/>
      <c r="M637" s="42"/>
      <c r="N637" s="41"/>
      <c r="O637" s="41"/>
      <c r="P637" s="42"/>
      <c r="Q637" s="45"/>
      <c r="R637" s="45"/>
      <c r="S637" s="42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7">
        <f t="shared" si="446"/>
        <v>0</v>
      </c>
      <c r="AO637" s="47">
        <f t="shared" si="447"/>
        <v>0</v>
      </c>
      <c r="AP637" s="42"/>
      <c r="AQ637" s="46"/>
      <c r="AR637" s="46"/>
      <c r="AS637" s="46"/>
      <c r="AT637" s="46"/>
      <c r="AU637" s="47"/>
      <c r="AV637" s="46"/>
      <c r="AW637" s="47"/>
      <c r="AX637" s="42"/>
      <c r="AY637" s="46"/>
      <c r="AZ637" s="46"/>
      <c r="BA637" s="46"/>
      <c r="BB637" s="46"/>
      <c r="BC637" s="47"/>
      <c r="BD637" s="46"/>
      <c r="BE637" s="47">
        <f t="shared" si="448"/>
        <v>0</v>
      </c>
      <c r="BF637" s="42"/>
      <c r="BG637" s="46"/>
      <c r="BH637" s="46"/>
      <c r="BI637" s="46"/>
      <c r="BJ637" s="46"/>
      <c r="BK637" s="47">
        <f t="shared" si="443"/>
        <v>0</v>
      </c>
      <c r="BL637" s="46"/>
      <c r="BM637" s="47"/>
      <c r="BN637" s="42"/>
      <c r="BO637" s="46"/>
      <c r="BP637" s="46"/>
      <c r="BQ637" s="46"/>
      <c r="BR637" s="46"/>
      <c r="BS637" s="47">
        <f t="shared" si="449"/>
        <v>0</v>
      </c>
      <c r="BT637" s="46"/>
      <c r="BU637" s="47"/>
      <c r="BV637" s="42"/>
      <c r="BW637" s="46"/>
      <c r="BX637" s="46"/>
      <c r="BY637" s="46"/>
      <c r="BZ637" s="46"/>
      <c r="CA637" s="47">
        <f t="shared" si="450"/>
        <v>0</v>
      </c>
      <c r="CB637" s="46"/>
      <c r="CC637" s="47"/>
      <c r="CD637" s="42"/>
      <c r="CE637" s="46"/>
      <c r="CF637" s="46"/>
      <c r="CG637" s="46"/>
      <c r="CH637" s="46"/>
      <c r="CI637" s="47">
        <f t="shared" si="451"/>
        <v>0</v>
      </c>
      <c r="CJ637" s="46"/>
      <c r="CK637" s="47"/>
      <c r="CL637" s="46"/>
      <c r="CM637" s="46"/>
      <c r="CN637" s="46"/>
      <c r="CO637" s="46"/>
      <c r="CP637" s="57">
        <f t="shared" si="452"/>
        <v>0</v>
      </c>
      <c r="CQ637" s="46"/>
      <c r="CR637" s="47">
        <f t="shared" si="453"/>
        <v>0</v>
      </c>
      <c r="CS637" s="46"/>
      <c r="CT637" s="46"/>
      <c r="CU637" s="46"/>
      <c r="CV637" s="46"/>
      <c r="CW637" s="47">
        <f t="shared" si="454"/>
        <v>0</v>
      </c>
      <c r="CX637" s="46"/>
      <c r="CY637" s="47">
        <f t="shared" si="455"/>
        <v>0</v>
      </c>
      <c r="CZ637" s="46"/>
      <c r="DA637" s="46"/>
      <c r="DB637" s="46"/>
      <c r="DC637" s="46"/>
      <c r="DD637" s="47">
        <f t="shared" si="444"/>
        <v>0</v>
      </c>
      <c r="DE637" s="46"/>
      <c r="DF637" s="47"/>
      <c r="DG637" s="46"/>
      <c r="DH637" s="46"/>
      <c r="DI637" s="46"/>
      <c r="DJ637" s="46"/>
      <c r="DK637" s="47"/>
      <c r="DL637" s="47">
        <f t="shared" si="456"/>
        <v>0</v>
      </c>
      <c r="DM637" s="47"/>
      <c r="DN637" s="46"/>
      <c r="DO637" s="46"/>
      <c r="DP637" s="46"/>
      <c r="DQ637" s="46"/>
      <c r="DR637" s="46"/>
      <c r="DS637" s="46"/>
      <c r="DT637" s="46"/>
      <c r="DU637" s="46"/>
      <c r="DV637" s="46"/>
      <c r="DW637" s="46"/>
      <c r="DX637" s="47">
        <f t="shared" si="457"/>
        <v>0</v>
      </c>
      <c r="DY637" s="46"/>
      <c r="DZ637" s="46"/>
      <c r="EA637" s="46"/>
      <c r="EB637" s="46"/>
      <c r="EC637" s="46"/>
      <c r="ED637" s="46"/>
      <c r="EE637" s="47">
        <f t="shared" si="445"/>
        <v>0</v>
      </c>
      <c r="EF637" s="46"/>
      <c r="EG637" s="46"/>
      <c r="EH637" s="46"/>
      <c r="EI637" s="46"/>
      <c r="EJ637" s="46"/>
      <c r="EK637" s="47">
        <f t="shared" si="460"/>
        <v>0</v>
      </c>
      <c r="EL637" s="46">
        <f t="shared" si="458"/>
        <v>0</v>
      </c>
      <c r="EM637" s="46"/>
      <c r="EN637" s="46">
        <f t="shared" si="459"/>
        <v>0</v>
      </c>
    </row>
    <row r="638" spans="2:144" s="48" customFormat="1" ht="15" customHeight="1" x14ac:dyDescent="0.25">
      <c r="B638" s="41">
        <v>10</v>
      </c>
      <c r="C638" s="42"/>
      <c r="D638" s="43"/>
      <c r="E638" s="42"/>
      <c r="F638" s="42"/>
      <c r="G638" s="42"/>
      <c r="H638" s="42"/>
      <c r="I638" s="42"/>
      <c r="J638" s="42"/>
      <c r="K638" s="42"/>
      <c r="L638" s="42"/>
      <c r="M638" s="42"/>
      <c r="N638" s="41"/>
      <c r="O638" s="41"/>
      <c r="P638" s="42"/>
      <c r="Q638" s="45"/>
      <c r="R638" s="45"/>
      <c r="S638" s="42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7">
        <f t="shared" si="446"/>
        <v>0</v>
      </c>
      <c r="AO638" s="47">
        <f t="shared" si="447"/>
        <v>0</v>
      </c>
      <c r="AP638" s="42"/>
      <c r="AQ638" s="46"/>
      <c r="AR638" s="46"/>
      <c r="AS638" s="46"/>
      <c r="AT638" s="46"/>
      <c r="AU638" s="47"/>
      <c r="AV638" s="46"/>
      <c r="AW638" s="47"/>
      <c r="AX638" s="42"/>
      <c r="AY638" s="46"/>
      <c r="AZ638" s="46"/>
      <c r="BA638" s="46"/>
      <c r="BB638" s="46"/>
      <c r="BC638" s="47"/>
      <c r="BD638" s="46"/>
      <c r="BE638" s="47">
        <f t="shared" si="448"/>
        <v>0</v>
      </c>
      <c r="BF638" s="42"/>
      <c r="BG638" s="46"/>
      <c r="BH638" s="46"/>
      <c r="BI638" s="46"/>
      <c r="BJ638" s="46"/>
      <c r="BK638" s="47">
        <f t="shared" si="443"/>
        <v>0</v>
      </c>
      <c r="BL638" s="46"/>
      <c r="BM638" s="47"/>
      <c r="BN638" s="42"/>
      <c r="BO638" s="46"/>
      <c r="BP638" s="46"/>
      <c r="BQ638" s="46"/>
      <c r="BR638" s="46"/>
      <c r="BS638" s="47">
        <f t="shared" si="449"/>
        <v>0</v>
      </c>
      <c r="BT638" s="46"/>
      <c r="BU638" s="47"/>
      <c r="BV638" s="42"/>
      <c r="BW638" s="46"/>
      <c r="BX638" s="46"/>
      <c r="BY638" s="46"/>
      <c r="BZ638" s="46"/>
      <c r="CA638" s="47">
        <f t="shared" si="450"/>
        <v>0</v>
      </c>
      <c r="CB638" s="46"/>
      <c r="CC638" s="47"/>
      <c r="CD638" s="42"/>
      <c r="CE638" s="46"/>
      <c r="CF638" s="46"/>
      <c r="CG638" s="46"/>
      <c r="CH638" s="46"/>
      <c r="CI638" s="47">
        <f t="shared" si="451"/>
        <v>0</v>
      </c>
      <c r="CJ638" s="46"/>
      <c r="CK638" s="47"/>
      <c r="CL638" s="46"/>
      <c r="CM638" s="46"/>
      <c r="CN638" s="46"/>
      <c r="CO638" s="46"/>
      <c r="CP638" s="57">
        <f t="shared" si="452"/>
        <v>0</v>
      </c>
      <c r="CQ638" s="46"/>
      <c r="CR638" s="47">
        <f>CQ638</f>
        <v>0</v>
      </c>
      <c r="CS638" s="46"/>
      <c r="CT638" s="46"/>
      <c r="CU638" s="46"/>
      <c r="CV638" s="46"/>
      <c r="CW638" s="47">
        <f t="shared" si="454"/>
        <v>0</v>
      </c>
      <c r="CX638" s="46"/>
      <c r="CY638" s="47">
        <f t="shared" si="455"/>
        <v>0</v>
      </c>
      <c r="CZ638" s="46"/>
      <c r="DA638" s="46"/>
      <c r="DB638" s="46"/>
      <c r="DC638" s="46"/>
      <c r="DD638" s="47">
        <f t="shared" si="444"/>
        <v>0</v>
      </c>
      <c r="DE638" s="46"/>
      <c r="DF638" s="47"/>
      <c r="DG638" s="46"/>
      <c r="DH638" s="46"/>
      <c r="DI638" s="46"/>
      <c r="DJ638" s="46"/>
      <c r="DK638" s="47"/>
      <c r="DL638" s="47">
        <f t="shared" si="456"/>
        <v>0</v>
      </c>
      <c r="DM638" s="47"/>
      <c r="DN638" s="46"/>
      <c r="DO638" s="46"/>
      <c r="DP638" s="46"/>
      <c r="DQ638" s="46"/>
      <c r="DR638" s="46"/>
      <c r="DS638" s="46"/>
      <c r="DT638" s="46"/>
      <c r="DU638" s="46"/>
      <c r="DV638" s="46"/>
      <c r="DW638" s="46"/>
      <c r="DX638" s="47">
        <f t="shared" si="457"/>
        <v>0</v>
      </c>
      <c r="DY638" s="46"/>
      <c r="DZ638" s="46"/>
      <c r="EA638" s="46"/>
      <c r="EB638" s="46"/>
      <c r="EC638" s="46"/>
      <c r="ED638" s="46"/>
      <c r="EE638" s="47">
        <f t="shared" si="445"/>
        <v>0</v>
      </c>
      <c r="EF638" s="46"/>
      <c r="EG638" s="46"/>
      <c r="EH638" s="46"/>
      <c r="EI638" s="46"/>
      <c r="EJ638" s="46"/>
      <c r="EK638" s="47">
        <f t="shared" si="460"/>
        <v>0</v>
      </c>
      <c r="EL638" s="46">
        <f t="shared" si="458"/>
        <v>0</v>
      </c>
      <c r="EM638" s="46"/>
      <c r="EN638" s="46">
        <f t="shared" si="459"/>
        <v>0</v>
      </c>
    </row>
    <row r="639" spans="2:144" s="48" customFormat="1" ht="15" customHeight="1" x14ac:dyDescent="0.25">
      <c r="B639" s="41">
        <v>11</v>
      </c>
      <c r="C639" s="42"/>
      <c r="D639" s="43"/>
      <c r="E639" s="42"/>
      <c r="F639" s="42"/>
      <c r="G639" s="42"/>
      <c r="H639" s="42"/>
      <c r="I639" s="42"/>
      <c r="J639" s="42"/>
      <c r="K639" s="42"/>
      <c r="L639" s="42"/>
      <c r="M639" s="42"/>
      <c r="N639" s="41"/>
      <c r="O639" s="41"/>
      <c r="P639" s="42"/>
      <c r="Q639" s="45"/>
      <c r="R639" s="45"/>
      <c r="S639" s="42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7">
        <f t="shared" si="446"/>
        <v>0</v>
      </c>
      <c r="AO639" s="47">
        <f t="shared" si="447"/>
        <v>0</v>
      </c>
      <c r="AP639" s="42"/>
      <c r="AQ639" s="46"/>
      <c r="AR639" s="46"/>
      <c r="AS639" s="46"/>
      <c r="AT639" s="46"/>
      <c r="AU639" s="47"/>
      <c r="AV639" s="46"/>
      <c r="AW639" s="47"/>
      <c r="AX639" s="42"/>
      <c r="AY639" s="46"/>
      <c r="AZ639" s="46"/>
      <c r="BA639" s="46"/>
      <c r="BB639" s="46"/>
      <c r="BC639" s="47"/>
      <c r="BD639" s="46"/>
      <c r="BE639" s="47">
        <f t="shared" si="448"/>
        <v>0</v>
      </c>
      <c r="BF639" s="42"/>
      <c r="BG639" s="46"/>
      <c r="BH639" s="46"/>
      <c r="BI639" s="46"/>
      <c r="BJ639" s="46"/>
      <c r="BK639" s="47">
        <f t="shared" si="443"/>
        <v>0</v>
      </c>
      <c r="BL639" s="46"/>
      <c r="BM639" s="47"/>
      <c r="BN639" s="42"/>
      <c r="BO639" s="46"/>
      <c r="BP639" s="46"/>
      <c r="BQ639" s="46"/>
      <c r="BR639" s="46"/>
      <c r="BS639" s="47">
        <f t="shared" si="449"/>
        <v>0</v>
      </c>
      <c r="BT639" s="46"/>
      <c r="BU639" s="47"/>
      <c r="BV639" s="42"/>
      <c r="BW639" s="46"/>
      <c r="BX639" s="46"/>
      <c r="BY639" s="46"/>
      <c r="BZ639" s="46"/>
      <c r="CA639" s="47">
        <f t="shared" si="450"/>
        <v>0</v>
      </c>
      <c r="CB639" s="46"/>
      <c r="CC639" s="47"/>
      <c r="CD639" s="42"/>
      <c r="CE639" s="46"/>
      <c r="CF639" s="46"/>
      <c r="CG639" s="46"/>
      <c r="CH639" s="46"/>
      <c r="CI639" s="47">
        <f t="shared" si="451"/>
        <v>0</v>
      </c>
      <c r="CJ639" s="46"/>
      <c r="CK639" s="47"/>
      <c r="CL639" s="46"/>
      <c r="CM639" s="46"/>
      <c r="CN639" s="46"/>
      <c r="CO639" s="46"/>
      <c r="CP639" s="57">
        <f>CN639*CO639</f>
        <v>0</v>
      </c>
      <c r="CQ639" s="46"/>
      <c r="CR639" s="47">
        <f>+CM639+CP639+CQ639</f>
        <v>0</v>
      </c>
      <c r="CS639" s="46"/>
      <c r="CT639" s="46"/>
      <c r="CU639" s="46"/>
      <c r="CV639" s="46"/>
      <c r="CW639" s="47">
        <f t="shared" si="454"/>
        <v>0</v>
      </c>
      <c r="CX639" s="46"/>
      <c r="CY639" s="47">
        <f t="shared" si="455"/>
        <v>0</v>
      </c>
      <c r="CZ639" s="46"/>
      <c r="DA639" s="46"/>
      <c r="DB639" s="46"/>
      <c r="DC639" s="46"/>
      <c r="DD639" s="47">
        <f t="shared" si="444"/>
        <v>0</v>
      </c>
      <c r="DE639" s="46"/>
      <c r="DF639" s="47"/>
      <c r="DG639" s="46"/>
      <c r="DH639" s="46"/>
      <c r="DI639" s="46"/>
      <c r="DJ639" s="46"/>
      <c r="DK639" s="47"/>
      <c r="DL639" s="47">
        <f t="shared" si="456"/>
        <v>0</v>
      </c>
      <c r="DM639" s="47"/>
      <c r="DN639" s="46"/>
      <c r="DO639" s="46"/>
      <c r="DP639" s="46"/>
      <c r="DQ639" s="46"/>
      <c r="DR639" s="46"/>
      <c r="DS639" s="46"/>
      <c r="DT639" s="46"/>
      <c r="DU639" s="46"/>
      <c r="DV639" s="46"/>
      <c r="DW639" s="46"/>
      <c r="DX639" s="47">
        <f t="shared" si="457"/>
        <v>0</v>
      </c>
      <c r="DY639" s="46"/>
      <c r="DZ639" s="46"/>
      <c r="EA639" s="46"/>
      <c r="EB639" s="46"/>
      <c r="EC639" s="46"/>
      <c r="ED639" s="46"/>
      <c r="EE639" s="47">
        <f t="shared" si="445"/>
        <v>0</v>
      </c>
      <c r="EF639" s="46"/>
      <c r="EG639" s="46"/>
      <c r="EH639" s="46"/>
      <c r="EI639" s="46"/>
      <c r="EJ639" s="46"/>
      <c r="EK639" s="47">
        <f t="shared" si="460"/>
        <v>0</v>
      </c>
      <c r="EL639" s="46">
        <f t="shared" si="458"/>
        <v>0</v>
      </c>
      <c r="EM639" s="46"/>
      <c r="EN639" s="46">
        <f t="shared" si="459"/>
        <v>0</v>
      </c>
    </row>
    <row r="640" spans="2:144" s="48" customFormat="1" ht="15" customHeight="1" x14ac:dyDescent="0.25">
      <c r="B640" s="41">
        <v>12</v>
      </c>
      <c r="C640" s="42"/>
      <c r="D640" s="43"/>
      <c r="E640" s="42"/>
      <c r="F640" s="42"/>
      <c r="G640" s="42"/>
      <c r="H640" s="42"/>
      <c r="I640" s="42"/>
      <c r="J640" s="42"/>
      <c r="K640" s="42"/>
      <c r="L640" s="42"/>
      <c r="M640" s="42"/>
      <c r="N640" s="41"/>
      <c r="O640" s="41"/>
      <c r="P640" s="42"/>
      <c r="Q640" s="45"/>
      <c r="R640" s="45"/>
      <c r="S640" s="42"/>
      <c r="T640" s="46"/>
      <c r="U640" s="46"/>
      <c r="V640" s="46"/>
      <c r="W640" s="46"/>
      <c r="X640" s="46"/>
      <c r="Y640" s="46"/>
      <c r="Z640" s="160"/>
      <c r="AA640" s="160"/>
      <c r="AB640" s="160"/>
      <c r="AC640" s="160"/>
      <c r="AD640" s="160"/>
      <c r="AE640" s="160"/>
      <c r="AF640" s="160"/>
      <c r="AG640" s="160"/>
      <c r="AH640" s="160"/>
      <c r="AI640" s="46"/>
      <c r="AJ640" s="160"/>
      <c r="AK640" s="160"/>
      <c r="AL640" s="160"/>
      <c r="AM640" s="160"/>
      <c r="AN640" s="47">
        <f t="shared" si="446"/>
        <v>0</v>
      </c>
      <c r="AO640" s="47">
        <f t="shared" si="447"/>
        <v>0</v>
      </c>
      <c r="AP640" s="160"/>
      <c r="AQ640" s="160"/>
      <c r="AR640" s="160"/>
      <c r="AS640" s="92"/>
      <c r="AT640" s="46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>
        <f t="shared" si="448"/>
        <v>0</v>
      </c>
      <c r="BF640" s="47"/>
      <c r="BG640" s="47"/>
      <c r="BH640" s="47"/>
      <c r="BI640" s="47"/>
      <c r="BJ640" s="47"/>
      <c r="BK640" s="47">
        <f t="shared" si="443"/>
        <v>0</v>
      </c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57">
        <f t="shared" si="452"/>
        <v>0</v>
      </c>
      <c r="CQ640" s="47"/>
      <c r="CR640" s="47">
        <f t="shared" si="453"/>
        <v>0</v>
      </c>
      <c r="CS640" s="47"/>
      <c r="CT640" s="47"/>
      <c r="CU640" s="47"/>
      <c r="CV640" s="47"/>
      <c r="CW640" s="47">
        <f t="shared" si="454"/>
        <v>0</v>
      </c>
      <c r="CX640" s="47"/>
      <c r="CY640" s="47">
        <f t="shared" si="455"/>
        <v>0</v>
      </c>
      <c r="CZ640" s="47"/>
      <c r="DA640" s="47"/>
      <c r="DB640" s="47"/>
      <c r="DC640" s="47"/>
      <c r="DD640" s="47">
        <f t="shared" si="444"/>
        <v>0</v>
      </c>
      <c r="DE640" s="47"/>
      <c r="DF640" s="47"/>
      <c r="DG640" s="47"/>
      <c r="DH640" s="47"/>
      <c r="DI640" s="47"/>
      <c r="DJ640" s="47"/>
      <c r="DK640" s="47"/>
      <c r="DL640" s="47">
        <f t="shared" si="456"/>
        <v>0</v>
      </c>
      <c r="DM640" s="47"/>
      <c r="DN640" s="47"/>
      <c r="DO640" s="47"/>
      <c r="DP640" s="46"/>
      <c r="DQ640" s="47"/>
      <c r="DR640" s="46"/>
      <c r="DS640" s="47"/>
      <c r="DT640" s="47"/>
      <c r="DU640" s="47"/>
      <c r="DV640" s="47"/>
      <c r="DW640" s="47"/>
      <c r="DX640" s="47">
        <f t="shared" si="457"/>
        <v>0</v>
      </c>
      <c r="DY640" s="47"/>
      <c r="DZ640" s="47"/>
      <c r="EA640" s="47"/>
      <c r="EB640" s="47"/>
      <c r="EC640" s="47"/>
      <c r="ED640" s="47"/>
      <c r="EE640" s="47">
        <f t="shared" si="445"/>
        <v>0</v>
      </c>
      <c r="EF640" s="47"/>
      <c r="EG640" s="47"/>
      <c r="EH640" s="47"/>
      <c r="EI640" s="47"/>
      <c r="EJ640" s="47"/>
      <c r="EK640" s="47">
        <f t="shared" si="460"/>
        <v>0</v>
      </c>
      <c r="EL640" s="46">
        <f t="shared" si="458"/>
        <v>0</v>
      </c>
      <c r="EM640" s="46"/>
      <c r="EN640" s="46">
        <f t="shared" si="459"/>
        <v>0</v>
      </c>
    </row>
    <row r="641" spans="2:144" s="48" customFormat="1" ht="15" customHeight="1" x14ac:dyDescent="0.25">
      <c r="B641" s="41">
        <v>13</v>
      </c>
      <c r="C641" s="42"/>
      <c r="D641" s="43"/>
      <c r="E641" s="42"/>
      <c r="F641" s="42"/>
      <c r="G641" s="42"/>
      <c r="H641" s="42"/>
      <c r="I641" s="42"/>
      <c r="J641" s="42"/>
      <c r="K641" s="42"/>
      <c r="L641" s="42"/>
      <c r="M641" s="42"/>
      <c r="N641" s="41"/>
      <c r="O641" s="41"/>
      <c r="P641" s="42"/>
      <c r="Q641" s="45"/>
      <c r="R641" s="45"/>
      <c r="S641" s="42"/>
      <c r="T641" s="46"/>
      <c r="U641" s="46"/>
      <c r="V641" s="46"/>
      <c r="W641" s="46"/>
      <c r="X641" s="46"/>
      <c r="Y641" s="46"/>
      <c r="Z641" s="160"/>
      <c r="AA641" s="160"/>
      <c r="AB641" s="160"/>
      <c r="AC641" s="160"/>
      <c r="AD641" s="160"/>
      <c r="AE641" s="160"/>
      <c r="AF641" s="160"/>
      <c r="AG641" s="160"/>
      <c r="AH641" s="160"/>
      <c r="AI641" s="46"/>
      <c r="AJ641" s="160"/>
      <c r="AK641" s="160"/>
      <c r="AL641" s="160"/>
      <c r="AM641" s="160"/>
      <c r="AN641" s="47">
        <f t="shared" si="446"/>
        <v>0</v>
      </c>
      <c r="AO641" s="47">
        <f t="shared" si="447"/>
        <v>0</v>
      </c>
      <c r="AP641" s="160"/>
      <c r="AQ641" s="160"/>
      <c r="AR641" s="160"/>
      <c r="AS641" s="92"/>
      <c r="AT641" s="46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>
        <f t="shared" si="448"/>
        <v>0</v>
      </c>
      <c r="BF641" s="47"/>
      <c r="BG641" s="47"/>
      <c r="BH641" s="47"/>
      <c r="BI641" s="47"/>
      <c r="BJ641" s="47"/>
      <c r="BK641" s="47">
        <f t="shared" si="443"/>
        <v>0</v>
      </c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57">
        <f>CN641*CO641</f>
        <v>0</v>
      </c>
      <c r="CQ641" s="47"/>
      <c r="CR641" s="47">
        <f t="shared" si="453"/>
        <v>0</v>
      </c>
      <c r="CS641" s="47"/>
      <c r="CT641" s="47"/>
      <c r="CU641" s="47"/>
      <c r="CV641" s="47"/>
      <c r="CW641" s="47">
        <f t="shared" si="454"/>
        <v>0</v>
      </c>
      <c r="CX641" s="47"/>
      <c r="CY641" s="47">
        <f t="shared" si="455"/>
        <v>0</v>
      </c>
      <c r="CZ641" s="47"/>
      <c r="DA641" s="47"/>
      <c r="DB641" s="47"/>
      <c r="DC641" s="47"/>
      <c r="DD641" s="47">
        <f t="shared" si="444"/>
        <v>0</v>
      </c>
      <c r="DE641" s="47"/>
      <c r="DF641" s="47"/>
      <c r="DG641" s="47"/>
      <c r="DH641" s="47"/>
      <c r="DI641" s="47"/>
      <c r="DJ641" s="47"/>
      <c r="DK641" s="47"/>
      <c r="DL641" s="47">
        <f t="shared" si="456"/>
        <v>0</v>
      </c>
      <c r="DM641" s="47"/>
      <c r="DN641" s="47"/>
      <c r="DO641" s="47"/>
      <c r="DP641" s="46"/>
      <c r="DQ641" s="47"/>
      <c r="DR641" s="46"/>
      <c r="DS641" s="47"/>
      <c r="DT641" s="47"/>
      <c r="DU641" s="47"/>
      <c r="DV641" s="47"/>
      <c r="DW641" s="47"/>
      <c r="DX641" s="47">
        <f t="shared" si="457"/>
        <v>0</v>
      </c>
      <c r="DY641" s="47"/>
      <c r="DZ641" s="47"/>
      <c r="EA641" s="47"/>
      <c r="EB641" s="47"/>
      <c r="EC641" s="47"/>
      <c r="ED641" s="47"/>
      <c r="EE641" s="47">
        <f t="shared" si="445"/>
        <v>0</v>
      </c>
      <c r="EF641" s="47"/>
      <c r="EG641" s="47"/>
      <c r="EH641" s="47"/>
      <c r="EI641" s="47"/>
      <c r="EJ641" s="47"/>
      <c r="EK641" s="47">
        <f t="shared" si="460"/>
        <v>0</v>
      </c>
      <c r="EL641" s="46">
        <f t="shared" si="458"/>
        <v>0</v>
      </c>
      <c r="EM641" s="46"/>
      <c r="EN641" s="46">
        <f t="shared" si="459"/>
        <v>0</v>
      </c>
    </row>
    <row r="642" spans="2:144" s="48" customFormat="1" ht="15" customHeight="1" x14ac:dyDescent="0.25">
      <c r="B642" s="41">
        <v>14</v>
      </c>
      <c r="C642" s="42"/>
      <c r="D642" s="43"/>
      <c r="E642" s="42"/>
      <c r="F642" s="42"/>
      <c r="G642" s="42"/>
      <c r="H642" s="42"/>
      <c r="I642" s="42"/>
      <c r="J642" s="42"/>
      <c r="K642" s="42"/>
      <c r="L642" s="42"/>
      <c r="M642" s="42"/>
      <c r="N642" s="41"/>
      <c r="O642" s="41"/>
      <c r="P642" s="42"/>
      <c r="Q642" s="45"/>
      <c r="R642" s="45"/>
      <c r="S642" s="42"/>
      <c r="T642" s="46"/>
      <c r="U642" s="46"/>
      <c r="V642" s="46"/>
      <c r="W642" s="46"/>
      <c r="X642" s="46"/>
      <c r="Y642" s="46"/>
      <c r="Z642" s="160"/>
      <c r="AA642" s="160"/>
      <c r="AB642" s="160"/>
      <c r="AC642" s="160"/>
      <c r="AD642" s="160"/>
      <c r="AE642" s="160"/>
      <c r="AF642" s="160"/>
      <c r="AG642" s="160"/>
      <c r="AH642" s="160"/>
      <c r="AI642" s="46"/>
      <c r="AJ642" s="160"/>
      <c r="AK642" s="160"/>
      <c r="AL642" s="160"/>
      <c r="AM642" s="160"/>
      <c r="AN642" s="47">
        <f t="shared" si="446"/>
        <v>0</v>
      </c>
      <c r="AO642" s="47">
        <f t="shared" si="447"/>
        <v>0</v>
      </c>
      <c r="AP642" s="160"/>
      <c r="AQ642" s="160"/>
      <c r="AR642" s="160"/>
      <c r="AS642" s="92"/>
      <c r="AT642" s="46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>
        <f t="shared" si="448"/>
        <v>0</v>
      </c>
      <c r="BF642" s="47"/>
      <c r="BG642" s="47"/>
      <c r="BH642" s="47"/>
      <c r="BI642" s="47"/>
      <c r="BJ642" s="47"/>
      <c r="BK642" s="47">
        <f t="shared" si="443"/>
        <v>0</v>
      </c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57">
        <f t="shared" si="452"/>
        <v>0</v>
      </c>
      <c r="CQ642" s="47"/>
      <c r="CR642" s="47">
        <f t="shared" si="453"/>
        <v>0</v>
      </c>
      <c r="CS642" s="47"/>
      <c r="CT642" s="47"/>
      <c r="CU642" s="47"/>
      <c r="CV642" s="47"/>
      <c r="CW642" s="47">
        <f t="shared" si="454"/>
        <v>0</v>
      </c>
      <c r="CX642" s="47"/>
      <c r="CY642" s="47">
        <f t="shared" si="455"/>
        <v>0</v>
      </c>
      <c r="CZ642" s="47"/>
      <c r="DA642" s="47"/>
      <c r="DB642" s="47"/>
      <c r="DC642" s="47"/>
      <c r="DD642" s="47">
        <f t="shared" si="444"/>
        <v>0</v>
      </c>
      <c r="DE642" s="47"/>
      <c r="DF642" s="47"/>
      <c r="DG642" s="47"/>
      <c r="DH642" s="47"/>
      <c r="DI642" s="47"/>
      <c r="DJ642" s="47"/>
      <c r="DK642" s="47"/>
      <c r="DL642" s="47">
        <f t="shared" si="456"/>
        <v>0</v>
      </c>
      <c r="DM642" s="47"/>
      <c r="DN642" s="47"/>
      <c r="DO642" s="47"/>
      <c r="DP642" s="46"/>
      <c r="DQ642" s="47"/>
      <c r="DR642" s="46"/>
      <c r="DS642" s="47"/>
      <c r="DT642" s="47"/>
      <c r="DU642" s="47"/>
      <c r="DV642" s="47"/>
      <c r="DW642" s="47"/>
      <c r="DX642" s="47">
        <f t="shared" si="457"/>
        <v>0</v>
      </c>
      <c r="DY642" s="47"/>
      <c r="DZ642" s="47"/>
      <c r="EA642" s="47"/>
      <c r="EB642" s="47"/>
      <c r="EC642" s="47"/>
      <c r="ED642" s="47"/>
      <c r="EE642" s="47">
        <f t="shared" si="445"/>
        <v>0</v>
      </c>
      <c r="EF642" s="47"/>
      <c r="EG642" s="47"/>
      <c r="EH642" s="47"/>
      <c r="EI642" s="47"/>
      <c r="EJ642" s="47"/>
      <c r="EK642" s="47">
        <f t="shared" si="460"/>
        <v>0</v>
      </c>
      <c r="EL642" s="46">
        <f t="shared" si="458"/>
        <v>0</v>
      </c>
      <c r="EM642" s="46"/>
      <c r="EN642" s="46">
        <f t="shared" si="459"/>
        <v>0</v>
      </c>
    </row>
    <row r="643" spans="2:144" s="48" customFormat="1" ht="15" customHeight="1" x14ac:dyDescent="0.25">
      <c r="B643" s="41">
        <v>15</v>
      </c>
      <c r="C643" s="42"/>
      <c r="D643" s="43"/>
      <c r="E643" s="42"/>
      <c r="F643" s="42"/>
      <c r="G643" s="42"/>
      <c r="H643" s="42"/>
      <c r="I643" s="42"/>
      <c r="J643" s="42"/>
      <c r="K643" s="42"/>
      <c r="L643" s="42"/>
      <c r="M643" s="42"/>
      <c r="N643" s="41"/>
      <c r="O643" s="41"/>
      <c r="P643" s="42"/>
      <c r="Q643" s="45"/>
      <c r="R643" s="45"/>
      <c r="S643" s="42"/>
      <c r="T643" s="46"/>
      <c r="U643" s="46"/>
      <c r="V643" s="46"/>
      <c r="W643" s="46"/>
      <c r="X643" s="46"/>
      <c r="Y643" s="46"/>
      <c r="Z643" s="160"/>
      <c r="AA643" s="160"/>
      <c r="AB643" s="160"/>
      <c r="AC643" s="160"/>
      <c r="AD643" s="160"/>
      <c r="AE643" s="160"/>
      <c r="AF643" s="160"/>
      <c r="AG643" s="160"/>
      <c r="AH643" s="160"/>
      <c r="AI643" s="46"/>
      <c r="AJ643" s="160"/>
      <c r="AK643" s="160"/>
      <c r="AL643" s="160"/>
      <c r="AM643" s="160"/>
      <c r="AN643" s="47">
        <f t="shared" si="446"/>
        <v>0</v>
      </c>
      <c r="AO643" s="47">
        <f t="shared" si="447"/>
        <v>0</v>
      </c>
      <c r="AP643" s="160"/>
      <c r="AQ643" s="160"/>
      <c r="AR643" s="160"/>
      <c r="AS643" s="92"/>
      <c r="AT643" s="46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>
        <f t="shared" si="448"/>
        <v>0</v>
      </c>
      <c r="BF643" s="47"/>
      <c r="BG643" s="47"/>
      <c r="BH643" s="47"/>
      <c r="BI643" s="47"/>
      <c r="BJ643" s="47"/>
      <c r="BK643" s="47">
        <f t="shared" si="443"/>
        <v>0</v>
      </c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57">
        <f t="shared" si="452"/>
        <v>0</v>
      </c>
      <c r="CQ643" s="47"/>
      <c r="CR643" s="47">
        <f t="shared" si="453"/>
        <v>0</v>
      </c>
      <c r="CS643" s="47"/>
      <c r="CT643" s="47"/>
      <c r="CU643" s="47"/>
      <c r="CV643" s="47"/>
      <c r="CW643" s="47">
        <f t="shared" si="454"/>
        <v>0</v>
      </c>
      <c r="CX643" s="47"/>
      <c r="CY643" s="47">
        <f t="shared" si="455"/>
        <v>0</v>
      </c>
      <c r="CZ643" s="47"/>
      <c r="DA643" s="47"/>
      <c r="DB643" s="47"/>
      <c r="DC643" s="47"/>
      <c r="DD643" s="47">
        <f t="shared" si="444"/>
        <v>0</v>
      </c>
      <c r="DE643" s="47"/>
      <c r="DF643" s="47"/>
      <c r="DG643" s="47"/>
      <c r="DH643" s="47"/>
      <c r="DI643" s="47"/>
      <c r="DJ643" s="47"/>
      <c r="DK643" s="47"/>
      <c r="DL643" s="47">
        <f t="shared" si="456"/>
        <v>0</v>
      </c>
      <c r="DM643" s="47"/>
      <c r="DN643" s="47"/>
      <c r="DO643" s="47"/>
      <c r="DP643" s="46"/>
      <c r="DQ643" s="47"/>
      <c r="DR643" s="46"/>
      <c r="DS643" s="47"/>
      <c r="DT643" s="47"/>
      <c r="DU643" s="47"/>
      <c r="DV643" s="47"/>
      <c r="DW643" s="47"/>
      <c r="DX643" s="47">
        <f t="shared" si="457"/>
        <v>0</v>
      </c>
      <c r="DY643" s="47"/>
      <c r="DZ643" s="47"/>
      <c r="EA643" s="47"/>
      <c r="EB643" s="47"/>
      <c r="EC643" s="47"/>
      <c r="ED643" s="47"/>
      <c r="EE643" s="47">
        <f t="shared" si="445"/>
        <v>0</v>
      </c>
      <c r="EF643" s="47"/>
      <c r="EG643" s="47"/>
      <c r="EH643" s="47"/>
      <c r="EI643" s="47"/>
      <c r="EJ643" s="47"/>
      <c r="EK643" s="47">
        <f t="shared" si="460"/>
        <v>0</v>
      </c>
      <c r="EL643" s="46">
        <f t="shared" si="458"/>
        <v>0</v>
      </c>
      <c r="EM643" s="46"/>
      <c r="EN643" s="46">
        <f t="shared" si="459"/>
        <v>0</v>
      </c>
    </row>
    <row r="644" spans="2:144" s="48" customFormat="1" ht="15" customHeight="1" x14ac:dyDescent="0.25">
      <c r="B644" s="41">
        <v>16</v>
      </c>
      <c r="C644" s="42"/>
      <c r="D644" s="43"/>
      <c r="E644" s="42"/>
      <c r="F644" s="42"/>
      <c r="G644" s="42"/>
      <c r="H644" s="42"/>
      <c r="I644" s="42"/>
      <c r="J644" s="42"/>
      <c r="K644" s="42"/>
      <c r="L644" s="42"/>
      <c r="M644" s="42"/>
      <c r="N644" s="41"/>
      <c r="O644" s="41"/>
      <c r="P644" s="42"/>
      <c r="Q644" s="45"/>
      <c r="R644" s="45"/>
      <c r="S644" s="42"/>
      <c r="T644" s="46"/>
      <c r="U644" s="46"/>
      <c r="V644" s="46"/>
      <c r="W644" s="46"/>
      <c r="X644" s="46"/>
      <c r="Y644" s="46"/>
      <c r="Z644" s="160"/>
      <c r="AA644" s="160"/>
      <c r="AB644" s="160"/>
      <c r="AC644" s="160"/>
      <c r="AD644" s="160"/>
      <c r="AE644" s="160"/>
      <c r="AF644" s="160"/>
      <c r="AG644" s="160"/>
      <c r="AH644" s="160"/>
      <c r="AI644" s="46"/>
      <c r="AJ644" s="160"/>
      <c r="AK644" s="160"/>
      <c r="AL644" s="160"/>
      <c r="AM644" s="160"/>
      <c r="AN644" s="47">
        <f t="shared" si="446"/>
        <v>0</v>
      </c>
      <c r="AO644" s="47">
        <f t="shared" si="447"/>
        <v>0</v>
      </c>
      <c r="AP644" s="160"/>
      <c r="AQ644" s="160"/>
      <c r="AR644" s="160"/>
      <c r="AS644" s="92"/>
      <c r="AT644" s="46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>
        <f t="shared" si="448"/>
        <v>0</v>
      </c>
      <c r="BF644" s="47"/>
      <c r="BG644" s="47"/>
      <c r="BH644" s="47"/>
      <c r="BI644" s="47"/>
      <c r="BJ644" s="47"/>
      <c r="BK644" s="47">
        <f t="shared" si="443"/>
        <v>0</v>
      </c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57">
        <f t="shared" si="452"/>
        <v>0</v>
      </c>
      <c r="CQ644" s="47"/>
      <c r="CR644" s="47">
        <f t="shared" si="453"/>
        <v>0</v>
      </c>
      <c r="CS644" s="47"/>
      <c r="CT644" s="47"/>
      <c r="CU644" s="47"/>
      <c r="CV644" s="47"/>
      <c r="CW644" s="47">
        <f t="shared" si="454"/>
        <v>0</v>
      </c>
      <c r="CX644" s="47"/>
      <c r="CY644" s="47">
        <f t="shared" si="455"/>
        <v>0</v>
      </c>
      <c r="CZ644" s="47"/>
      <c r="DA644" s="47"/>
      <c r="DB644" s="47"/>
      <c r="DC644" s="47"/>
      <c r="DD644" s="47">
        <f t="shared" si="444"/>
        <v>0</v>
      </c>
      <c r="DE644" s="47"/>
      <c r="DF644" s="47"/>
      <c r="DG644" s="47"/>
      <c r="DH644" s="47"/>
      <c r="DI644" s="47"/>
      <c r="DJ644" s="47"/>
      <c r="DK644" s="47"/>
      <c r="DL644" s="47">
        <f t="shared" si="456"/>
        <v>0</v>
      </c>
      <c r="DM644" s="47"/>
      <c r="DN644" s="47"/>
      <c r="DO644" s="47"/>
      <c r="DP644" s="46"/>
      <c r="DQ644" s="47"/>
      <c r="DR644" s="46"/>
      <c r="DS644" s="47"/>
      <c r="DT644" s="47"/>
      <c r="DU644" s="47"/>
      <c r="DV644" s="47"/>
      <c r="DW644" s="47"/>
      <c r="DX644" s="47">
        <f t="shared" si="457"/>
        <v>0</v>
      </c>
      <c r="DY644" s="47"/>
      <c r="DZ644" s="47"/>
      <c r="EA644" s="47"/>
      <c r="EB644" s="47"/>
      <c r="EC644" s="47"/>
      <c r="ED644" s="47"/>
      <c r="EE644" s="47">
        <f t="shared" si="445"/>
        <v>0</v>
      </c>
      <c r="EF644" s="47"/>
      <c r="EG644" s="47"/>
      <c r="EH644" s="47"/>
      <c r="EI644" s="47"/>
      <c r="EJ644" s="47"/>
      <c r="EK644" s="47">
        <f t="shared" si="460"/>
        <v>0</v>
      </c>
      <c r="EL644" s="46">
        <f t="shared" si="458"/>
        <v>0</v>
      </c>
      <c r="EM644" s="46"/>
      <c r="EN644" s="46">
        <f t="shared" si="459"/>
        <v>0</v>
      </c>
    </row>
    <row r="645" spans="2:144" s="48" customFormat="1" ht="15" customHeight="1" x14ac:dyDescent="0.25">
      <c r="B645" s="41">
        <v>17</v>
      </c>
      <c r="C645" s="42"/>
      <c r="D645" s="43"/>
      <c r="E645" s="42"/>
      <c r="F645" s="42"/>
      <c r="G645" s="42"/>
      <c r="H645" s="42"/>
      <c r="I645" s="42"/>
      <c r="J645" s="42"/>
      <c r="K645" s="42"/>
      <c r="L645" s="42"/>
      <c r="M645" s="42"/>
      <c r="N645" s="41"/>
      <c r="O645" s="41"/>
      <c r="P645" s="42"/>
      <c r="Q645" s="45"/>
      <c r="R645" s="42"/>
      <c r="S645" s="42"/>
      <c r="T645" s="46"/>
      <c r="U645" s="46"/>
      <c r="V645" s="46"/>
      <c r="W645" s="46"/>
      <c r="X645" s="46"/>
      <c r="Y645" s="46"/>
      <c r="Z645" s="42"/>
      <c r="AA645" s="42"/>
      <c r="AB645" s="42"/>
      <c r="AC645" s="42"/>
      <c r="AD645" s="42"/>
      <c r="AE645" s="42"/>
      <c r="AF645" s="42"/>
      <c r="AG645" s="42"/>
      <c r="AH645" s="42"/>
      <c r="AI645" s="46"/>
      <c r="AJ645" s="42"/>
      <c r="AK645" s="42"/>
      <c r="AL645" s="42"/>
      <c r="AM645" s="42"/>
      <c r="AN645" s="47">
        <f t="shared" si="446"/>
        <v>0</v>
      </c>
      <c r="AO645" s="47">
        <f t="shared" si="447"/>
        <v>0</v>
      </c>
      <c r="AP645" s="42"/>
      <c r="AQ645" s="42"/>
      <c r="AR645" s="42"/>
      <c r="AS645" s="42"/>
      <c r="AT645" s="46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>
        <f t="shared" si="448"/>
        <v>0</v>
      </c>
      <c r="BF645" s="47"/>
      <c r="BG645" s="47"/>
      <c r="BH645" s="47"/>
      <c r="BI645" s="47"/>
      <c r="BJ645" s="47"/>
      <c r="BK645" s="47">
        <f t="shared" si="443"/>
        <v>0</v>
      </c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57">
        <f>CN645*CO645</f>
        <v>0</v>
      </c>
      <c r="CQ645" s="47"/>
      <c r="CR645" s="47">
        <f t="shared" si="453"/>
        <v>0</v>
      </c>
      <c r="CS645" s="47"/>
      <c r="CT645" s="47"/>
      <c r="CU645" s="47"/>
      <c r="CV645" s="47"/>
      <c r="CW645" s="47">
        <f t="shared" si="454"/>
        <v>0</v>
      </c>
      <c r="CX645" s="47"/>
      <c r="CY645" s="47">
        <f t="shared" si="455"/>
        <v>0</v>
      </c>
      <c r="CZ645" s="47"/>
      <c r="DA645" s="47"/>
      <c r="DB645" s="47"/>
      <c r="DC645" s="47"/>
      <c r="DD645" s="47">
        <f t="shared" si="444"/>
        <v>0</v>
      </c>
      <c r="DE645" s="47"/>
      <c r="DF645" s="47"/>
      <c r="DG645" s="47"/>
      <c r="DH645" s="47"/>
      <c r="DI645" s="47"/>
      <c r="DJ645" s="47"/>
      <c r="DK645" s="47"/>
      <c r="DL645" s="47">
        <f t="shared" si="456"/>
        <v>0</v>
      </c>
      <c r="DM645" s="47"/>
      <c r="DN645" s="47"/>
      <c r="DO645" s="47"/>
      <c r="DP645" s="46"/>
      <c r="DQ645" s="47"/>
      <c r="DR645" s="46"/>
      <c r="DS645" s="47"/>
      <c r="DT645" s="47"/>
      <c r="DU645" s="47"/>
      <c r="DV645" s="47"/>
      <c r="DW645" s="47"/>
      <c r="DX645" s="47">
        <f t="shared" si="457"/>
        <v>0</v>
      </c>
      <c r="DY645" s="47"/>
      <c r="DZ645" s="47"/>
      <c r="EA645" s="47"/>
      <c r="EB645" s="47"/>
      <c r="EC645" s="47"/>
      <c r="ED645" s="47"/>
      <c r="EE645" s="47">
        <f t="shared" si="445"/>
        <v>0</v>
      </c>
      <c r="EF645" s="47"/>
      <c r="EG645" s="47"/>
      <c r="EH645" s="47"/>
      <c r="EI645" s="47"/>
      <c r="EJ645" s="47"/>
      <c r="EK645" s="47">
        <f t="shared" si="460"/>
        <v>0</v>
      </c>
      <c r="EL645" s="46">
        <f t="shared" si="458"/>
        <v>0</v>
      </c>
      <c r="EM645" s="46"/>
      <c r="EN645" s="46">
        <f t="shared" si="459"/>
        <v>0</v>
      </c>
    </row>
    <row r="646" spans="2:144" s="48" customFormat="1" ht="15" customHeight="1" x14ac:dyDescent="0.25">
      <c r="B646" s="41">
        <v>18</v>
      </c>
      <c r="C646" s="42"/>
      <c r="D646" s="43"/>
      <c r="E646" s="42"/>
      <c r="F646" s="42"/>
      <c r="G646" s="42"/>
      <c r="H646" s="42"/>
      <c r="I646" s="42"/>
      <c r="J646" s="42"/>
      <c r="K646" s="42"/>
      <c r="L646" s="42"/>
      <c r="M646" s="42"/>
      <c r="N646" s="41"/>
      <c r="O646" s="41"/>
      <c r="P646" s="42"/>
      <c r="Q646" s="45"/>
      <c r="R646" s="45"/>
      <c r="S646" s="42"/>
      <c r="T646" s="46"/>
      <c r="U646" s="46"/>
      <c r="V646" s="46"/>
      <c r="W646" s="46"/>
      <c r="X646" s="46"/>
      <c r="Y646" s="46"/>
      <c r="Z646" s="42"/>
      <c r="AA646" s="42"/>
      <c r="AB646" s="42"/>
      <c r="AC646" s="42"/>
      <c r="AD646" s="42"/>
      <c r="AE646" s="42"/>
      <c r="AF646" s="42"/>
      <c r="AG646" s="42"/>
      <c r="AH646" s="42"/>
      <c r="AI646" s="46"/>
      <c r="AJ646" s="160"/>
      <c r="AK646" s="42"/>
      <c r="AL646" s="42"/>
      <c r="AM646" s="42"/>
      <c r="AN646" s="47">
        <f t="shared" si="446"/>
        <v>0</v>
      </c>
      <c r="AO646" s="47">
        <f t="shared" si="447"/>
        <v>0</v>
      </c>
      <c r="AP646" s="42"/>
      <c r="AQ646" s="47"/>
      <c r="AR646" s="42"/>
      <c r="AS646" s="42"/>
      <c r="AT646" s="46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>
        <f t="shared" si="448"/>
        <v>0</v>
      </c>
      <c r="BF646" s="47"/>
      <c r="BG646" s="47"/>
      <c r="BH646" s="47"/>
      <c r="BI646" s="47"/>
      <c r="BJ646" s="47"/>
      <c r="BK646" s="47">
        <f t="shared" si="443"/>
        <v>0</v>
      </c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57">
        <f t="shared" si="452"/>
        <v>0</v>
      </c>
      <c r="CQ646" s="47"/>
      <c r="CR646" s="47">
        <f t="shared" si="453"/>
        <v>0</v>
      </c>
      <c r="CS646" s="47"/>
      <c r="CT646" s="47"/>
      <c r="CU646" s="47"/>
      <c r="CV646" s="47"/>
      <c r="CW646" s="47">
        <f t="shared" si="454"/>
        <v>0</v>
      </c>
      <c r="CX646" s="47"/>
      <c r="CY646" s="47">
        <f t="shared" si="455"/>
        <v>0</v>
      </c>
      <c r="CZ646" s="47"/>
      <c r="DA646" s="47"/>
      <c r="DB646" s="47"/>
      <c r="DC646" s="47"/>
      <c r="DD646" s="47">
        <f t="shared" si="444"/>
        <v>0</v>
      </c>
      <c r="DE646" s="47"/>
      <c r="DF646" s="47"/>
      <c r="DG646" s="47"/>
      <c r="DH646" s="47"/>
      <c r="DI646" s="47"/>
      <c r="DJ646" s="47"/>
      <c r="DK646" s="47"/>
      <c r="DL646" s="47">
        <f t="shared" si="456"/>
        <v>0</v>
      </c>
      <c r="DM646" s="47"/>
      <c r="DN646" s="47"/>
      <c r="DO646" s="47"/>
      <c r="DP646" s="47"/>
      <c r="DQ646" s="47"/>
      <c r="DR646" s="47"/>
      <c r="DS646" s="47"/>
      <c r="DT646" s="47"/>
      <c r="DU646" s="47"/>
      <c r="DV646" s="47"/>
      <c r="DW646" s="47"/>
      <c r="DX646" s="47">
        <f t="shared" si="457"/>
        <v>0</v>
      </c>
      <c r="DY646" s="47"/>
      <c r="DZ646" s="47"/>
      <c r="EA646" s="47"/>
      <c r="EB646" s="47"/>
      <c r="EC646" s="47"/>
      <c r="ED646" s="47"/>
      <c r="EE646" s="47">
        <f t="shared" si="445"/>
        <v>0</v>
      </c>
      <c r="EF646" s="47"/>
      <c r="EG646" s="47"/>
      <c r="EH646" s="47"/>
      <c r="EI646" s="47"/>
      <c r="EJ646" s="47"/>
      <c r="EK646" s="47">
        <f t="shared" si="460"/>
        <v>0</v>
      </c>
      <c r="EL646" s="46">
        <f t="shared" si="458"/>
        <v>0</v>
      </c>
      <c r="EM646" s="46"/>
      <c r="EN646" s="46">
        <f t="shared" si="459"/>
        <v>0</v>
      </c>
    </row>
    <row r="647" spans="2:144" s="48" customFormat="1" ht="15" customHeight="1" x14ac:dyDescent="0.25">
      <c r="B647" s="41">
        <v>19</v>
      </c>
      <c r="C647" s="42"/>
      <c r="D647" s="43"/>
      <c r="E647" s="42"/>
      <c r="F647" s="42"/>
      <c r="G647" s="42"/>
      <c r="H647" s="42"/>
      <c r="I647" s="42"/>
      <c r="J647" s="42"/>
      <c r="K647" s="42"/>
      <c r="L647" s="42"/>
      <c r="M647" s="42"/>
      <c r="N647" s="41"/>
      <c r="O647" s="41"/>
      <c r="P647" s="42"/>
      <c r="Q647" s="45"/>
      <c r="R647" s="45"/>
      <c r="S647" s="42"/>
      <c r="T647" s="46"/>
      <c r="U647" s="46"/>
      <c r="V647" s="46"/>
      <c r="W647" s="46"/>
      <c r="X647" s="46"/>
      <c r="Y647" s="46"/>
      <c r="Z647" s="42"/>
      <c r="AA647" s="42"/>
      <c r="AB647" s="42"/>
      <c r="AC647" s="42"/>
      <c r="AD647" s="42"/>
      <c r="AE647" s="42"/>
      <c r="AF647" s="42"/>
      <c r="AG647" s="42"/>
      <c r="AH647" s="42"/>
      <c r="AI647" s="46"/>
      <c r="AJ647" s="42"/>
      <c r="AK647" s="42"/>
      <c r="AL647" s="42"/>
      <c r="AM647" s="42"/>
      <c r="AN647" s="47">
        <f t="shared" si="446"/>
        <v>0</v>
      </c>
      <c r="AO647" s="47">
        <f t="shared" si="447"/>
        <v>0</v>
      </c>
      <c r="AP647" s="42"/>
      <c r="AQ647" s="47"/>
      <c r="AR647" s="42"/>
      <c r="AS647" s="42"/>
      <c r="AT647" s="46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>
        <f t="shared" si="448"/>
        <v>0</v>
      </c>
      <c r="BF647" s="47"/>
      <c r="BG647" s="47"/>
      <c r="BH647" s="47"/>
      <c r="BI647" s="47"/>
      <c r="BJ647" s="47"/>
      <c r="BK647" s="47">
        <f t="shared" si="443"/>
        <v>0</v>
      </c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57">
        <f t="shared" si="452"/>
        <v>0</v>
      </c>
      <c r="CQ647" s="47"/>
      <c r="CR647" s="47">
        <f t="shared" si="453"/>
        <v>0</v>
      </c>
      <c r="CS647" s="47"/>
      <c r="CT647" s="47"/>
      <c r="CU647" s="47"/>
      <c r="CV647" s="47"/>
      <c r="CW647" s="47">
        <f t="shared" si="454"/>
        <v>0</v>
      </c>
      <c r="CX647" s="47"/>
      <c r="CY647" s="47">
        <f t="shared" si="455"/>
        <v>0</v>
      </c>
      <c r="CZ647" s="47"/>
      <c r="DA647" s="47"/>
      <c r="DB647" s="47"/>
      <c r="DC647" s="47"/>
      <c r="DD647" s="47">
        <f t="shared" si="444"/>
        <v>0</v>
      </c>
      <c r="DE647" s="47"/>
      <c r="DF647" s="47"/>
      <c r="DG647" s="47"/>
      <c r="DH647" s="47"/>
      <c r="DI647" s="47"/>
      <c r="DJ647" s="47"/>
      <c r="DK647" s="47"/>
      <c r="DL647" s="47">
        <f t="shared" si="456"/>
        <v>0</v>
      </c>
      <c r="DM647" s="47"/>
      <c r="DN647" s="47"/>
      <c r="DO647" s="47"/>
      <c r="DP647" s="47"/>
      <c r="DQ647" s="47"/>
      <c r="DR647" s="47"/>
      <c r="DS647" s="47"/>
      <c r="DT647" s="47"/>
      <c r="DU647" s="47"/>
      <c r="DV647" s="47"/>
      <c r="DW647" s="47"/>
      <c r="DX647" s="47">
        <f>+DN647+DP647+DR647+DT647+DV647</f>
        <v>0</v>
      </c>
      <c r="DY647" s="47"/>
      <c r="DZ647" s="47"/>
      <c r="EA647" s="47"/>
      <c r="EB647" s="47"/>
      <c r="EC647" s="47"/>
      <c r="ED647" s="47"/>
      <c r="EE647" s="47">
        <f t="shared" si="445"/>
        <v>0</v>
      </c>
      <c r="EF647" s="47"/>
      <c r="EG647" s="47"/>
      <c r="EH647" s="47"/>
      <c r="EI647" s="47"/>
      <c r="EJ647" s="47"/>
      <c r="EK647" s="47">
        <f t="shared" si="460"/>
        <v>0</v>
      </c>
      <c r="EL647" s="46">
        <f t="shared" si="458"/>
        <v>0</v>
      </c>
      <c r="EM647" s="46"/>
      <c r="EN647" s="46">
        <f t="shared" si="459"/>
        <v>0</v>
      </c>
    </row>
    <row r="648" spans="2:144" s="48" customFormat="1" ht="15" customHeight="1" x14ac:dyDescent="0.25">
      <c r="B648" s="41">
        <v>20</v>
      </c>
      <c r="C648" s="42"/>
      <c r="D648" s="43"/>
      <c r="E648" s="42"/>
      <c r="F648" s="42"/>
      <c r="G648" s="42"/>
      <c r="H648" s="42"/>
      <c r="I648" s="42"/>
      <c r="J648" s="42"/>
      <c r="K648" s="42"/>
      <c r="L648" s="42"/>
      <c r="M648" s="42"/>
      <c r="N648" s="41"/>
      <c r="O648" s="41"/>
      <c r="P648" s="42"/>
      <c r="Q648" s="45"/>
      <c r="R648" s="45"/>
      <c r="S648" s="42"/>
      <c r="T648" s="46"/>
      <c r="U648" s="46"/>
      <c r="V648" s="46"/>
      <c r="W648" s="46"/>
      <c r="X648" s="46"/>
      <c r="Y648" s="46"/>
      <c r="Z648" s="42"/>
      <c r="AA648" s="42"/>
      <c r="AB648" s="42"/>
      <c r="AC648" s="42"/>
      <c r="AD648" s="42"/>
      <c r="AE648" s="42"/>
      <c r="AF648" s="42"/>
      <c r="AG648" s="42"/>
      <c r="AH648" s="42"/>
      <c r="AI648" s="46"/>
      <c r="AJ648" s="42"/>
      <c r="AK648" s="42"/>
      <c r="AL648" s="42"/>
      <c r="AM648" s="42"/>
      <c r="AN648" s="47">
        <f t="shared" si="446"/>
        <v>0</v>
      </c>
      <c r="AO648" s="47">
        <f t="shared" si="447"/>
        <v>0</v>
      </c>
      <c r="AP648" s="42"/>
      <c r="AQ648" s="47"/>
      <c r="AR648" s="42"/>
      <c r="AS648" s="42"/>
      <c r="AT648" s="46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>
        <f t="shared" si="448"/>
        <v>0</v>
      </c>
      <c r="BF648" s="47"/>
      <c r="BG648" s="47"/>
      <c r="BH648" s="47"/>
      <c r="BI648" s="47"/>
      <c r="BJ648" s="47"/>
      <c r="BK648" s="47">
        <f t="shared" si="443"/>
        <v>0</v>
      </c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57">
        <f t="shared" si="452"/>
        <v>0</v>
      </c>
      <c r="CQ648" s="47"/>
      <c r="CR648" s="47">
        <f>+CM648+CP648+CQ648</f>
        <v>0</v>
      </c>
      <c r="CS648" s="47"/>
      <c r="CT648" s="47"/>
      <c r="CU648" s="47"/>
      <c r="CV648" s="47"/>
      <c r="CW648" s="47">
        <f t="shared" si="454"/>
        <v>0</v>
      </c>
      <c r="CX648" s="47"/>
      <c r="CY648" s="47">
        <f t="shared" si="455"/>
        <v>0</v>
      </c>
      <c r="CZ648" s="47"/>
      <c r="DA648" s="47"/>
      <c r="DB648" s="47"/>
      <c r="DC648" s="47"/>
      <c r="DD648" s="47">
        <f t="shared" si="444"/>
        <v>0</v>
      </c>
      <c r="DE648" s="47"/>
      <c r="DF648" s="47"/>
      <c r="DG648" s="47"/>
      <c r="DH648" s="47"/>
      <c r="DI648" s="47"/>
      <c r="DJ648" s="47"/>
      <c r="DK648" s="47"/>
      <c r="DL648" s="47">
        <f t="shared" si="456"/>
        <v>0</v>
      </c>
      <c r="DM648" s="47"/>
      <c r="DN648" s="47"/>
      <c r="DO648" s="47"/>
      <c r="DP648" s="47"/>
      <c r="DQ648" s="47"/>
      <c r="DR648" s="47"/>
      <c r="DS648" s="47"/>
      <c r="DT648" s="47"/>
      <c r="DU648" s="47"/>
      <c r="DV648" s="47"/>
      <c r="DW648" s="47"/>
      <c r="DX648" s="47">
        <f t="shared" si="457"/>
        <v>0</v>
      </c>
      <c r="DY648" s="47"/>
      <c r="DZ648" s="47"/>
      <c r="EA648" s="47"/>
      <c r="EB648" s="47"/>
      <c r="EC648" s="47"/>
      <c r="ED648" s="47"/>
      <c r="EE648" s="47">
        <f>+AW648+BE648+BM648+CR648+CY648+DF648+DL648+DX648+DY648+DZ648+EB648+EC648</f>
        <v>0</v>
      </c>
      <c r="EF648" s="47"/>
      <c r="EG648" s="47"/>
      <c r="EH648" s="47"/>
      <c r="EI648" s="47"/>
      <c r="EJ648" s="47"/>
      <c r="EK648" s="47">
        <f t="shared" si="460"/>
        <v>0</v>
      </c>
      <c r="EL648" s="46">
        <f t="shared" si="458"/>
        <v>0</v>
      </c>
      <c r="EM648" s="46"/>
      <c r="EN648" s="46">
        <f t="shared" si="459"/>
        <v>0</v>
      </c>
    </row>
    <row r="649" spans="2:144" s="48" customFormat="1" ht="15" customHeight="1" x14ac:dyDescent="0.25">
      <c r="B649" s="41">
        <v>21</v>
      </c>
      <c r="C649" s="42"/>
      <c r="D649" s="43"/>
      <c r="E649" s="42"/>
      <c r="F649" s="42"/>
      <c r="G649" s="42"/>
      <c r="H649" s="42"/>
      <c r="I649" s="42"/>
      <c r="J649" s="42"/>
      <c r="K649" s="42"/>
      <c r="L649" s="42"/>
      <c r="M649" s="42"/>
      <c r="N649" s="41"/>
      <c r="O649" s="41"/>
      <c r="P649" s="42"/>
      <c r="Q649" s="45"/>
      <c r="R649" s="45"/>
      <c r="S649" s="42"/>
      <c r="T649" s="46"/>
      <c r="U649" s="46"/>
      <c r="V649" s="46"/>
      <c r="W649" s="46"/>
      <c r="X649" s="46"/>
      <c r="Y649" s="46"/>
      <c r="Z649" s="42"/>
      <c r="AA649" s="42"/>
      <c r="AB649" s="42"/>
      <c r="AC649" s="42"/>
      <c r="AD649" s="42"/>
      <c r="AE649" s="42"/>
      <c r="AF649" s="42"/>
      <c r="AG649" s="42"/>
      <c r="AH649" s="42"/>
      <c r="AI649" s="46"/>
      <c r="AJ649" s="42"/>
      <c r="AK649" s="42"/>
      <c r="AL649" s="42"/>
      <c r="AM649" s="42"/>
      <c r="AN649" s="47">
        <f t="shared" si="446"/>
        <v>0</v>
      </c>
      <c r="AO649" s="47">
        <f t="shared" si="447"/>
        <v>0</v>
      </c>
      <c r="AP649" s="42"/>
      <c r="AQ649" s="47"/>
      <c r="AR649" s="42"/>
      <c r="AS649" s="42"/>
      <c r="AT649" s="46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>
        <f t="shared" si="448"/>
        <v>0</v>
      </c>
      <c r="BF649" s="47"/>
      <c r="BG649" s="47"/>
      <c r="BH649" s="47"/>
      <c r="BI649" s="47"/>
      <c r="BJ649" s="47"/>
      <c r="BK649" s="47">
        <f t="shared" si="443"/>
        <v>0</v>
      </c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57">
        <f t="shared" si="452"/>
        <v>0</v>
      </c>
      <c r="CQ649" s="47"/>
      <c r="CR649" s="47">
        <f t="shared" si="453"/>
        <v>0</v>
      </c>
      <c r="CS649" s="47"/>
      <c r="CT649" s="47"/>
      <c r="CU649" s="47"/>
      <c r="CV649" s="47"/>
      <c r="CW649" s="47">
        <f t="shared" si="454"/>
        <v>0</v>
      </c>
      <c r="CX649" s="47"/>
      <c r="CY649" s="47">
        <f t="shared" si="455"/>
        <v>0</v>
      </c>
      <c r="CZ649" s="47"/>
      <c r="DA649" s="47"/>
      <c r="DB649" s="47"/>
      <c r="DC649" s="47"/>
      <c r="DD649" s="47">
        <f t="shared" si="444"/>
        <v>0</v>
      </c>
      <c r="DE649" s="47"/>
      <c r="DF649" s="47"/>
      <c r="DG649" s="47"/>
      <c r="DH649" s="47"/>
      <c r="DI649" s="47"/>
      <c r="DJ649" s="47"/>
      <c r="DK649" s="47"/>
      <c r="DL649" s="47">
        <f t="shared" si="456"/>
        <v>0</v>
      </c>
      <c r="DM649" s="47"/>
      <c r="DN649" s="47"/>
      <c r="DO649" s="47"/>
      <c r="DP649" s="47"/>
      <c r="DQ649" s="47"/>
      <c r="DR649" s="47"/>
      <c r="DS649" s="47"/>
      <c r="DT649" s="47"/>
      <c r="DU649" s="47"/>
      <c r="DV649" s="47"/>
      <c r="DW649" s="47"/>
      <c r="DX649" s="47">
        <f t="shared" si="457"/>
        <v>0</v>
      </c>
      <c r="DY649" s="47"/>
      <c r="DZ649" s="47"/>
      <c r="EA649" s="47"/>
      <c r="EB649" s="47"/>
      <c r="EC649" s="47"/>
      <c r="ED649" s="47"/>
      <c r="EE649" s="47">
        <f t="shared" si="445"/>
        <v>0</v>
      </c>
      <c r="EF649" s="47"/>
      <c r="EG649" s="47"/>
      <c r="EH649" s="47"/>
      <c r="EI649" s="47"/>
      <c r="EJ649" s="47"/>
      <c r="EK649" s="47">
        <f t="shared" si="460"/>
        <v>0</v>
      </c>
      <c r="EL649" s="46">
        <f t="shared" si="458"/>
        <v>0</v>
      </c>
      <c r="EM649" s="46"/>
      <c r="EN649" s="46">
        <f t="shared" si="459"/>
        <v>0</v>
      </c>
    </row>
    <row r="650" spans="2:144" s="48" customFormat="1" ht="15" customHeight="1" x14ac:dyDescent="0.25">
      <c r="B650" s="41">
        <v>22</v>
      </c>
      <c r="C650" s="42"/>
      <c r="D650" s="43"/>
      <c r="E650" s="42"/>
      <c r="F650" s="42"/>
      <c r="G650" s="42"/>
      <c r="H650" s="42"/>
      <c r="I650" s="42"/>
      <c r="J650" s="42"/>
      <c r="K650" s="42"/>
      <c r="L650" s="42"/>
      <c r="M650" s="42"/>
      <c r="N650" s="41"/>
      <c r="O650" s="41"/>
      <c r="P650" s="42"/>
      <c r="Q650" s="45"/>
      <c r="R650" s="45"/>
      <c r="S650" s="42"/>
      <c r="T650" s="46"/>
      <c r="U650" s="46"/>
      <c r="V650" s="46"/>
      <c r="W650" s="46"/>
      <c r="X650" s="46"/>
      <c r="Y650" s="46"/>
      <c r="Z650" s="42"/>
      <c r="AA650" s="42"/>
      <c r="AB650" s="42"/>
      <c r="AC650" s="42"/>
      <c r="AD650" s="42"/>
      <c r="AE650" s="42"/>
      <c r="AF650" s="42"/>
      <c r="AG650" s="42"/>
      <c r="AH650" s="42"/>
      <c r="AI650" s="46"/>
      <c r="AJ650" s="42"/>
      <c r="AK650" s="42"/>
      <c r="AL650" s="42"/>
      <c r="AM650" s="42"/>
      <c r="AN650" s="47">
        <f t="shared" si="446"/>
        <v>0</v>
      </c>
      <c r="AO650" s="47">
        <f t="shared" si="447"/>
        <v>0</v>
      </c>
      <c r="AP650" s="42"/>
      <c r="AQ650" s="47"/>
      <c r="AR650" s="42"/>
      <c r="AS650" s="42"/>
      <c r="AT650" s="46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>
        <f t="shared" si="448"/>
        <v>0</v>
      </c>
      <c r="BF650" s="47"/>
      <c r="BG650" s="47"/>
      <c r="BH650" s="47"/>
      <c r="BI650" s="47"/>
      <c r="BJ650" s="47"/>
      <c r="BK650" s="47">
        <f t="shared" si="443"/>
        <v>0</v>
      </c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57">
        <f>CN650*CO650</f>
        <v>0</v>
      </c>
      <c r="CQ650" s="47"/>
      <c r="CR650" s="47">
        <f t="shared" si="453"/>
        <v>0</v>
      </c>
      <c r="CS650" s="47"/>
      <c r="CT650" s="47"/>
      <c r="CU650" s="47"/>
      <c r="CV650" s="47"/>
      <c r="CW650" s="47">
        <f t="shared" si="454"/>
        <v>0</v>
      </c>
      <c r="CX650" s="47"/>
      <c r="CY650" s="47">
        <f t="shared" si="455"/>
        <v>0</v>
      </c>
      <c r="CZ650" s="47"/>
      <c r="DA650" s="47"/>
      <c r="DB650" s="47"/>
      <c r="DC650" s="47"/>
      <c r="DD650" s="47">
        <f t="shared" si="444"/>
        <v>0</v>
      </c>
      <c r="DE650" s="47"/>
      <c r="DF650" s="47"/>
      <c r="DG650" s="47"/>
      <c r="DH650" s="47"/>
      <c r="DI650" s="47"/>
      <c r="DJ650" s="47"/>
      <c r="DK650" s="47"/>
      <c r="DL650" s="47">
        <f t="shared" si="456"/>
        <v>0</v>
      </c>
      <c r="DM650" s="47"/>
      <c r="DN650" s="47"/>
      <c r="DO650" s="47"/>
      <c r="DP650" s="47"/>
      <c r="DQ650" s="47"/>
      <c r="DR650" s="47"/>
      <c r="DS650" s="47"/>
      <c r="DT650" s="47"/>
      <c r="DU650" s="47"/>
      <c r="DV650" s="47"/>
      <c r="DW650" s="47"/>
      <c r="DX650" s="47">
        <f t="shared" si="457"/>
        <v>0</v>
      </c>
      <c r="DY650" s="47"/>
      <c r="DZ650" s="47"/>
      <c r="EA650" s="47"/>
      <c r="EB650" s="47"/>
      <c r="EC650" s="47"/>
      <c r="ED650" s="47"/>
      <c r="EE650" s="47">
        <f t="shared" si="445"/>
        <v>0</v>
      </c>
      <c r="EF650" s="47"/>
      <c r="EG650" s="47"/>
      <c r="EH650" s="47"/>
      <c r="EI650" s="47"/>
      <c r="EJ650" s="47"/>
      <c r="EK650" s="47">
        <f t="shared" si="460"/>
        <v>0</v>
      </c>
      <c r="EL650" s="46">
        <f t="shared" si="458"/>
        <v>0</v>
      </c>
      <c r="EM650" s="46"/>
      <c r="EN650" s="46">
        <f t="shared" si="459"/>
        <v>0</v>
      </c>
    </row>
    <row r="651" spans="2:144" s="48" customFormat="1" ht="15" customHeight="1" x14ac:dyDescent="0.25">
      <c r="B651" s="41">
        <v>23</v>
      </c>
      <c r="C651" s="42"/>
      <c r="D651" s="43"/>
      <c r="E651" s="42"/>
      <c r="F651" s="42"/>
      <c r="G651" s="42"/>
      <c r="H651" s="42"/>
      <c r="I651" s="42"/>
      <c r="J651" s="42"/>
      <c r="K651" s="42"/>
      <c r="L651" s="42"/>
      <c r="M651" s="42"/>
      <c r="N651" s="41"/>
      <c r="O651" s="41"/>
      <c r="P651" s="42"/>
      <c r="Q651" s="45"/>
      <c r="R651" s="45"/>
      <c r="S651" s="42"/>
      <c r="T651" s="46"/>
      <c r="U651" s="46"/>
      <c r="V651" s="46"/>
      <c r="W651" s="46"/>
      <c r="X651" s="46"/>
      <c r="Y651" s="46"/>
      <c r="Z651" s="42"/>
      <c r="AA651" s="42"/>
      <c r="AB651" s="42"/>
      <c r="AC651" s="42"/>
      <c r="AD651" s="42"/>
      <c r="AE651" s="42"/>
      <c r="AF651" s="42"/>
      <c r="AG651" s="42"/>
      <c r="AH651" s="42"/>
      <c r="AI651" s="46"/>
      <c r="AJ651" s="42"/>
      <c r="AK651" s="42"/>
      <c r="AL651" s="42"/>
      <c r="AM651" s="42"/>
      <c r="AN651" s="47">
        <f t="shared" si="446"/>
        <v>0</v>
      </c>
      <c r="AO651" s="47">
        <f t="shared" si="447"/>
        <v>0</v>
      </c>
      <c r="AP651" s="42"/>
      <c r="AQ651" s="47"/>
      <c r="AR651" s="42"/>
      <c r="AS651" s="42"/>
      <c r="AT651" s="46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>
        <f t="shared" si="448"/>
        <v>0</v>
      </c>
      <c r="BF651" s="47"/>
      <c r="BG651" s="47"/>
      <c r="BH651" s="47"/>
      <c r="BI651" s="47"/>
      <c r="BJ651" s="47"/>
      <c r="BK651" s="47">
        <f t="shared" si="443"/>
        <v>0</v>
      </c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57">
        <f t="shared" si="452"/>
        <v>0</v>
      </c>
      <c r="CQ651" s="47"/>
      <c r="CR651" s="47">
        <f t="shared" si="453"/>
        <v>0</v>
      </c>
      <c r="CS651" s="47"/>
      <c r="CT651" s="47"/>
      <c r="CU651" s="47"/>
      <c r="CV651" s="47"/>
      <c r="CW651" s="47">
        <f t="shared" si="454"/>
        <v>0</v>
      </c>
      <c r="CX651" s="47"/>
      <c r="CY651" s="47">
        <f t="shared" si="455"/>
        <v>0</v>
      </c>
      <c r="CZ651" s="47"/>
      <c r="DA651" s="47"/>
      <c r="DB651" s="47"/>
      <c r="DC651" s="47"/>
      <c r="DD651" s="47">
        <f t="shared" si="444"/>
        <v>0</v>
      </c>
      <c r="DE651" s="47"/>
      <c r="DF651" s="47"/>
      <c r="DG651" s="47"/>
      <c r="DH651" s="47"/>
      <c r="DI651" s="47"/>
      <c r="DJ651" s="47"/>
      <c r="DK651" s="47"/>
      <c r="DL651" s="47">
        <f t="shared" si="456"/>
        <v>0</v>
      </c>
      <c r="DM651" s="47"/>
      <c r="DN651" s="47"/>
      <c r="DO651" s="47"/>
      <c r="DP651" s="47"/>
      <c r="DQ651" s="47"/>
      <c r="DR651" s="47"/>
      <c r="DS651" s="47"/>
      <c r="DT651" s="47"/>
      <c r="DU651" s="47"/>
      <c r="DV651" s="47"/>
      <c r="DW651" s="47"/>
      <c r="DX651" s="47">
        <f t="shared" si="457"/>
        <v>0</v>
      </c>
      <c r="DY651" s="47"/>
      <c r="DZ651" s="47"/>
      <c r="EA651" s="47"/>
      <c r="EB651" s="47"/>
      <c r="EC651" s="47"/>
      <c r="ED651" s="47"/>
      <c r="EE651" s="47">
        <f>+AW651+BE651+BM651+CR651+CY651+DF651+DL651+DX651+DY651+DZ651+EB651+EC651</f>
        <v>0</v>
      </c>
      <c r="EF651" s="47"/>
      <c r="EG651" s="47"/>
      <c r="EH651" s="47"/>
      <c r="EI651" s="47"/>
      <c r="EJ651" s="47"/>
      <c r="EK651" s="47">
        <f t="shared" si="460"/>
        <v>0</v>
      </c>
      <c r="EL651" s="46">
        <f t="shared" si="458"/>
        <v>0</v>
      </c>
      <c r="EM651" s="46"/>
      <c r="EN651" s="46">
        <f t="shared" si="459"/>
        <v>0</v>
      </c>
    </row>
    <row r="652" spans="2:144" s="48" customFormat="1" ht="15" customHeight="1" x14ac:dyDescent="0.25">
      <c r="B652" s="41">
        <v>24</v>
      </c>
      <c r="C652" s="42"/>
      <c r="D652" s="43"/>
      <c r="E652" s="42"/>
      <c r="F652" s="42"/>
      <c r="G652" s="42"/>
      <c r="H652" s="42"/>
      <c r="I652" s="42"/>
      <c r="J652" s="42"/>
      <c r="K652" s="42"/>
      <c r="L652" s="42"/>
      <c r="M652" s="42"/>
      <c r="N652" s="41"/>
      <c r="O652" s="41"/>
      <c r="P652" s="42"/>
      <c r="Q652" s="45"/>
      <c r="R652" s="45"/>
      <c r="S652" s="42"/>
      <c r="T652" s="46"/>
      <c r="U652" s="46"/>
      <c r="V652" s="46"/>
      <c r="W652" s="46"/>
      <c r="X652" s="46"/>
      <c r="Y652" s="46"/>
      <c r="Z652" s="42"/>
      <c r="AA652" s="42"/>
      <c r="AB652" s="42"/>
      <c r="AC652" s="42"/>
      <c r="AD652" s="42"/>
      <c r="AE652" s="42"/>
      <c r="AF652" s="42"/>
      <c r="AG652" s="42"/>
      <c r="AH652" s="42"/>
      <c r="AI652" s="46"/>
      <c r="AJ652" s="42"/>
      <c r="AK652" s="42"/>
      <c r="AL652" s="42"/>
      <c r="AM652" s="42"/>
      <c r="AN652" s="47">
        <f t="shared" si="446"/>
        <v>0</v>
      </c>
      <c r="AO652" s="47">
        <f t="shared" si="447"/>
        <v>0</v>
      </c>
      <c r="AP652" s="42"/>
      <c r="AQ652" s="47"/>
      <c r="AR652" s="42"/>
      <c r="AS652" s="42"/>
      <c r="AT652" s="46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>
        <f t="shared" si="448"/>
        <v>0</v>
      </c>
      <c r="BF652" s="47"/>
      <c r="BG652" s="47"/>
      <c r="BH652" s="47"/>
      <c r="BI652" s="47"/>
      <c r="BJ652" s="47"/>
      <c r="BK652" s="47">
        <f t="shared" si="443"/>
        <v>0</v>
      </c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57">
        <f t="shared" si="452"/>
        <v>0</v>
      </c>
      <c r="CQ652" s="47"/>
      <c r="CR652" s="47">
        <f t="shared" si="453"/>
        <v>0</v>
      </c>
      <c r="CS652" s="47"/>
      <c r="CT652" s="47"/>
      <c r="CU652" s="47"/>
      <c r="CV652" s="47"/>
      <c r="CW652" s="47">
        <f t="shared" si="454"/>
        <v>0</v>
      </c>
      <c r="CX652" s="47"/>
      <c r="CY652" s="47">
        <f t="shared" si="455"/>
        <v>0</v>
      </c>
      <c r="CZ652" s="47"/>
      <c r="DA652" s="47"/>
      <c r="DB652" s="47"/>
      <c r="DC652" s="47"/>
      <c r="DD652" s="47">
        <f t="shared" si="444"/>
        <v>0</v>
      </c>
      <c r="DE652" s="47"/>
      <c r="DF652" s="47"/>
      <c r="DG652" s="47"/>
      <c r="DH652" s="47"/>
      <c r="DI652" s="47"/>
      <c r="DJ652" s="47"/>
      <c r="DK652" s="47"/>
      <c r="DL652" s="47">
        <f t="shared" si="456"/>
        <v>0</v>
      </c>
      <c r="DM652" s="47"/>
      <c r="DN652" s="47"/>
      <c r="DO652" s="47"/>
      <c r="DP652" s="47"/>
      <c r="DQ652" s="47"/>
      <c r="DR652" s="47"/>
      <c r="DS652" s="47"/>
      <c r="DT652" s="47"/>
      <c r="DU652" s="47"/>
      <c r="DV652" s="47"/>
      <c r="DW652" s="47"/>
      <c r="DX652" s="47">
        <f t="shared" si="457"/>
        <v>0</v>
      </c>
      <c r="DY652" s="47"/>
      <c r="DZ652" s="47"/>
      <c r="EA652" s="47"/>
      <c r="EB652" s="47"/>
      <c r="EC652" s="47"/>
      <c r="ED652" s="47"/>
      <c r="EE652" s="47">
        <f t="shared" si="445"/>
        <v>0</v>
      </c>
      <c r="EF652" s="47"/>
      <c r="EG652" s="47"/>
      <c r="EH652" s="47"/>
      <c r="EI652" s="47"/>
      <c r="EJ652" s="47"/>
      <c r="EK652" s="47">
        <f t="shared" si="460"/>
        <v>0</v>
      </c>
      <c r="EL652" s="46">
        <f t="shared" si="458"/>
        <v>0</v>
      </c>
      <c r="EM652" s="46"/>
      <c r="EN652" s="46">
        <f t="shared" si="459"/>
        <v>0</v>
      </c>
    </row>
    <row r="653" spans="2:144" s="48" customFormat="1" ht="15" customHeight="1" x14ac:dyDescent="0.25">
      <c r="B653" s="41">
        <v>25</v>
      </c>
      <c r="C653" s="42"/>
      <c r="D653" s="43"/>
      <c r="E653" s="42"/>
      <c r="F653" s="42"/>
      <c r="G653" s="42"/>
      <c r="H653" s="42"/>
      <c r="I653" s="42"/>
      <c r="J653" s="42"/>
      <c r="K653" s="42"/>
      <c r="L653" s="42"/>
      <c r="M653" s="42"/>
      <c r="N653" s="41"/>
      <c r="O653" s="41"/>
      <c r="P653" s="42"/>
      <c r="Q653" s="45"/>
      <c r="R653" s="45"/>
      <c r="S653" s="42"/>
      <c r="T653" s="46"/>
      <c r="U653" s="46"/>
      <c r="V653" s="46"/>
      <c r="W653" s="46"/>
      <c r="X653" s="46"/>
      <c r="Y653" s="46"/>
      <c r="Z653" s="42"/>
      <c r="AA653" s="42"/>
      <c r="AB653" s="42"/>
      <c r="AC653" s="42"/>
      <c r="AD653" s="42"/>
      <c r="AE653" s="42"/>
      <c r="AF653" s="42"/>
      <c r="AG653" s="42"/>
      <c r="AH653" s="42"/>
      <c r="AI653" s="46"/>
      <c r="AJ653" s="42"/>
      <c r="AK653" s="42"/>
      <c r="AL653" s="42"/>
      <c r="AM653" s="42"/>
      <c r="AN653" s="47">
        <f t="shared" si="446"/>
        <v>0</v>
      </c>
      <c r="AO653" s="47">
        <f t="shared" si="447"/>
        <v>0</v>
      </c>
      <c r="AP653" s="42"/>
      <c r="AQ653" s="47"/>
      <c r="AR653" s="42"/>
      <c r="AS653" s="42"/>
      <c r="AT653" s="46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>
        <f t="shared" si="443"/>
        <v>0</v>
      </c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57"/>
      <c r="CQ653" s="47"/>
      <c r="CR653" s="47">
        <f>+CM653+CP653+CQ653</f>
        <v>0</v>
      </c>
      <c r="CS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  <c r="DI653" s="47"/>
      <c r="DJ653" s="47"/>
      <c r="DK653" s="47"/>
      <c r="DL653" s="47"/>
      <c r="DM653" s="47"/>
      <c r="DN653" s="47"/>
      <c r="DO653" s="47"/>
      <c r="DP653" s="47"/>
      <c r="DQ653" s="47"/>
      <c r="DR653" s="47"/>
      <c r="DS653" s="47"/>
      <c r="DT653" s="47"/>
      <c r="DU653" s="47"/>
      <c r="DV653" s="47"/>
      <c r="DW653" s="47"/>
      <c r="DX653" s="47"/>
      <c r="DY653" s="47"/>
      <c r="DZ653" s="47"/>
      <c r="EA653" s="47"/>
      <c r="EB653" s="47"/>
      <c r="EC653" s="47"/>
      <c r="ED653" s="47"/>
      <c r="EE653" s="47">
        <f>+AW653+BE653+BM653+CR653+CY653+DF653+DL653+DX653+DY653+DZ653+EB653+EC653</f>
        <v>0</v>
      </c>
      <c r="EF653" s="47"/>
      <c r="EG653" s="47"/>
      <c r="EH653" s="47"/>
      <c r="EI653" s="47"/>
      <c r="EJ653" s="47"/>
      <c r="EK653" s="47"/>
      <c r="EL653" s="46">
        <f t="shared" si="458"/>
        <v>0</v>
      </c>
      <c r="EM653" s="46"/>
      <c r="EN653" s="46">
        <f t="shared" si="459"/>
        <v>0</v>
      </c>
    </row>
    <row r="654" spans="2:144" s="48" customFormat="1" ht="15" customHeight="1" x14ac:dyDescent="0.25">
      <c r="B654" s="41">
        <v>26</v>
      </c>
      <c r="C654" s="42"/>
      <c r="D654" s="43"/>
      <c r="E654" s="42"/>
      <c r="F654" s="42"/>
      <c r="G654" s="42"/>
      <c r="H654" s="42"/>
      <c r="I654" s="42"/>
      <c r="J654" s="42"/>
      <c r="K654" s="42"/>
      <c r="L654" s="42"/>
      <c r="M654" s="42"/>
      <c r="N654" s="41"/>
      <c r="O654" s="41"/>
      <c r="P654" s="42"/>
      <c r="Q654" s="45"/>
      <c r="R654" s="45"/>
      <c r="S654" s="42"/>
      <c r="T654" s="46"/>
      <c r="U654" s="46"/>
      <c r="V654" s="46"/>
      <c r="W654" s="46"/>
      <c r="X654" s="46"/>
      <c r="Y654" s="46"/>
      <c r="Z654" s="42"/>
      <c r="AA654" s="42"/>
      <c r="AB654" s="42"/>
      <c r="AC654" s="42"/>
      <c r="AD654" s="42"/>
      <c r="AE654" s="42"/>
      <c r="AF654" s="42"/>
      <c r="AG654" s="42"/>
      <c r="AH654" s="42"/>
      <c r="AI654" s="46"/>
      <c r="AJ654" s="42"/>
      <c r="AK654" s="42"/>
      <c r="AL654" s="42"/>
      <c r="AM654" s="42"/>
      <c r="AN654" s="47">
        <f t="shared" si="446"/>
        <v>0</v>
      </c>
      <c r="AO654" s="47">
        <f t="shared" si="447"/>
        <v>0</v>
      </c>
      <c r="AP654" s="42"/>
      <c r="AQ654" s="47"/>
      <c r="AR654" s="42"/>
      <c r="AS654" s="42"/>
      <c r="AT654" s="46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>
        <f t="shared" si="448"/>
        <v>0</v>
      </c>
      <c r="BF654" s="47"/>
      <c r="BG654" s="47"/>
      <c r="BH654" s="47"/>
      <c r="BI654" s="47"/>
      <c r="BJ654" s="47"/>
      <c r="BK654" s="47">
        <f t="shared" si="443"/>
        <v>0</v>
      </c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57">
        <f t="shared" si="452"/>
        <v>0</v>
      </c>
      <c r="CQ654" s="47"/>
      <c r="CR654" s="47">
        <f t="shared" si="453"/>
        <v>0</v>
      </c>
      <c r="CS654" s="47"/>
      <c r="CT654" s="47"/>
      <c r="CU654" s="47"/>
      <c r="CV654" s="47"/>
      <c r="CW654" s="47">
        <f t="shared" si="454"/>
        <v>0</v>
      </c>
      <c r="CX654" s="47"/>
      <c r="CY654" s="47">
        <f t="shared" si="455"/>
        <v>0</v>
      </c>
      <c r="CZ654" s="47"/>
      <c r="DA654" s="47"/>
      <c r="DB654" s="47"/>
      <c r="DC654" s="47"/>
      <c r="DD654" s="47">
        <f t="shared" si="444"/>
        <v>0</v>
      </c>
      <c r="DE654" s="47"/>
      <c r="DF654" s="47"/>
      <c r="DG654" s="47"/>
      <c r="DH654" s="47"/>
      <c r="DI654" s="47"/>
      <c r="DJ654" s="47"/>
      <c r="DK654" s="47"/>
      <c r="DL654" s="47">
        <f t="shared" si="456"/>
        <v>0</v>
      </c>
      <c r="DM654" s="47"/>
      <c r="DN654" s="47"/>
      <c r="DO654" s="47"/>
      <c r="DP654" s="47"/>
      <c r="DQ654" s="47"/>
      <c r="DR654" s="47"/>
      <c r="DS654" s="47"/>
      <c r="DT654" s="47"/>
      <c r="DU654" s="47"/>
      <c r="DV654" s="47"/>
      <c r="DW654" s="47"/>
      <c r="DX654" s="47">
        <f t="shared" si="457"/>
        <v>0</v>
      </c>
      <c r="DY654" s="47"/>
      <c r="DZ654" s="47"/>
      <c r="EA654" s="47"/>
      <c r="EB654" s="47"/>
      <c r="EC654" s="47"/>
      <c r="ED654" s="47"/>
      <c r="EE654" s="47">
        <f t="shared" ref="EE654:EE658" si="461">+AW654+BE654+BM654+CR654+CY654+DF654+DL654+DX654+DY654+DZ654+EB654+EC654</f>
        <v>0</v>
      </c>
      <c r="EF654" s="47"/>
      <c r="EG654" s="47"/>
      <c r="EH654" s="47"/>
      <c r="EI654" s="47"/>
      <c r="EJ654" s="47"/>
      <c r="EK654" s="47">
        <f t="shared" si="460"/>
        <v>0</v>
      </c>
      <c r="EL654" s="46">
        <f t="shared" si="458"/>
        <v>0</v>
      </c>
      <c r="EM654" s="46"/>
      <c r="EN654" s="46">
        <f t="shared" si="459"/>
        <v>0</v>
      </c>
    </row>
    <row r="655" spans="2:144" s="48" customFormat="1" ht="15" customHeight="1" x14ac:dyDescent="0.25">
      <c r="B655" s="41">
        <v>30</v>
      </c>
      <c r="C655" s="42"/>
      <c r="D655" s="43"/>
      <c r="E655" s="42"/>
      <c r="F655" s="42"/>
      <c r="G655" s="42"/>
      <c r="H655" s="42"/>
      <c r="I655" s="42"/>
      <c r="J655" s="42"/>
      <c r="K655" s="42"/>
      <c r="L655" s="42"/>
      <c r="M655" s="42"/>
      <c r="N655" s="41"/>
      <c r="O655" s="41"/>
      <c r="P655" s="42"/>
      <c r="Q655" s="45"/>
      <c r="R655" s="45"/>
      <c r="S655" s="42"/>
      <c r="T655" s="46"/>
      <c r="U655" s="46"/>
      <c r="V655" s="46"/>
      <c r="W655" s="46"/>
      <c r="X655" s="46"/>
      <c r="Y655" s="46"/>
      <c r="Z655" s="42"/>
      <c r="AA655" s="42"/>
      <c r="AB655" s="42"/>
      <c r="AC655" s="42"/>
      <c r="AD655" s="42"/>
      <c r="AE655" s="42"/>
      <c r="AF655" s="42"/>
      <c r="AG655" s="42"/>
      <c r="AH655" s="42"/>
      <c r="AI655" s="46"/>
      <c r="AJ655" s="42"/>
      <c r="AK655" s="42"/>
      <c r="AL655" s="42"/>
      <c r="AM655" s="42"/>
      <c r="AN655" s="47">
        <f t="shared" si="446"/>
        <v>0</v>
      </c>
      <c r="AO655" s="47">
        <f t="shared" si="447"/>
        <v>0</v>
      </c>
      <c r="AP655" s="42"/>
      <c r="AQ655" s="47"/>
      <c r="AR655" s="42"/>
      <c r="AS655" s="42"/>
      <c r="AT655" s="46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>
        <f t="shared" si="448"/>
        <v>0</v>
      </c>
      <c r="BF655" s="47"/>
      <c r="BG655" s="47"/>
      <c r="BH655" s="47"/>
      <c r="BI655" s="47"/>
      <c r="BJ655" s="47"/>
      <c r="BK655" s="47">
        <f t="shared" si="443"/>
        <v>0</v>
      </c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57">
        <f t="shared" si="452"/>
        <v>0</v>
      </c>
      <c r="CQ655" s="47"/>
      <c r="CR655" s="47">
        <f t="shared" si="453"/>
        <v>0</v>
      </c>
      <c r="CS655" s="47"/>
      <c r="CT655" s="47"/>
      <c r="CU655" s="47"/>
      <c r="CV655" s="47"/>
      <c r="CW655" s="47">
        <f t="shared" si="454"/>
        <v>0</v>
      </c>
      <c r="CX655" s="47"/>
      <c r="CY655" s="47">
        <f t="shared" si="455"/>
        <v>0</v>
      </c>
      <c r="CZ655" s="47"/>
      <c r="DA655" s="47"/>
      <c r="DB655" s="47"/>
      <c r="DC655" s="47"/>
      <c r="DD655" s="47">
        <f t="shared" si="444"/>
        <v>0</v>
      </c>
      <c r="DE655" s="47"/>
      <c r="DF655" s="47"/>
      <c r="DG655" s="47"/>
      <c r="DH655" s="47"/>
      <c r="DI655" s="47"/>
      <c r="DJ655" s="47"/>
      <c r="DK655" s="47"/>
      <c r="DL655" s="47">
        <f t="shared" si="456"/>
        <v>0</v>
      </c>
      <c r="DM655" s="47"/>
      <c r="DN655" s="47"/>
      <c r="DO655" s="47"/>
      <c r="DP655" s="47"/>
      <c r="DQ655" s="47"/>
      <c r="DR655" s="47"/>
      <c r="DS655" s="47"/>
      <c r="DT655" s="47"/>
      <c r="DU655" s="47"/>
      <c r="DV655" s="47"/>
      <c r="DW655" s="47"/>
      <c r="DX655" s="47">
        <f t="shared" si="457"/>
        <v>0</v>
      </c>
      <c r="DY655" s="47"/>
      <c r="DZ655" s="47"/>
      <c r="EA655" s="47"/>
      <c r="EB655" s="47"/>
      <c r="EC655" s="47"/>
      <c r="ED655" s="47"/>
      <c r="EE655" s="47">
        <f t="shared" si="461"/>
        <v>0</v>
      </c>
      <c r="EF655" s="47"/>
      <c r="EG655" s="47"/>
      <c r="EH655" s="47"/>
      <c r="EI655" s="47"/>
      <c r="EJ655" s="47"/>
      <c r="EK655" s="47">
        <f t="shared" si="460"/>
        <v>0</v>
      </c>
      <c r="EL655" s="46">
        <f t="shared" si="458"/>
        <v>0</v>
      </c>
      <c r="EM655" s="46"/>
      <c r="EN655" s="46">
        <f t="shared" si="459"/>
        <v>0</v>
      </c>
    </row>
    <row r="656" spans="2:144" s="48" customFormat="1" ht="15" customHeight="1" x14ac:dyDescent="0.25">
      <c r="B656" s="41">
        <v>31</v>
      </c>
      <c r="C656" s="42"/>
      <c r="D656" s="43"/>
      <c r="E656" s="42"/>
      <c r="F656" s="42"/>
      <c r="G656" s="42"/>
      <c r="H656" s="42"/>
      <c r="I656" s="42"/>
      <c r="J656" s="42"/>
      <c r="K656" s="42"/>
      <c r="L656" s="42"/>
      <c r="M656" s="42"/>
      <c r="N656" s="41"/>
      <c r="O656" s="41"/>
      <c r="P656" s="42"/>
      <c r="Q656" s="45"/>
      <c r="R656" s="45"/>
      <c r="S656" s="42"/>
      <c r="T656" s="46"/>
      <c r="U656" s="46"/>
      <c r="V656" s="46"/>
      <c r="W656" s="46"/>
      <c r="X656" s="46"/>
      <c r="Y656" s="46"/>
      <c r="Z656" s="42"/>
      <c r="AA656" s="42"/>
      <c r="AB656" s="42"/>
      <c r="AC656" s="42"/>
      <c r="AD656" s="42"/>
      <c r="AE656" s="42"/>
      <c r="AF656" s="42"/>
      <c r="AG656" s="42"/>
      <c r="AH656" s="42"/>
      <c r="AI656" s="46"/>
      <c r="AJ656" s="42"/>
      <c r="AK656" s="42"/>
      <c r="AL656" s="42"/>
      <c r="AM656" s="42"/>
      <c r="AN656" s="47">
        <f t="shared" si="446"/>
        <v>0</v>
      </c>
      <c r="AO656" s="47">
        <f t="shared" si="447"/>
        <v>0</v>
      </c>
      <c r="AP656" s="42"/>
      <c r="AQ656" s="47"/>
      <c r="AR656" s="42"/>
      <c r="AS656" s="42"/>
      <c r="AT656" s="46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>
        <f t="shared" si="448"/>
        <v>0</v>
      </c>
      <c r="BF656" s="47"/>
      <c r="BG656" s="47"/>
      <c r="BH656" s="47"/>
      <c r="BI656" s="47"/>
      <c r="BJ656" s="47"/>
      <c r="BK656" s="47">
        <f t="shared" si="443"/>
        <v>0</v>
      </c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57">
        <f t="shared" si="452"/>
        <v>0</v>
      </c>
      <c r="CQ656" s="47"/>
      <c r="CR656" s="47">
        <f>+CM656+CP656+CQ656</f>
        <v>0</v>
      </c>
      <c r="CS656" s="47"/>
      <c r="CT656" s="47"/>
      <c r="CU656" s="47"/>
      <c r="CV656" s="47"/>
      <c r="CW656" s="47">
        <f t="shared" si="454"/>
        <v>0</v>
      </c>
      <c r="CX656" s="47"/>
      <c r="CY656" s="47">
        <f t="shared" si="455"/>
        <v>0</v>
      </c>
      <c r="CZ656" s="47"/>
      <c r="DA656" s="47"/>
      <c r="DB656" s="47"/>
      <c r="DC656" s="47"/>
      <c r="DD656" s="47">
        <f t="shared" si="444"/>
        <v>0</v>
      </c>
      <c r="DE656" s="47"/>
      <c r="DF656" s="47"/>
      <c r="DG656" s="47"/>
      <c r="DH656" s="47"/>
      <c r="DI656" s="47"/>
      <c r="DJ656" s="47"/>
      <c r="DK656" s="47"/>
      <c r="DL656" s="47">
        <f t="shared" si="456"/>
        <v>0</v>
      </c>
      <c r="DM656" s="47"/>
      <c r="DN656" s="47"/>
      <c r="DO656" s="47"/>
      <c r="DP656" s="47"/>
      <c r="DQ656" s="47"/>
      <c r="DR656" s="47"/>
      <c r="DS656" s="47"/>
      <c r="DT656" s="47"/>
      <c r="DU656" s="47"/>
      <c r="DV656" s="47"/>
      <c r="DW656" s="47"/>
      <c r="DX656" s="47">
        <f t="shared" si="457"/>
        <v>0</v>
      </c>
      <c r="DY656" s="47"/>
      <c r="DZ656" s="47"/>
      <c r="EA656" s="47"/>
      <c r="EB656" s="47"/>
      <c r="EC656" s="47"/>
      <c r="ED656" s="47"/>
      <c r="EE656" s="47">
        <f t="shared" si="461"/>
        <v>0</v>
      </c>
      <c r="EF656" s="47"/>
      <c r="EG656" s="47"/>
      <c r="EH656" s="47"/>
      <c r="EI656" s="47"/>
      <c r="EJ656" s="47"/>
      <c r="EK656" s="47">
        <f t="shared" si="460"/>
        <v>0</v>
      </c>
      <c r="EL656" s="46">
        <f t="shared" si="458"/>
        <v>0</v>
      </c>
      <c r="EM656" s="46"/>
      <c r="EN656" s="46">
        <f t="shared" si="459"/>
        <v>0</v>
      </c>
    </row>
    <row r="657" spans="2:144" s="48" customFormat="1" ht="15" customHeight="1" x14ac:dyDescent="0.25">
      <c r="B657" s="41">
        <v>32</v>
      </c>
      <c r="C657" s="42"/>
      <c r="D657" s="43"/>
      <c r="E657" s="42"/>
      <c r="F657" s="42"/>
      <c r="G657" s="42"/>
      <c r="H657" s="42"/>
      <c r="I657" s="42"/>
      <c r="J657" s="42"/>
      <c r="K657" s="42"/>
      <c r="L657" s="42"/>
      <c r="M657" s="42"/>
      <c r="N657" s="41"/>
      <c r="O657" s="41"/>
      <c r="P657" s="42"/>
      <c r="Q657" s="45"/>
      <c r="R657" s="45"/>
      <c r="S657" s="42"/>
      <c r="T657" s="46"/>
      <c r="U657" s="46"/>
      <c r="V657" s="46"/>
      <c r="W657" s="46"/>
      <c r="X657" s="46"/>
      <c r="Y657" s="46"/>
      <c r="Z657" s="42"/>
      <c r="AA657" s="42"/>
      <c r="AB657" s="42"/>
      <c r="AC657" s="42"/>
      <c r="AD657" s="42"/>
      <c r="AE657" s="42"/>
      <c r="AF657" s="42"/>
      <c r="AG657" s="42"/>
      <c r="AH657" s="42"/>
      <c r="AI657" s="46"/>
      <c r="AJ657" s="42"/>
      <c r="AK657" s="42"/>
      <c r="AL657" s="42"/>
      <c r="AM657" s="42"/>
      <c r="AN657" s="47">
        <f t="shared" si="446"/>
        <v>0</v>
      </c>
      <c r="AO657" s="47">
        <f t="shared" si="447"/>
        <v>0</v>
      </c>
      <c r="AP657" s="42"/>
      <c r="AQ657" s="47"/>
      <c r="AR657" s="42"/>
      <c r="AS657" s="42"/>
      <c r="AT657" s="46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>
        <f t="shared" si="448"/>
        <v>0</v>
      </c>
      <c r="BF657" s="47"/>
      <c r="BG657" s="47"/>
      <c r="BH657" s="47"/>
      <c r="BI657" s="47"/>
      <c r="BJ657" s="47"/>
      <c r="BK657" s="47">
        <f t="shared" si="443"/>
        <v>0</v>
      </c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57">
        <f t="shared" si="452"/>
        <v>0</v>
      </c>
      <c r="CQ657" s="47"/>
      <c r="CR657" s="47">
        <f t="shared" si="453"/>
        <v>0</v>
      </c>
      <c r="CS657" s="47"/>
      <c r="CT657" s="47"/>
      <c r="CU657" s="47"/>
      <c r="CV657" s="47"/>
      <c r="CW657" s="47">
        <f t="shared" si="454"/>
        <v>0</v>
      </c>
      <c r="CX657" s="47"/>
      <c r="CY657" s="47">
        <f t="shared" si="455"/>
        <v>0</v>
      </c>
      <c r="CZ657" s="47"/>
      <c r="DA657" s="47"/>
      <c r="DB657" s="47"/>
      <c r="DC657" s="47"/>
      <c r="DD657" s="47">
        <f t="shared" si="444"/>
        <v>0</v>
      </c>
      <c r="DE657" s="47"/>
      <c r="DF657" s="47"/>
      <c r="DG657" s="47"/>
      <c r="DH657" s="47"/>
      <c r="DI657" s="47"/>
      <c r="DJ657" s="47"/>
      <c r="DK657" s="47"/>
      <c r="DL657" s="47">
        <f t="shared" si="456"/>
        <v>0</v>
      </c>
      <c r="DM657" s="47"/>
      <c r="DN657" s="47"/>
      <c r="DO657" s="47"/>
      <c r="DP657" s="47"/>
      <c r="DQ657" s="47"/>
      <c r="DR657" s="47"/>
      <c r="DS657" s="47"/>
      <c r="DT657" s="47"/>
      <c r="DU657" s="47"/>
      <c r="DV657" s="47"/>
      <c r="DW657" s="47"/>
      <c r="DX657" s="47">
        <f t="shared" si="457"/>
        <v>0</v>
      </c>
      <c r="DY657" s="47"/>
      <c r="DZ657" s="47"/>
      <c r="EA657" s="47"/>
      <c r="EB657" s="47"/>
      <c r="EC657" s="47"/>
      <c r="ED657" s="47"/>
      <c r="EE657" s="47">
        <f t="shared" si="461"/>
        <v>0</v>
      </c>
      <c r="EF657" s="47"/>
      <c r="EG657" s="47"/>
      <c r="EH657" s="47"/>
      <c r="EI657" s="47"/>
      <c r="EJ657" s="47"/>
      <c r="EK657" s="47">
        <f t="shared" si="460"/>
        <v>0</v>
      </c>
      <c r="EL657" s="46">
        <f t="shared" si="458"/>
        <v>0</v>
      </c>
      <c r="EM657" s="46"/>
      <c r="EN657" s="46">
        <f t="shared" si="459"/>
        <v>0</v>
      </c>
    </row>
    <row r="658" spans="2:144" s="48" customFormat="1" ht="15" customHeight="1" x14ac:dyDescent="0.25">
      <c r="B658" s="41">
        <v>33</v>
      </c>
      <c r="C658" s="42"/>
      <c r="D658" s="43"/>
      <c r="E658" s="42"/>
      <c r="F658" s="42"/>
      <c r="G658" s="42"/>
      <c r="H658" s="42"/>
      <c r="I658" s="42"/>
      <c r="J658" s="42"/>
      <c r="K658" s="42"/>
      <c r="L658" s="42"/>
      <c r="M658" s="42"/>
      <c r="N658" s="41"/>
      <c r="O658" s="41"/>
      <c r="P658" s="42"/>
      <c r="Q658" s="45"/>
      <c r="R658" s="45"/>
      <c r="S658" s="42"/>
      <c r="T658" s="46"/>
      <c r="U658" s="46"/>
      <c r="V658" s="46"/>
      <c r="W658" s="46"/>
      <c r="X658" s="46"/>
      <c r="Y658" s="46"/>
      <c r="Z658" s="42"/>
      <c r="AA658" s="42"/>
      <c r="AB658" s="42"/>
      <c r="AC658" s="42"/>
      <c r="AD658" s="42"/>
      <c r="AE658" s="42"/>
      <c r="AF658" s="42"/>
      <c r="AG658" s="42"/>
      <c r="AH658" s="42"/>
      <c r="AI658" s="46"/>
      <c r="AJ658" s="42"/>
      <c r="AK658" s="42"/>
      <c r="AL658" s="42"/>
      <c r="AM658" s="42"/>
      <c r="AN658" s="47">
        <f t="shared" si="446"/>
        <v>0</v>
      </c>
      <c r="AO658" s="47">
        <f t="shared" si="447"/>
        <v>0</v>
      </c>
      <c r="AP658" s="42"/>
      <c r="AQ658" s="47"/>
      <c r="AR658" s="42"/>
      <c r="AS658" s="42"/>
      <c r="AT658" s="46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>
        <f t="shared" si="448"/>
        <v>0</v>
      </c>
      <c r="BF658" s="47"/>
      <c r="BG658" s="47"/>
      <c r="BH658" s="47"/>
      <c r="BI658" s="47"/>
      <c r="BJ658" s="47"/>
      <c r="BK658" s="47">
        <f t="shared" si="443"/>
        <v>0</v>
      </c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57">
        <f t="shared" si="452"/>
        <v>0</v>
      </c>
      <c r="CQ658" s="47"/>
      <c r="CR658" s="47">
        <f t="shared" si="453"/>
        <v>0</v>
      </c>
      <c r="CS658" s="47"/>
      <c r="CT658" s="47"/>
      <c r="CU658" s="47"/>
      <c r="CV658" s="47"/>
      <c r="CW658" s="47">
        <f t="shared" si="454"/>
        <v>0</v>
      </c>
      <c r="CX658" s="47"/>
      <c r="CY658" s="47">
        <f t="shared" si="455"/>
        <v>0</v>
      </c>
      <c r="CZ658" s="47"/>
      <c r="DA658" s="47"/>
      <c r="DB658" s="47"/>
      <c r="DC658" s="47"/>
      <c r="DD658" s="47">
        <f t="shared" si="444"/>
        <v>0</v>
      </c>
      <c r="DE658" s="47"/>
      <c r="DF658" s="47"/>
      <c r="DG658" s="47"/>
      <c r="DH658" s="47"/>
      <c r="DI658" s="47"/>
      <c r="DJ658" s="47"/>
      <c r="DK658" s="47"/>
      <c r="DL658" s="47">
        <f t="shared" si="456"/>
        <v>0</v>
      </c>
      <c r="DM658" s="47"/>
      <c r="DN658" s="47"/>
      <c r="DO658" s="47"/>
      <c r="DP658" s="47"/>
      <c r="DQ658" s="47"/>
      <c r="DR658" s="47"/>
      <c r="DS658" s="47"/>
      <c r="DT658" s="47"/>
      <c r="DU658" s="47"/>
      <c r="DV658" s="47"/>
      <c r="DW658" s="47"/>
      <c r="DX658" s="47">
        <f t="shared" si="457"/>
        <v>0</v>
      </c>
      <c r="DY658" s="47"/>
      <c r="DZ658" s="47"/>
      <c r="EA658" s="47"/>
      <c r="EB658" s="47"/>
      <c r="EC658" s="47"/>
      <c r="ED658" s="47"/>
      <c r="EE658" s="47">
        <f t="shared" si="461"/>
        <v>0</v>
      </c>
      <c r="EF658" s="47"/>
      <c r="EG658" s="47"/>
      <c r="EH658" s="47"/>
      <c r="EI658" s="47"/>
      <c r="EJ658" s="47"/>
      <c r="EK658" s="47">
        <f t="shared" si="460"/>
        <v>0</v>
      </c>
      <c r="EL658" s="46">
        <f t="shared" si="458"/>
        <v>0</v>
      </c>
      <c r="EM658" s="46"/>
      <c r="EN658" s="46">
        <f t="shared" si="459"/>
        <v>0</v>
      </c>
    </row>
    <row r="659" spans="2:144" s="48" customFormat="1" ht="15" customHeight="1" x14ac:dyDescent="0.25">
      <c r="B659" s="41">
        <v>34</v>
      </c>
      <c r="C659" s="42"/>
      <c r="D659" s="43"/>
      <c r="E659" s="42"/>
      <c r="F659" s="42"/>
      <c r="G659" s="42"/>
      <c r="H659" s="42"/>
      <c r="I659" s="42"/>
      <c r="J659" s="42"/>
      <c r="K659" s="42"/>
      <c r="L659" s="42"/>
      <c r="M659" s="42"/>
      <c r="N659" s="41"/>
      <c r="O659" s="41"/>
      <c r="P659" s="42"/>
      <c r="Q659" s="45"/>
      <c r="R659" s="45"/>
      <c r="S659" s="42"/>
      <c r="T659" s="46"/>
      <c r="U659" s="46"/>
      <c r="V659" s="46"/>
      <c r="W659" s="46"/>
      <c r="X659" s="46"/>
      <c r="Y659" s="46"/>
      <c r="Z659" s="42"/>
      <c r="AA659" s="42"/>
      <c r="AB659" s="42"/>
      <c r="AC659" s="42"/>
      <c r="AD659" s="42"/>
      <c r="AE659" s="42"/>
      <c r="AF659" s="42"/>
      <c r="AG659" s="42"/>
      <c r="AH659" s="42"/>
      <c r="AI659" s="46"/>
      <c r="AJ659" s="42"/>
      <c r="AK659" s="42"/>
      <c r="AL659" s="42"/>
      <c r="AM659" s="42"/>
      <c r="AN659" s="47">
        <f t="shared" si="446"/>
        <v>0</v>
      </c>
      <c r="AO659" s="47">
        <f t="shared" si="447"/>
        <v>0</v>
      </c>
      <c r="AP659" s="42"/>
      <c r="AQ659" s="47"/>
      <c r="AR659" s="42"/>
      <c r="AS659" s="42"/>
      <c r="AT659" s="46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>
        <f t="shared" si="448"/>
        <v>0</v>
      </c>
      <c r="BF659" s="47"/>
      <c r="BG659" s="47"/>
      <c r="BH659" s="47"/>
      <c r="BI659" s="47"/>
      <c r="BJ659" s="47"/>
      <c r="BK659" s="47">
        <f t="shared" si="443"/>
        <v>0</v>
      </c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57">
        <f t="shared" si="452"/>
        <v>0</v>
      </c>
      <c r="CQ659" s="47"/>
      <c r="CR659" s="47">
        <f t="shared" si="453"/>
        <v>0</v>
      </c>
      <c r="CS659" s="47"/>
      <c r="CT659" s="47"/>
      <c r="CU659" s="47"/>
      <c r="CV659" s="47"/>
      <c r="CW659" s="47">
        <f t="shared" si="454"/>
        <v>0</v>
      </c>
      <c r="CX659" s="47"/>
      <c r="CY659" s="47">
        <f t="shared" si="455"/>
        <v>0</v>
      </c>
      <c r="CZ659" s="47"/>
      <c r="DA659" s="47"/>
      <c r="DB659" s="47"/>
      <c r="DC659" s="47"/>
      <c r="DD659" s="47">
        <f t="shared" si="444"/>
        <v>0</v>
      </c>
      <c r="DE659" s="47"/>
      <c r="DF659" s="47"/>
      <c r="DG659" s="47"/>
      <c r="DH659" s="47"/>
      <c r="DI659" s="47"/>
      <c r="DJ659" s="47"/>
      <c r="DK659" s="47"/>
      <c r="DL659" s="47">
        <f t="shared" si="456"/>
        <v>0</v>
      </c>
      <c r="DM659" s="47"/>
      <c r="DN659" s="47"/>
      <c r="DO659" s="47"/>
      <c r="DP659" s="47"/>
      <c r="DQ659" s="47"/>
      <c r="DR659" s="47"/>
      <c r="DS659" s="47"/>
      <c r="DT659" s="47"/>
      <c r="DU659" s="47"/>
      <c r="DV659" s="47"/>
      <c r="DW659" s="47"/>
      <c r="DX659" s="47">
        <f t="shared" si="457"/>
        <v>0</v>
      </c>
      <c r="DY659" s="47"/>
      <c r="DZ659" s="47"/>
      <c r="EA659" s="47"/>
      <c r="EB659" s="47"/>
      <c r="EC659" s="47"/>
      <c r="ED659" s="47"/>
      <c r="EE659" s="47">
        <f>+AW659+BE659+BM659+CR659+CY659+DF659+DL659+DX659+DY659+DZ659+EB659+EC659</f>
        <v>0</v>
      </c>
      <c r="EF659" s="47"/>
      <c r="EG659" s="47"/>
      <c r="EH659" s="47"/>
      <c r="EI659" s="47"/>
      <c r="EJ659" s="47"/>
      <c r="EK659" s="47">
        <f t="shared" si="460"/>
        <v>0</v>
      </c>
      <c r="EL659" s="46">
        <f t="shared" si="458"/>
        <v>0</v>
      </c>
      <c r="EM659" s="46"/>
      <c r="EN659" s="46">
        <f t="shared" si="459"/>
        <v>0</v>
      </c>
    </row>
    <row r="660" spans="2:144" s="48" customFormat="1" ht="15" customHeight="1" x14ac:dyDescent="0.25">
      <c r="B660" s="41">
        <v>35</v>
      </c>
      <c r="C660" s="42"/>
      <c r="D660" s="43"/>
      <c r="E660" s="42"/>
      <c r="F660" s="42"/>
      <c r="G660" s="42"/>
      <c r="H660" s="42"/>
      <c r="I660" s="42"/>
      <c r="J660" s="42"/>
      <c r="K660" s="42"/>
      <c r="L660" s="42"/>
      <c r="M660" s="42"/>
      <c r="N660" s="41"/>
      <c r="O660" s="41"/>
      <c r="P660" s="42"/>
      <c r="Q660" s="45"/>
      <c r="R660" s="45"/>
      <c r="S660" s="42"/>
      <c r="T660" s="46"/>
      <c r="U660" s="46"/>
      <c r="V660" s="46"/>
      <c r="W660" s="46"/>
      <c r="X660" s="46"/>
      <c r="Y660" s="46"/>
      <c r="Z660" s="42"/>
      <c r="AA660" s="42"/>
      <c r="AB660" s="42"/>
      <c r="AC660" s="42"/>
      <c r="AD660" s="42"/>
      <c r="AE660" s="42"/>
      <c r="AF660" s="42"/>
      <c r="AG660" s="42"/>
      <c r="AH660" s="42"/>
      <c r="AI660" s="46"/>
      <c r="AJ660" s="42"/>
      <c r="AK660" s="42"/>
      <c r="AL660" s="42"/>
      <c r="AM660" s="42"/>
      <c r="AN660" s="47">
        <f t="shared" si="446"/>
        <v>0</v>
      </c>
      <c r="AO660" s="47">
        <f t="shared" si="447"/>
        <v>0</v>
      </c>
      <c r="AP660" s="42"/>
      <c r="AQ660" s="47"/>
      <c r="AR660" s="42"/>
      <c r="AS660" s="42"/>
      <c r="AT660" s="46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>
        <f t="shared" si="448"/>
        <v>0</v>
      </c>
      <c r="BF660" s="47"/>
      <c r="BG660" s="47"/>
      <c r="BH660" s="47"/>
      <c r="BI660" s="47"/>
      <c r="BJ660" s="47"/>
      <c r="BK660" s="47">
        <f t="shared" si="443"/>
        <v>0</v>
      </c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57">
        <f t="shared" si="452"/>
        <v>0</v>
      </c>
      <c r="CQ660" s="47"/>
      <c r="CR660" s="47">
        <f t="shared" si="453"/>
        <v>0</v>
      </c>
      <c r="CS660" s="47"/>
      <c r="CT660" s="47"/>
      <c r="CU660" s="47"/>
      <c r="CV660" s="47"/>
      <c r="CW660" s="47">
        <f t="shared" si="454"/>
        <v>0</v>
      </c>
      <c r="CX660" s="47"/>
      <c r="CY660" s="47">
        <f t="shared" si="455"/>
        <v>0</v>
      </c>
      <c r="CZ660" s="47"/>
      <c r="DA660" s="47"/>
      <c r="DB660" s="47"/>
      <c r="DC660" s="47"/>
      <c r="DD660" s="47">
        <f t="shared" si="444"/>
        <v>0</v>
      </c>
      <c r="DE660" s="47"/>
      <c r="DF660" s="47"/>
      <c r="DG660" s="47"/>
      <c r="DH660" s="47"/>
      <c r="DI660" s="47"/>
      <c r="DJ660" s="47"/>
      <c r="DK660" s="47"/>
      <c r="DL660" s="47">
        <f t="shared" si="456"/>
        <v>0</v>
      </c>
      <c r="DM660" s="47"/>
      <c r="DN660" s="47"/>
      <c r="DO660" s="47"/>
      <c r="DP660" s="47"/>
      <c r="DQ660" s="47"/>
      <c r="DR660" s="47"/>
      <c r="DS660" s="47"/>
      <c r="DT660" s="47"/>
      <c r="DU660" s="47"/>
      <c r="DV660" s="47"/>
      <c r="DW660" s="47"/>
      <c r="DX660" s="47">
        <f t="shared" si="457"/>
        <v>0</v>
      </c>
      <c r="DY660" s="47"/>
      <c r="DZ660" s="47"/>
      <c r="EA660" s="47"/>
      <c r="EB660" s="47"/>
      <c r="EC660" s="47"/>
      <c r="ED660" s="47"/>
      <c r="EE660" s="47">
        <f t="shared" ref="EE660:EE723" si="462">+AW660+BE660+BM660+CR660+CY660+DF660+DL660+DX660+DY660+DZ660+EB660+EC660</f>
        <v>0</v>
      </c>
      <c r="EF660" s="47"/>
      <c r="EG660" s="47"/>
      <c r="EH660" s="47"/>
      <c r="EI660" s="47"/>
      <c r="EJ660" s="47"/>
      <c r="EK660" s="47">
        <f t="shared" si="460"/>
        <v>0</v>
      </c>
      <c r="EL660" s="46">
        <f t="shared" si="458"/>
        <v>0</v>
      </c>
      <c r="EM660" s="46"/>
      <c r="EN660" s="46">
        <f t="shared" si="459"/>
        <v>0</v>
      </c>
    </row>
    <row r="661" spans="2:144" s="48" customFormat="1" ht="15" customHeight="1" x14ac:dyDescent="0.25">
      <c r="B661" s="41">
        <v>36</v>
      </c>
      <c r="C661" s="42"/>
      <c r="D661" s="43"/>
      <c r="E661" s="42"/>
      <c r="F661" s="42"/>
      <c r="G661" s="42"/>
      <c r="H661" s="42"/>
      <c r="I661" s="42"/>
      <c r="J661" s="42"/>
      <c r="K661" s="42"/>
      <c r="L661" s="42"/>
      <c r="M661" s="42"/>
      <c r="N661" s="41"/>
      <c r="O661" s="41"/>
      <c r="P661" s="42"/>
      <c r="Q661" s="45"/>
      <c r="R661" s="45"/>
      <c r="S661" s="42"/>
      <c r="T661" s="46"/>
      <c r="U661" s="46"/>
      <c r="V661" s="46"/>
      <c r="W661" s="46"/>
      <c r="X661" s="46"/>
      <c r="Y661" s="46"/>
      <c r="Z661" s="42"/>
      <c r="AA661" s="42"/>
      <c r="AB661" s="42"/>
      <c r="AC661" s="42"/>
      <c r="AD661" s="42"/>
      <c r="AE661" s="42"/>
      <c r="AF661" s="42"/>
      <c r="AG661" s="42"/>
      <c r="AH661" s="42"/>
      <c r="AI661" s="46"/>
      <c r="AJ661" s="42"/>
      <c r="AK661" s="42"/>
      <c r="AL661" s="42"/>
      <c r="AM661" s="42"/>
      <c r="AN661" s="47">
        <f t="shared" si="446"/>
        <v>0</v>
      </c>
      <c r="AO661" s="47">
        <f t="shared" si="447"/>
        <v>0</v>
      </c>
      <c r="AP661" s="42"/>
      <c r="AQ661" s="47"/>
      <c r="AR661" s="42"/>
      <c r="AS661" s="42"/>
      <c r="AT661" s="46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>
        <f t="shared" si="448"/>
        <v>0</v>
      </c>
      <c r="BF661" s="47"/>
      <c r="BG661" s="47"/>
      <c r="BH661" s="47"/>
      <c r="BI661" s="47"/>
      <c r="BJ661" s="47"/>
      <c r="BK661" s="47">
        <f t="shared" si="443"/>
        <v>0</v>
      </c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57">
        <f t="shared" si="452"/>
        <v>0</v>
      </c>
      <c r="CQ661" s="47"/>
      <c r="CR661" s="47">
        <f t="shared" si="453"/>
        <v>0</v>
      </c>
      <c r="CS661" s="47"/>
      <c r="CT661" s="47"/>
      <c r="CU661" s="47"/>
      <c r="CV661" s="47"/>
      <c r="CW661" s="47">
        <f t="shared" si="454"/>
        <v>0</v>
      </c>
      <c r="CX661" s="47"/>
      <c r="CY661" s="47">
        <f t="shared" si="455"/>
        <v>0</v>
      </c>
      <c r="CZ661" s="47"/>
      <c r="DA661" s="47"/>
      <c r="DB661" s="47"/>
      <c r="DC661" s="47"/>
      <c r="DD661" s="47">
        <f t="shared" si="444"/>
        <v>0</v>
      </c>
      <c r="DE661" s="47"/>
      <c r="DF661" s="47"/>
      <c r="DG661" s="47"/>
      <c r="DH661" s="47"/>
      <c r="DI661" s="47"/>
      <c r="DJ661" s="47"/>
      <c r="DK661" s="47"/>
      <c r="DL661" s="47">
        <f t="shared" si="456"/>
        <v>0</v>
      </c>
      <c r="DM661" s="47"/>
      <c r="DN661" s="47"/>
      <c r="DO661" s="47"/>
      <c r="DP661" s="47"/>
      <c r="DQ661" s="47"/>
      <c r="DR661" s="47"/>
      <c r="DS661" s="47"/>
      <c r="DT661" s="47"/>
      <c r="DU661" s="47"/>
      <c r="DV661" s="47"/>
      <c r="DW661" s="47"/>
      <c r="DX661" s="47">
        <f t="shared" si="457"/>
        <v>0</v>
      </c>
      <c r="DY661" s="47"/>
      <c r="DZ661" s="47"/>
      <c r="EA661" s="47"/>
      <c r="EB661" s="47"/>
      <c r="EC661" s="47"/>
      <c r="ED661" s="47"/>
      <c r="EE661" s="47">
        <f t="shared" si="462"/>
        <v>0</v>
      </c>
      <c r="EF661" s="47"/>
      <c r="EG661" s="47"/>
      <c r="EH661" s="47"/>
      <c r="EI661" s="47"/>
      <c r="EJ661" s="47"/>
      <c r="EK661" s="47">
        <f t="shared" si="460"/>
        <v>0</v>
      </c>
      <c r="EL661" s="46">
        <f t="shared" si="458"/>
        <v>0</v>
      </c>
      <c r="EM661" s="46"/>
      <c r="EN661" s="46">
        <f t="shared" si="459"/>
        <v>0</v>
      </c>
    </row>
    <row r="662" spans="2:144" s="48" customFormat="1" ht="15" customHeight="1" x14ac:dyDescent="0.25">
      <c r="B662" s="41">
        <v>37</v>
      </c>
      <c r="C662" s="42"/>
      <c r="D662" s="43"/>
      <c r="E662" s="42"/>
      <c r="F662" s="42"/>
      <c r="G662" s="42"/>
      <c r="H662" s="42"/>
      <c r="I662" s="42"/>
      <c r="J662" s="42"/>
      <c r="K662" s="42"/>
      <c r="L662" s="42"/>
      <c r="M662" s="42"/>
      <c r="N662" s="41"/>
      <c r="O662" s="41"/>
      <c r="P662" s="42"/>
      <c r="Q662" s="45"/>
      <c r="R662" s="45"/>
      <c r="S662" s="42"/>
      <c r="T662" s="46"/>
      <c r="U662" s="46"/>
      <c r="V662" s="46"/>
      <c r="W662" s="46"/>
      <c r="X662" s="46"/>
      <c r="Y662" s="46"/>
      <c r="Z662" s="42"/>
      <c r="AA662" s="42"/>
      <c r="AB662" s="42"/>
      <c r="AC662" s="42"/>
      <c r="AD662" s="42"/>
      <c r="AE662" s="42"/>
      <c r="AF662" s="42"/>
      <c r="AG662" s="42"/>
      <c r="AH662" s="42"/>
      <c r="AI662" s="46"/>
      <c r="AJ662" s="42"/>
      <c r="AK662" s="42"/>
      <c r="AL662" s="42"/>
      <c r="AM662" s="42"/>
      <c r="AN662" s="47">
        <f t="shared" si="446"/>
        <v>0</v>
      </c>
      <c r="AO662" s="47">
        <f t="shared" si="447"/>
        <v>0</v>
      </c>
      <c r="AP662" s="42"/>
      <c r="AQ662" s="47"/>
      <c r="AR662" s="42"/>
      <c r="AS662" s="42"/>
      <c r="AT662" s="46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>
        <f t="shared" si="448"/>
        <v>0</v>
      </c>
      <c r="BF662" s="47"/>
      <c r="BG662" s="47"/>
      <c r="BH662" s="47"/>
      <c r="BI662" s="47"/>
      <c r="BJ662" s="47"/>
      <c r="BK662" s="47">
        <f t="shared" si="443"/>
        <v>0</v>
      </c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57">
        <f>CN662*CO662</f>
        <v>0</v>
      </c>
      <c r="CQ662" s="47"/>
      <c r="CR662" s="47">
        <f t="shared" si="453"/>
        <v>0</v>
      </c>
      <c r="CS662" s="47"/>
      <c r="CT662" s="47"/>
      <c r="CU662" s="47"/>
      <c r="CV662" s="47"/>
      <c r="CW662" s="47">
        <f t="shared" si="454"/>
        <v>0</v>
      </c>
      <c r="CX662" s="47"/>
      <c r="CY662" s="47">
        <f t="shared" si="455"/>
        <v>0</v>
      </c>
      <c r="CZ662" s="47"/>
      <c r="DA662" s="47"/>
      <c r="DB662" s="47"/>
      <c r="DC662" s="47"/>
      <c r="DD662" s="47">
        <f t="shared" si="444"/>
        <v>0</v>
      </c>
      <c r="DE662" s="47"/>
      <c r="DF662" s="47"/>
      <c r="DG662" s="47"/>
      <c r="DH662" s="47"/>
      <c r="DI662" s="47"/>
      <c r="DJ662" s="47"/>
      <c r="DK662" s="47"/>
      <c r="DL662" s="47">
        <f t="shared" si="456"/>
        <v>0</v>
      </c>
      <c r="DM662" s="47"/>
      <c r="DN662" s="47"/>
      <c r="DO662" s="47"/>
      <c r="DP662" s="47"/>
      <c r="DQ662" s="47"/>
      <c r="DR662" s="47"/>
      <c r="DS662" s="47"/>
      <c r="DT662" s="47"/>
      <c r="DU662" s="47"/>
      <c r="DV662" s="47"/>
      <c r="DW662" s="47"/>
      <c r="DX662" s="47">
        <f t="shared" si="457"/>
        <v>0</v>
      </c>
      <c r="DY662" s="47"/>
      <c r="DZ662" s="47"/>
      <c r="EA662" s="47"/>
      <c r="EB662" s="47"/>
      <c r="EC662" s="47"/>
      <c r="ED662" s="47"/>
      <c r="EE662" s="47">
        <f t="shared" si="462"/>
        <v>0</v>
      </c>
      <c r="EF662" s="47"/>
      <c r="EG662" s="47"/>
      <c r="EH662" s="47"/>
      <c r="EI662" s="47"/>
      <c r="EJ662" s="47"/>
      <c r="EK662" s="47">
        <f t="shared" si="460"/>
        <v>0</v>
      </c>
      <c r="EL662" s="46">
        <f t="shared" si="458"/>
        <v>0</v>
      </c>
      <c r="EM662" s="46"/>
      <c r="EN662" s="46">
        <f t="shared" si="459"/>
        <v>0</v>
      </c>
    </row>
    <row r="663" spans="2:144" s="48" customFormat="1" ht="15" customHeight="1" x14ac:dyDescent="0.25">
      <c r="B663" s="41">
        <v>38</v>
      </c>
      <c r="C663" s="42"/>
      <c r="D663" s="43"/>
      <c r="E663" s="42"/>
      <c r="F663" s="42"/>
      <c r="G663" s="42"/>
      <c r="H663" s="42"/>
      <c r="I663" s="42"/>
      <c r="J663" s="42"/>
      <c r="K663" s="42"/>
      <c r="L663" s="42"/>
      <c r="M663" s="42"/>
      <c r="N663" s="41"/>
      <c r="O663" s="41"/>
      <c r="P663" s="42"/>
      <c r="Q663" s="45"/>
      <c r="R663" s="45"/>
      <c r="S663" s="42"/>
      <c r="T663" s="46"/>
      <c r="U663" s="46"/>
      <c r="V663" s="46"/>
      <c r="W663" s="46"/>
      <c r="X663" s="46"/>
      <c r="Y663" s="46"/>
      <c r="Z663" s="42"/>
      <c r="AA663" s="42"/>
      <c r="AB663" s="42"/>
      <c r="AC663" s="42"/>
      <c r="AD663" s="42"/>
      <c r="AE663" s="42"/>
      <c r="AF663" s="42"/>
      <c r="AG663" s="42"/>
      <c r="AH663" s="42"/>
      <c r="AI663" s="46"/>
      <c r="AJ663" s="42"/>
      <c r="AK663" s="42"/>
      <c r="AL663" s="42"/>
      <c r="AM663" s="42"/>
      <c r="AN663" s="47">
        <f t="shared" si="446"/>
        <v>0</v>
      </c>
      <c r="AO663" s="47">
        <f t="shared" si="447"/>
        <v>0</v>
      </c>
      <c r="AP663" s="42"/>
      <c r="AQ663" s="47"/>
      <c r="AR663" s="42"/>
      <c r="AS663" s="42"/>
      <c r="AT663" s="46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>
        <f t="shared" si="448"/>
        <v>0</v>
      </c>
      <c r="BF663" s="47"/>
      <c r="BG663" s="47"/>
      <c r="BH663" s="47"/>
      <c r="BI663" s="47"/>
      <c r="BJ663" s="47"/>
      <c r="BK663" s="47">
        <f t="shared" si="443"/>
        <v>0</v>
      </c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57">
        <f t="shared" si="452"/>
        <v>0</v>
      </c>
      <c r="CQ663" s="47"/>
      <c r="CR663" s="47">
        <f t="shared" si="453"/>
        <v>0</v>
      </c>
      <c r="CS663" s="47"/>
      <c r="CT663" s="47"/>
      <c r="CU663" s="47"/>
      <c r="CV663" s="47"/>
      <c r="CW663" s="47">
        <f t="shared" si="454"/>
        <v>0</v>
      </c>
      <c r="CX663" s="47"/>
      <c r="CY663" s="47">
        <f t="shared" si="455"/>
        <v>0</v>
      </c>
      <c r="CZ663" s="47"/>
      <c r="DA663" s="47"/>
      <c r="DB663" s="47"/>
      <c r="DC663" s="47"/>
      <c r="DD663" s="47">
        <f t="shared" si="444"/>
        <v>0</v>
      </c>
      <c r="DE663" s="47"/>
      <c r="DF663" s="47"/>
      <c r="DG663" s="47"/>
      <c r="DH663" s="47"/>
      <c r="DI663" s="47"/>
      <c r="DJ663" s="47"/>
      <c r="DK663" s="47"/>
      <c r="DL663" s="47">
        <f t="shared" si="456"/>
        <v>0</v>
      </c>
      <c r="DM663" s="47"/>
      <c r="DN663" s="47"/>
      <c r="DO663" s="47"/>
      <c r="DP663" s="47"/>
      <c r="DQ663" s="47"/>
      <c r="DR663" s="47"/>
      <c r="DS663" s="47"/>
      <c r="DT663" s="47"/>
      <c r="DU663" s="47"/>
      <c r="DV663" s="47"/>
      <c r="DW663" s="47"/>
      <c r="DX663" s="47">
        <f t="shared" si="457"/>
        <v>0</v>
      </c>
      <c r="DY663" s="47"/>
      <c r="DZ663" s="47"/>
      <c r="EA663" s="47"/>
      <c r="EB663" s="47"/>
      <c r="EC663" s="47"/>
      <c r="ED663" s="47"/>
      <c r="EE663" s="47">
        <f t="shared" si="462"/>
        <v>0</v>
      </c>
      <c r="EF663" s="47"/>
      <c r="EG663" s="47"/>
      <c r="EH663" s="47"/>
      <c r="EI663" s="47"/>
      <c r="EJ663" s="47"/>
      <c r="EK663" s="47">
        <f t="shared" si="460"/>
        <v>0</v>
      </c>
      <c r="EL663" s="46">
        <f t="shared" si="458"/>
        <v>0</v>
      </c>
      <c r="EM663" s="46"/>
      <c r="EN663" s="46">
        <f t="shared" si="459"/>
        <v>0</v>
      </c>
    </row>
    <row r="664" spans="2:144" s="48" customFormat="1" ht="15" customHeight="1" x14ac:dyDescent="0.25">
      <c r="B664" s="41">
        <v>39</v>
      </c>
      <c r="C664" s="42"/>
      <c r="D664" s="43"/>
      <c r="E664" s="42"/>
      <c r="F664" s="42"/>
      <c r="G664" s="42"/>
      <c r="H664" s="42"/>
      <c r="I664" s="42"/>
      <c r="J664" s="42"/>
      <c r="K664" s="42"/>
      <c r="L664" s="42"/>
      <c r="M664" s="42"/>
      <c r="N664" s="41"/>
      <c r="O664" s="41"/>
      <c r="P664" s="42"/>
      <c r="Q664" s="45"/>
      <c r="R664" s="45"/>
      <c r="S664" s="42"/>
      <c r="T664" s="46"/>
      <c r="U664" s="46"/>
      <c r="V664" s="46"/>
      <c r="W664" s="46"/>
      <c r="X664" s="46"/>
      <c r="Y664" s="46"/>
      <c r="Z664" s="42"/>
      <c r="AA664" s="42"/>
      <c r="AB664" s="42"/>
      <c r="AC664" s="42"/>
      <c r="AD664" s="42"/>
      <c r="AE664" s="42"/>
      <c r="AF664" s="42"/>
      <c r="AG664" s="42"/>
      <c r="AH664" s="42"/>
      <c r="AI664" s="46"/>
      <c r="AJ664" s="42"/>
      <c r="AK664" s="42"/>
      <c r="AL664" s="42"/>
      <c r="AM664" s="42"/>
      <c r="AN664" s="47">
        <f t="shared" si="446"/>
        <v>0</v>
      </c>
      <c r="AO664" s="47">
        <f t="shared" si="447"/>
        <v>0</v>
      </c>
      <c r="AP664" s="42"/>
      <c r="AQ664" s="47"/>
      <c r="AR664" s="42"/>
      <c r="AS664" s="42"/>
      <c r="AT664" s="46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>
        <f t="shared" si="448"/>
        <v>0</v>
      </c>
      <c r="BF664" s="47"/>
      <c r="BG664" s="47"/>
      <c r="BH664" s="47"/>
      <c r="BI664" s="47"/>
      <c r="BJ664" s="47"/>
      <c r="BK664" s="47">
        <f t="shared" si="443"/>
        <v>0</v>
      </c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57">
        <f t="shared" si="452"/>
        <v>0</v>
      </c>
      <c r="CQ664" s="47"/>
      <c r="CR664" s="47">
        <f t="shared" si="453"/>
        <v>0</v>
      </c>
      <c r="CS664" s="47"/>
      <c r="CT664" s="47"/>
      <c r="CU664" s="47"/>
      <c r="CV664" s="47"/>
      <c r="CW664" s="47">
        <f t="shared" si="454"/>
        <v>0</v>
      </c>
      <c r="CX664" s="47"/>
      <c r="CY664" s="47">
        <f t="shared" si="455"/>
        <v>0</v>
      </c>
      <c r="CZ664" s="47"/>
      <c r="DA664" s="47"/>
      <c r="DB664" s="47"/>
      <c r="DC664" s="47"/>
      <c r="DD664" s="47">
        <f t="shared" si="444"/>
        <v>0</v>
      </c>
      <c r="DE664" s="47"/>
      <c r="DF664" s="47"/>
      <c r="DG664" s="47"/>
      <c r="DH664" s="47"/>
      <c r="DI664" s="47"/>
      <c r="DJ664" s="47"/>
      <c r="DK664" s="47"/>
      <c r="DL664" s="47">
        <f t="shared" si="456"/>
        <v>0</v>
      </c>
      <c r="DM664" s="47"/>
      <c r="DN664" s="47"/>
      <c r="DO664" s="47"/>
      <c r="DP664" s="47"/>
      <c r="DQ664" s="47"/>
      <c r="DR664" s="47"/>
      <c r="DS664" s="47"/>
      <c r="DT664" s="47"/>
      <c r="DU664" s="47"/>
      <c r="DV664" s="47"/>
      <c r="DW664" s="47"/>
      <c r="DX664" s="47">
        <f t="shared" si="457"/>
        <v>0</v>
      </c>
      <c r="DY664" s="47"/>
      <c r="DZ664" s="47"/>
      <c r="EA664" s="47"/>
      <c r="EB664" s="47"/>
      <c r="EC664" s="47"/>
      <c r="ED664" s="47"/>
      <c r="EE664" s="47">
        <f t="shared" si="462"/>
        <v>0</v>
      </c>
      <c r="EF664" s="47"/>
      <c r="EG664" s="47"/>
      <c r="EH664" s="47"/>
      <c r="EI664" s="47"/>
      <c r="EJ664" s="47"/>
      <c r="EK664" s="47">
        <f t="shared" si="460"/>
        <v>0</v>
      </c>
      <c r="EL664" s="46">
        <f t="shared" si="458"/>
        <v>0</v>
      </c>
      <c r="EM664" s="46"/>
      <c r="EN664" s="46">
        <f t="shared" si="459"/>
        <v>0</v>
      </c>
    </row>
    <row r="665" spans="2:144" s="48" customFormat="1" ht="15" customHeight="1" x14ac:dyDescent="0.25">
      <c r="B665" s="41">
        <v>40</v>
      </c>
      <c r="C665" s="42"/>
      <c r="D665" s="43"/>
      <c r="E665" s="42"/>
      <c r="F665" s="42"/>
      <c r="G665" s="42"/>
      <c r="H665" s="42"/>
      <c r="I665" s="42"/>
      <c r="J665" s="42"/>
      <c r="K665" s="42"/>
      <c r="L665" s="42"/>
      <c r="M665" s="42"/>
      <c r="N665" s="41"/>
      <c r="O665" s="41"/>
      <c r="P665" s="42"/>
      <c r="Q665" s="45"/>
      <c r="R665" s="45"/>
      <c r="S665" s="42"/>
      <c r="T665" s="46"/>
      <c r="U665" s="46"/>
      <c r="V665" s="46"/>
      <c r="W665" s="46"/>
      <c r="X665" s="46"/>
      <c r="Y665" s="46"/>
      <c r="Z665" s="42"/>
      <c r="AA665" s="42"/>
      <c r="AB665" s="42"/>
      <c r="AC665" s="42"/>
      <c r="AD665" s="42"/>
      <c r="AE665" s="42"/>
      <c r="AF665" s="42"/>
      <c r="AG665" s="42"/>
      <c r="AH665" s="42"/>
      <c r="AI665" s="46"/>
      <c r="AJ665" s="42"/>
      <c r="AK665" s="42"/>
      <c r="AL665" s="42"/>
      <c r="AM665" s="42"/>
      <c r="AN665" s="47">
        <f t="shared" si="446"/>
        <v>0</v>
      </c>
      <c r="AO665" s="47">
        <f t="shared" si="447"/>
        <v>0</v>
      </c>
      <c r="AP665" s="42"/>
      <c r="AQ665" s="47"/>
      <c r="AR665" s="42"/>
      <c r="AS665" s="42"/>
      <c r="AT665" s="46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>
        <f t="shared" si="448"/>
        <v>0</v>
      </c>
      <c r="BF665" s="47"/>
      <c r="BG665" s="47"/>
      <c r="BH665" s="47"/>
      <c r="BI665" s="47"/>
      <c r="BJ665" s="47"/>
      <c r="BK665" s="47">
        <f t="shared" si="443"/>
        <v>0</v>
      </c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57">
        <f t="shared" si="452"/>
        <v>0</v>
      </c>
      <c r="CQ665" s="47"/>
      <c r="CR665" s="47">
        <f t="shared" si="453"/>
        <v>0</v>
      </c>
      <c r="CS665" s="47"/>
      <c r="CT665" s="47"/>
      <c r="CU665" s="47"/>
      <c r="CV665" s="47"/>
      <c r="CW665" s="47">
        <f t="shared" si="454"/>
        <v>0</v>
      </c>
      <c r="CX665" s="47"/>
      <c r="CY665" s="47">
        <f t="shared" si="455"/>
        <v>0</v>
      </c>
      <c r="CZ665" s="47"/>
      <c r="DA665" s="47"/>
      <c r="DB665" s="47"/>
      <c r="DC665" s="47"/>
      <c r="DD665" s="47">
        <f t="shared" si="444"/>
        <v>0</v>
      </c>
      <c r="DE665" s="47"/>
      <c r="DF665" s="47"/>
      <c r="DG665" s="47"/>
      <c r="DH665" s="47"/>
      <c r="DI665" s="47"/>
      <c r="DJ665" s="47"/>
      <c r="DK665" s="47"/>
      <c r="DL665" s="47">
        <f t="shared" si="456"/>
        <v>0</v>
      </c>
      <c r="DM665" s="47"/>
      <c r="DN665" s="47"/>
      <c r="DO665" s="47"/>
      <c r="DP665" s="47"/>
      <c r="DQ665" s="47"/>
      <c r="DR665" s="47"/>
      <c r="DS665" s="47"/>
      <c r="DT665" s="47"/>
      <c r="DU665" s="47"/>
      <c r="DV665" s="47"/>
      <c r="DW665" s="47"/>
      <c r="DX665" s="47">
        <f t="shared" si="457"/>
        <v>0</v>
      </c>
      <c r="DY665" s="47"/>
      <c r="DZ665" s="47"/>
      <c r="EA665" s="47"/>
      <c r="EB665" s="47"/>
      <c r="EC665" s="47"/>
      <c r="ED665" s="47"/>
      <c r="EE665" s="47">
        <f t="shared" si="462"/>
        <v>0</v>
      </c>
      <c r="EF665" s="47"/>
      <c r="EG665" s="47"/>
      <c r="EH665" s="47"/>
      <c r="EI665" s="47"/>
      <c r="EJ665" s="47"/>
      <c r="EK665" s="47">
        <f t="shared" si="460"/>
        <v>0</v>
      </c>
      <c r="EL665" s="46">
        <f t="shared" si="458"/>
        <v>0</v>
      </c>
      <c r="EM665" s="46"/>
      <c r="EN665" s="46">
        <f t="shared" si="459"/>
        <v>0</v>
      </c>
    </row>
    <row r="666" spans="2:144" s="48" customFormat="1" ht="15" customHeight="1" x14ac:dyDescent="0.25">
      <c r="B666" s="41">
        <v>41</v>
      </c>
      <c r="C666" s="42"/>
      <c r="D666" s="43"/>
      <c r="E666" s="42"/>
      <c r="F666" s="42"/>
      <c r="G666" s="42"/>
      <c r="H666" s="42"/>
      <c r="I666" s="42"/>
      <c r="J666" s="42"/>
      <c r="K666" s="42"/>
      <c r="L666" s="42"/>
      <c r="M666" s="42"/>
      <c r="N666" s="41"/>
      <c r="O666" s="41"/>
      <c r="P666" s="42"/>
      <c r="Q666" s="45"/>
      <c r="R666" s="45"/>
      <c r="S666" s="42"/>
      <c r="T666" s="46"/>
      <c r="U666" s="46"/>
      <c r="V666" s="46"/>
      <c r="W666" s="46"/>
      <c r="X666" s="46"/>
      <c r="Y666" s="46"/>
      <c r="Z666" s="42"/>
      <c r="AA666" s="42"/>
      <c r="AB666" s="42"/>
      <c r="AC666" s="42"/>
      <c r="AD666" s="42"/>
      <c r="AE666" s="42"/>
      <c r="AF666" s="42"/>
      <c r="AG666" s="42"/>
      <c r="AH666" s="42"/>
      <c r="AI666" s="46"/>
      <c r="AJ666" s="42"/>
      <c r="AK666" s="42"/>
      <c r="AL666" s="42"/>
      <c r="AM666" s="42"/>
      <c r="AN666" s="47">
        <f t="shared" si="446"/>
        <v>0</v>
      </c>
      <c r="AO666" s="47">
        <f t="shared" si="447"/>
        <v>0</v>
      </c>
      <c r="AP666" s="42"/>
      <c r="AQ666" s="47"/>
      <c r="AR666" s="42"/>
      <c r="AS666" s="42"/>
      <c r="AT666" s="46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>
        <f t="shared" si="448"/>
        <v>0</v>
      </c>
      <c r="BF666" s="47"/>
      <c r="BG666" s="47"/>
      <c r="BH666" s="47"/>
      <c r="BI666" s="47"/>
      <c r="BJ666" s="47"/>
      <c r="BK666" s="47">
        <f t="shared" si="443"/>
        <v>0</v>
      </c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57">
        <f t="shared" si="452"/>
        <v>0</v>
      </c>
      <c r="CQ666" s="47"/>
      <c r="CR666" s="47">
        <f t="shared" si="453"/>
        <v>0</v>
      </c>
      <c r="CS666" s="47"/>
      <c r="CT666" s="47"/>
      <c r="CU666" s="47"/>
      <c r="CV666" s="47"/>
      <c r="CW666" s="47">
        <f t="shared" si="454"/>
        <v>0</v>
      </c>
      <c r="CX666" s="47"/>
      <c r="CY666" s="47">
        <f t="shared" si="455"/>
        <v>0</v>
      </c>
      <c r="CZ666" s="47"/>
      <c r="DA666" s="47"/>
      <c r="DB666" s="47"/>
      <c r="DC666" s="47"/>
      <c r="DD666" s="47">
        <f t="shared" si="444"/>
        <v>0</v>
      </c>
      <c r="DE666" s="47"/>
      <c r="DF666" s="47"/>
      <c r="DG666" s="47"/>
      <c r="DH666" s="47"/>
      <c r="DI666" s="47"/>
      <c r="DJ666" s="47"/>
      <c r="DK666" s="47"/>
      <c r="DL666" s="47">
        <f t="shared" si="456"/>
        <v>0</v>
      </c>
      <c r="DM666" s="47"/>
      <c r="DN666" s="47"/>
      <c r="DO666" s="47"/>
      <c r="DP666" s="47"/>
      <c r="DQ666" s="47"/>
      <c r="DR666" s="47"/>
      <c r="DS666" s="47"/>
      <c r="DT666" s="47"/>
      <c r="DU666" s="47"/>
      <c r="DV666" s="47"/>
      <c r="DW666" s="47"/>
      <c r="DX666" s="47">
        <f t="shared" si="457"/>
        <v>0</v>
      </c>
      <c r="DY666" s="47"/>
      <c r="DZ666" s="47"/>
      <c r="EA666" s="47"/>
      <c r="EB666" s="47"/>
      <c r="EC666" s="47"/>
      <c r="ED666" s="47"/>
      <c r="EE666" s="47">
        <f t="shared" si="462"/>
        <v>0</v>
      </c>
      <c r="EF666" s="47"/>
      <c r="EG666" s="47"/>
      <c r="EH666" s="47"/>
      <c r="EI666" s="47"/>
      <c r="EJ666" s="47"/>
      <c r="EK666" s="47">
        <f t="shared" si="460"/>
        <v>0</v>
      </c>
      <c r="EL666" s="46">
        <f t="shared" si="458"/>
        <v>0</v>
      </c>
      <c r="EM666" s="46"/>
      <c r="EN666" s="46">
        <f t="shared" si="459"/>
        <v>0</v>
      </c>
    </row>
    <row r="667" spans="2:144" ht="15" customHeight="1" x14ac:dyDescent="0.25">
      <c r="B667" s="88">
        <v>42</v>
      </c>
      <c r="C667" s="86"/>
      <c r="D667" s="87"/>
      <c r="E667" s="86"/>
      <c r="F667" s="86"/>
      <c r="G667" s="86"/>
      <c r="H667" s="86"/>
      <c r="I667" s="86"/>
      <c r="J667" s="86"/>
      <c r="K667" s="86"/>
      <c r="L667" s="86"/>
      <c r="M667" s="86"/>
      <c r="N667" s="88"/>
      <c r="O667" s="88"/>
      <c r="P667" s="86"/>
      <c r="Q667" s="89"/>
      <c r="R667" s="89"/>
      <c r="S667" s="86"/>
      <c r="T667" s="46"/>
      <c r="U667" s="90"/>
      <c r="V667" s="90"/>
      <c r="W667" s="90"/>
      <c r="X667" s="90"/>
      <c r="Y667" s="90"/>
      <c r="Z667" s="86"/>
      <c r="AA667" s="86"/>
      <c r="AB667" s="86"/>
      <c r="AC667" s="86"/>
      <c r="AD667" s="86"/>
      <c r="AE667" s="86"/>
      <c r="AF667" s="86"/>
      <c r="AG667" s="86"/>
      <c r="AH667" s="86"/>
      <c r="AI667" s="90"/>
      <c r="AJ667" s="86"/>
      <c r="AK667" s="86"/>
      <c r="AL667" s="86"/>
      <c r="AM667" s="86"/>
      <c r="AN667" s="64">
        <f t="shared" si="446"/>
        <v>0</v>
      </c>
      <c r="AO667" s="64">
        <f t="shared" si="447"/>
        <v>0</v>
      </c>
      <c r="AP667" s="86"/>
      <c r="AQ667" s="64"/>
      <c r="AR667" s="86"/>
      <c r="AS667" s="86"/>
      <c r="AT667" s="90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>
        <f t="shared" si="448"/>
        <v>0</v>
      </c>
      <c r="BF667" s="64"/>
      <c r="BG667" s="64"/>
      <c r="BH667" s="64"/>
      <c r="BI667" s="64"/>
      <c r="BJ667" s="64"/>
      <c r="BK667" s="47">
        <f t="shared" si="443"/>
        <v>0</v>
      </c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57">
        <f t="shared" si="452"/>
        <v>0</v>
      </c>
      <c r="CQ667" s="64"/>
      <c r="CR667" s="64">
        <f t="shared" si="453"/>
        <v>0</v>
      </c>
      <c r="CS667" s="64"/>
      <c r="CT667" s="64"/>
      <c r="CU667" s="64"/>
      <c r="CV667" s="64"/>
      <c r="CW667" s="64">
        <f t="shared" si="454"/>
        <v>0</v>
      </c>
      <c r="CX667" s="64"/>
      <c r="CY667" s="47">
        <f t="shared" si="455"/>
        <v>0</v>
      </c>
      <c r="CZ667" s="64"/>
      <c r="DA667" s="64"/>
      <c r="DB667" s="64"/>
      <c r="DC667" s="64"/>
      <c r="DD667" s="64">
        <f t="shared" si="444"/>
        <v>0</v>
      </c>
      <c r="DE667" s="64"/>
      <c r="DF667" s="64"/>
      <c r="DG667" s="64"/>
      <c r="DH667" s="64"/>
      <c r="DI667" s="64"/>
      <c r="DJ667" s="64"/>
      <c r="DK667" s="64"/>
      <c r="DL667" s="64">
        <f t="shared" si="456"/>
        <v>0</v>
      </c>
      <c r="DM667" s="64"/>
      <c r="DN667" s="64"/>
      <c r="DO667" s="64"/>
      <c r="DP667" s="64"/>
      <c r="DQ667" s="64"/>
      <c r="DR667" s="64"/>
      <c r="DS667" s="64"/>
      <c r="DT667" s="64"/>
      <c r="DU667" s="64"/>
      <c r="DV667" s="64"/>
      <c r="DW667" s="64"/>
      <c r="DX667" s="64">
        <f t="shared" si="457"/>
        <v>0</v>
      </c>
      <c r="DY667" s="64"/>
      <c r="DZ667" s="64"/>
      <c r="EA667" s="64"/>
      <c r="EB667" s="64"/>
      <c r="EC667" s="64"/>
      <c r="ED667" s="64"/>
      <c r="EE667" s="47">
        <f t="shared" si="462"/>
        <v>0</v>
      </c>
      <c r="EF667" s="64"/>
      <c r="EG667" s="64"/>
      <c r="EH667" s="64"/>
      <c r="EI667" s="64"/>
      <c r="EJ667" s="64"/>
      <c r="EK667" s="64">
        <f t="shared" si="460"/>
        <v>0</v>
      </c>
      <c r="EL667" s="90">
        <f t="shared" si="458"/>
        <v>0</v>
      </c>
      <c r="EM667" s="90"/>
      <c r="EN667" s="90">
        <f t="shared" si="459"/>
        <v>0</v>
      </c>
    </row>
    <row r="668" spans="2:144" ht="15" customHeight="1" x14ac:dyDescent="0.25">
      <c r="B668" s="88">
        <v>43</v>
      </c>
      <c r="C668" s="86"/>
      <c r="D668" s="87"/>
      <c r="E668" s="86"/>
      <c r="F668" s="86"/>
      <c r="G668" s="86"/>
      <c r="H668" s="86"/>
      <c r="I668" s="86"/>
      <c r="J668" s="86"/>
      <c r="K668" s="86"/>
      <c r="L668" s="86"/>
      <c r="M668" s="86"/>
      <c r="N668" s="88"/>
      <c r="O668" s="88"/>
      <c r="P668" s="86"/>
      <c r="Q668" s="89"/>
      <c r="R668" s="89"/>
      <c r="S668" s="86"/>
      <c r="T668" s="46"/>
      <c r="U668" s="90"/>
      <c r="V668" s="90"/>
      <c r="W668" s="90"/>
      <c r="X668" s="90"/>
      <c r="Y668" s="90"/>
      <c r="Z668" s="86"/>
      <c r="AA668" s="86"/>
      <c r="AB668" s="86"/>
      <c r="AC668" s="86"/>
      <c r="AD668" s="86"/>
      <c r="AE668" s="86"/>
      <c r="AF668" s="86"/>
      <c r="AG668" s="86"/>
      <c r="AH668" s="86"/>
      <c r="AI668" s="90"/>
      <c r="AJ668" s="86"/>
      <c r="AK668" s="86"/>
      <c r="AL668" s="86"/>
      <c r="AM668" s="86"/>
      <c r="AN668" s="64">
        <f t="shared" si="446"/>
        <v>0</v>
      </c>
      <c r="AO668" s="64">
        <f t="shared" si="447"/>
        <v>0</v>
      </c>
      <c r="AP668" s="86"/>
      <c r="AQ668" s="64"/>
      <c r="AR668" s="86"/>
      <c r="AS668" s="86"/>
      <c r="AT668" s="90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>
        <f t="shared" si="448"/>
        <v>0</v>
      </c>
      <c r="BF668" s="64"/>
      <c r="BG668" s="64"/>
      <c r="BH668" s="64"/>
      <c r="BI668" s="64"/>
      <c r="BJ668" s="64"/>
      <c r="BK668" s="47">
        <f t="shared" si="443"/>
        <v>0</v>
      </c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57">
        <f t="shared" si="452"/>
        <v>0</v>
      </c>
      <c r="CQ668" s="64"/>
      <c r="CR668" s="64">
        <f t="shared" si="453"/>
        <v>0</v>
      </c>
      <c r="CS668" s="64"/>
      <c r="CT668" s="64"/>
      <c r="CU668" s="64"/>
      <c r="CV668" s="64"/>
      <c r="CW668" s="64">
        <f t="shared" si="454"/>
        <v>0</v>
      </c>
      <c r="CX668" s="64"/>
      <c r="CY668" s="47">
        <f t="shared" si="455"/>
        <v>0</v>
      </c>
      <c r="CZ668" s="64"/>
      <c r="DA668" s="64"/>
      <c r="DB668" s="64"/>
      <c r="DC668" s="64"/>
      <c r="DD668" s="64">
        <f t="shared" si="444"/>
        <v>0</v>
      </c>
      <c r="DE668" s="64"/>
      <c r="DF668" s="64"/>
      <c r="DG668" s="64"/>
      <c r="DH668" s="64"/>
      <c r="DI668" s="64"/>
      <c r="DJ668" s="64"/>
      <c r="DK668" s="64"/>
      <c r="DL668" s="64">
        <f t="shared" si="456"/>
        <v>0</v>
      </c>
      <c r="DM668" s="64"/>
      <c r="DN668" s="64"/>
      <c r="DO668" s="64"/>
      <c r="DP668" s="64"/>
      <c r="DQ668" s="64"/>
      <c r="DR668" s="64"/>
      <c r="DS668" s="64"/>
      <c r="DT668" s="64"/>
      <c r="DU668" s="64"/>
      <c r="DV668" s="64"/>
      <c r="DW668" s="64"/>
      <c r="DX668" s="64">
        <f t="shared" si="457"/>
        <v>0</v>
      </c>
      <c r="DY668" s="64"/>
      <c r="DZ668" s="64"/>
      <c r="EA668" s="64"/>
      <c r="EB668" s="64"/>
      <c r="EC668" s="64"/>
      <c r="ED668" s="64"/>
      <c r="EE668" s="47">
        <f t="shared" si="462"/>
        <v>0</v>
      </c>
      <c r="EF668" s="64"/>
      <c r="EG668" s="64"/>
      <c r="EH668" s="64"/>
      <c r="EI668" s="64"/>
      <c r="EJ668" s="64"/>
      <c r="EK668" s="64">
        <f t="shared" si="460"/>
        <v>0</v>
      </c>
      <c r="EL668" s="90">
        <f t="shared" si="458"/>
        <v>0</v>
      </c>
      <c r="EM668" s="90"/>
      <c r="EN668" s="90">
        <f t="shared" si="459"/>
        <v>0</v>
      </c>
    </row>
    <row r="669" spans="2:144" ht="15" customHeight="1" x14ac:dyDescent="0.25">
      <c r="B669" s="88">
        <v>44</v>
      </c>
      <c r="C669" s="86"/>
      <c r="D669" s="87"/>
      <c r="E669" s="86"/>
      <c r="F669" s="86"/>
      <c r="G669" s="86"/>
      <c r="H669" s="86"/>
      <c r="I669" s="86"/>
      <c r="J669" s="86"/>
      <c r="K669" s="86"/>
      <c r="L669" s="86"/>
      <c r="M669" s="86"/>
      <c r="N669" s="88"/>
      <c r="O669" s="88"/>
      <c r="P669" s="86"/>
      <c r="Q669" s="89"/>
      <c r="R669" s="89"/>
      <c r="S669" s="86"/>
      <c r="T669" s="46"/>
      <c r="U669" s="90"/>
      <c r="V669" s="90"/>
      <c r="W669" s="90"/>
      <c r="X669" s="90"/>
      <c r="Y669" s="90"/>
      <c r="Z669" s="86"/>
      <c r="AA669" s="86"/>
      <c r="AB669" s="86"/>
      <c r="AC669" s="86"/>
      <c r="AD669" s="86"/>
      <c r="AE669" s="86"/>
      <c r="AF669" s="86"/>
      <c r="AG669" s="86"/>
      <c r="AH669" s="86"/>
      <c r="AI669" s="90"/>
      <c r="AJ669" s="86"/>
      <c r="AK669" s="86"/>
      <c r="AL669" s="86"/>
      <c r="AM669" s="86"/>
      <c r="AN669" s="64">
        <f t="shared" si="446"/>
        <v>0</v>
      </c>
      <c r="AO669" s="64">
        <f t="shared" si="447"/>
        <v>0</v>
      </c>
      <c r="AP669" s="86"/>
      <c r="AQ669" s="64"/>
      <c r="AR669" s="86"/>
      <c r="AS669" s="86"/>
      <c r="AT669" s="90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>
        <f t="shared" si="448"/>
        <v>0</v>
      </c>
      <c r="BF669" s="64"/>
      <c r="BG669" s="64"/>
      <c r="BH669" s="64"/>
      <c r="BI669" s="64"/>
      <c r="BJ669" s="64"/>
      <c r="BK669" s="47">
        <f t="shared" si="443"/>
        <v>0</v>
      </c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57">
        <f t="shared" si="452"/>
        <v>0</v>
      </c>
      <c r="CQ669" s="64"/>
      <c r="CR669" s="64">
        <f t="shared" si="453"/>
        <v>0</v>
      </c>
      <c r="CS669" s="64"/>
      <c r="CT669" s="64"/>
      <c r="CU669" s="64"/>
      <c r="CV669" s="64"/>
      <c r="CW669" s="64">
        <f t="shared" si="454"/>
        <v>0</v>
      </c>
      <c r="CX669" s="64"/>
      <c r="CY669" s="47">
        <f t="shared" si="455"/>
        <v>0</v>
      </c>
      <c r="CZ669" s="64"/>
      <c r="DA669" s="64"/>
      <c r="DB669" s="64"/>
      <c r="DC669" s="64"/>
      <c r="DD669" s="64">
        <f t="shared" si="444"/>
        <v>0</v>
      </c>
      <c r="DE669" s="64"/>
      <c r="DF669" s="64"/>
      <c r="DG669" s="64"/>
      <c r="DH669" s="64"/>
      <c r="DI669" s="64"/>
      <c r="DJ669" s="64"/>
      <c r="DK669" s="64"/>
      <c r="DL669" s="64">
        <f t="shared" si="456"/>
        <v>0</v>
      </c>
      <c r="DM669" s="64"/>
      <c r="DN669" s="64"/>
      <c r="DO669" s="64"/>
      <c r="DP669" s="64"/>
      <c r="DQ669" s="64"/>
      <c r="DR669" s="64"/>
      <c r="DS669" s="64"/>
      <c r="DT669" s="64"/>
      <c r="DU669" s="64"/>
      <c r="DV669" s="64"/>
      <c r="DW669" s="64"/>
      <c r="DX669" s="64">
        <f t="shared" si="457"/>
        <v>0</v>
      </c>
      <c r="DY669" s="64"/>
      <c r="DZ669" s="64"/>
      <c r="EA669" s="64"/>
      <c r="EB669" s="64"/>
      <c r="EC669" s="64"/>
      <c r="ED669" s="64"/>
      <c r="EE669" s="47">
        <f t="shared" si="462"/>
        <v>0</v>
      </c>
      <c r="EF669" s="64"/>
      <c r="EG669" s="64"/>
      <c r="EH669" s="64"/>
      <c r="EI669" s="64"/>
      <c r="EJ669" s="64"/>
      <c r="EK669" s="64">
        <f t="shared" si="460"/>
        <v>0</v>
      </c>
      <c r="EL669" s="90">
        <f t="shared" si="458"/>
        <v>0</v>
      </c>
      <c r="EM669" s="90"/>
      <c r="EN669" s="90">
        <f t="shared" si="459"/>
        <v>0</v>
      </c>
    </row>
    <row r="670" spans="2:144" ht="15" customHeight="1" x14ac:dyDescent="0.25">
      <c r="B670" s="88">
        <v>45</v>
      </c>
      <c r="C670" s="161"/>
      <c r="D670" s="162"/>
      <c r="E670" s="161"/>
      <c r="F670" s="161"/>
      <c r="G670" s="161"/>
      <c r="H670" s="161"/>
      <c r="I670" s="161"/>
      <c r="J670" s="161"/>
      <c r="K670" s="86"/>
      <c r="L670" s="161"/>
      <c r="M670" s="161"/>
      <c r="N670" s="163"/>
      <c r="O670" s="163"/>
      <c r="P670" s="161"/>
      <c r="Q670" s="164"/>
      <c r="R670" s="164"/>
      <c r="S670" s="161"/>
      <c r="T670" s="46"/>
      <c r="U670" s="165"/>
      <c r="V670" s="165"/>
      <c r="W670" s="165"/>
      <c r="X670" s="165"/>
      <c r="Y670" s="165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5"/>
      <c r="AJ670" s="161"/>
      <c r="AK670" s="161"/>
      <c r="AL670" s="161"/>
      <c r="AM670" s="161"/>
      <c r="AN670" s="64">
        <f t="shared" si="446"/>
        <v>0</v>
      </c>
      <c r="AO670" s="64">
        <f t="shared" si="447"/>
        <v>0</v>
      </c>
      <c r="AP670" s="161"/>
      <c r="AQ670" s="166"/>
      <c r="AR670" s="161"/>
      <c r="AS670" s="161"/>
      <c r="AT670" s="165"/>
      <c r="AU670" s="166"/>
      <c r="AV670" s="166"/>
      <c r="AW670" s="166"/>
      <c r="AX670" s="166"/>
      <c r="AY670" s="166"/>
      <c r="AZ670" s="166"/>
      <c r="BA670" s="166"/>
      <c r="BB670" s="166"/>
      <c r="BC670" s="64"/>
      <c r="BD670" s="166"/>
      <c r="BE670" s="166">
        <f t="shared" si="448"/>
        <v>0</v>
      </c>
      <c r="BF670" s="166"/>
      <c r="BG670" s="166"/>
      <c r="BH670" s="166"/>
      <c r="BI670" s="166"/>
      <c r="BJ670" s="166"/>
      <c r="BK670" s="47">
        <f t="shared" si="443"/>
        <v>0</v>
      </c>
      <c r="BL670" s="166"/>
      <c r="BM670" s="166"/>
      <c r="BN670" s="166"/>
      <c r="BO670" s="166"/>
      <c r="BP670" s="166"/>
      <c r="BQ670" s="166"/>
      <c r="BR670" s="166"/>
      <c r="BS670" s="166"/>
      <c r="BT670" s="166"/>
      <c r="BU670" s="166"/>
      <c r="BV670" s="166"/>
      <c r="BW670" s="166"/>
      <c r="BX670" s="166"/>
      <c r="BY670" s="166"/>
      <c r="BZ670" s="166"/>
      <c r="CA670" s="166"/>
      <c r="CB670" s="166"/>
      <c r="CC670" s="166"/>
      <c r="CD670" s="166"/>
      <c r="CE670" s="166"/>
      <c r="CF670" s="166"/>
      <c r="CG670" s="166"/>
      <c r="CH670" s="166"/>
      <c r="CI670" s="166"/>
      <c r="CJ670" s="166"/>
      <c r="CK670" s="166"/>
      <c r="CL670" s="166"/>
      <c r="CM670" s="166"/>
      <c r="CN670" s="166"/>
      <c r="CO670" s="166"/>
      <c r="CP670" s="57">
        <f t="shared" si="452"/>
        <v>0</v>
      </c>
      <c r="CQ670" s="166"/>
      <c r="CR670" s="64">
        <f t="shared" si="453"/>
        <v>0</v>
      </c>
      <c r="CS670" s="166"/>
      <c r="CT670" s="166"/>
      <c r="CU670" s="166"/>
      <c r="CV670" s="166"/>
      <c r="CW670" s="166">
        <f t="shared" si="454"/>
        <v>0</v>
      </c>
      <c r="CX670" s="166"/>
      <c r="CY670" s="47">
        <f t="shared" si="455"/>
        <v>0</v>
      </c>
      <c r="CZ670" s="166"/>
      <c r="DA670" s="166"/>
      <c r="DB670" s="166"/>
      <c r="DC670" s="166"/>
      <c r="DD670" s="166"/>
      <c r="DE670" s="166"/>
      <c r="DF670" s="166"/>
      <c r="DG670" s="166"/>
      <c r="DH670" s="166"/>
      <c r="DI670" s="166"/>
      <c r="DJ670" s="166"/>
      <c r="DK670" s="166"/>
      <c r="DL670" s="166">
        <f t="shared" si="456"/>
        <v>0</v>
      </c>
      <c r="DM670" s="166"/>
      <c r="DN670" s="166"/>
      <c r="DO670" s="166"/>
      <c r="DP670" s="166"/>
      <c r="DQ670" s="166"/>
      <c r="DR670" s="166"/>
      <c r="DS670" s="166"/>
      <c r="DT670" s="166"/>
      <c r="DU670" s="166"/>
      <c r="DV670" s="166"/>
      <c r="DW670" s="166"/>
      <c r="DX670" s="166">
        <f t="shared" si="457"/>
        <v>0</v>
      </c>
      <c r="DY670" s="166"/>
      <c r="DZ670" s="166"/>
      <c r="EA670" s="166"/>
      <c r="EB670" s="166"/>
      <c r="EC670" s="166"/>
      <c r="ED670" s="166"/>
      <c r="EE670" s="47">
        <f>+AW670+BE670+BM670+CR670+CY670+DF670+DL670+DX670+DY670+DZ670+EB670+EC670</f>
        <v>0</v>
      </c>
      <c r="EF670" s="166"/>
      <c r="EG670" s="166"/>
      <c r="EH670" s="166"/>
      <c r="EI670" s="166"/>
      <c r="EJ670" s="166"/>
      <c r="EK670" s="166">
        <f t="shared" si="460"/>
        <v>0</v>
      </c>
      <c r="EL670" s="165">
        <f t="shared" si="458"/>
        <v>0</v>
      </c>
      <c r="EM670" s="165"/>
      <c r="EN670" s="90">
        <f t="shared" si="459"/>
        <v>0</v>
      </c>
    </row>
    <row r="671" spans="2:144" s="86" customFormat="1" ht="15" customHeight="1" x14ac:dyDescent="0.25">
      <c r="B671" s="88">
        <v>46</v>
      </c>
      <c r="D671" s="87"/>
      <c r="N671" s="88"/>
      <c r="O671" s="88"/>
      <c r="Q671" s="89"/>
      <c r="T671" s="46"/>
      <c r="X671" s="167"/>
      <c r="AN671" s="64">
        <f t="shared" si="446"/>
        <v>0</v>
      </c>
      <c r="AO671" s="64">
        <f t="shared" si="447"/>
        <v>0</v>
      </c>
      <c r="BC671" s="64"/>
      <c r="BE671" s="86">
        <v>0</v>
      </c>
      <c r="BK671" s="47">
        <f t="shared" si="443"/>
        <v>0</v>
      </c>
      <c r="CP671" s="57">
        <f t="shared" si="452"/>
        <v>0</v>
      </c>
      <c r="CQ671" s="167"/>
      <c r="CR671" s="64">
        <f t="shared" si="453"/>
        <v>0</v>
      </c>
      <c r="CW671" s="86">
        <v>0</v>
      </c>
      <c r="CY671" s="47">
        <f t="shared" si="455"/>
        <v>0</v>
      </c>
      <c r="DD671" s="86">
        <v>0</v>
      </c>
      <c r="DL671" s="86">
        <v>0</v>
      </c>
      <c r="DX671" s="86">
        <v>0</v>
      </c>
      <c r="EB671" s="167"/>
      <c r="EC671" s="167"/>
      <c r="ED671" s="167"/>
      <c r="EE671" s="47">
        <f t="shared" si="462"/>
        <v>0</v>
      </c>
      <c r="EK671" s="86">
        <v>0</v>
      </c>
      <c r="EL671" s="165">
        <f t="shared" si="458"/>
        <v>0</v>
      </c>
      <c r="EN671" s="90">
        <f t="shared" si="459"/>
        <v>0</v>
      </c>
    </row>
    <row r="672" spans="2:144" s="86" customFormat="1" ht="15" customHeight="1" x14ac:dyDescent="0.25">
      <c r="B672" s="88">
        <v>47</v>
      </c>
      <c r="D672" s="87"/>
      <c r="N672" s="88"/>
      <c r="O672" s="88"/>
      <c r="Q672" s="89"/>
      <c r="T672" s="46"/>
      <c r="X672" s="167"/>
      <c r="AN672" s="64">
        <f t="shared" si="446"/>
        <v>0</v>
      </c>
      <c r="AO672" s="64">
        <f t="shared" si="447"/>
        <v>0</v>
      </c>
      <c r="BC672" s="64"/>
      <c r="BE672" s="86">
        <v>0</v>
      </c>
      <c r="BK672" s="47">
        <f t="shared" si="443"/>
        <v>0</v>
      </c>
      <c r="CP672" s="57">
        <f t="shared" si="452"/>
        <v>0</v>
      </c>
      <c r="CQ672" s="167"/>
      <c r="CR672" s="64">
        <f t="shared" si="453"/>
        <v>0</v>
      </c>
      <c r="CW672" s="86">
        <v>0</v>
      </c>
      <c r="CY672" s="47">
        <f t="shared" si="455"/>
        <v>0</v>
      </c>
      <c r="DD672" s="86">
        <v>0</v>
      </c>
      <c r="DL672" s="86">
        <v>0</v>
      </c>
      <c r="DX672" s="86">
        <v>0</v>
      </c>
      <c r="EB672" s="167"/>
      <c r="EC672" s="167"/>
      <c r="ED672" s="167"/>
      <c r="EE672" s="47">
        <f t="shared" si="462"/>
        <v>0</v>
      </c>
      <c r="EK672" s="86">
        <v>0</v>
      </c>
      <c r="EL672" s="165">
        <f t="shared" si="458"/>
        <v>0</v>
      </c>
      <c r="EN672" s="90">
        <f t="shared" si="459"/>
        <v>0</v>
      </c>
    </row>
    <row r="673" spans="1:145" s="86" customFormat="1" ht="15" customHeight="1" x14ac:dyDescent="0.25">
      <c r="B673" s="88">
        <v>48</v>
      </c>
      <c r="D673" s="87"/>
      <c r="N673" s="88"/>
      <c r="O673" s="88"/>
      <c r="Q673" s="89"/>
      <c r="T673" s="46"/>
      <c r="X673" s="167"/>
      <c r="AN673" s="64">
        <f t="shared" si="446"/>
        <v>0</v>
      </c>
      <c r="AO673" s="64">
        <f t="shared" si="447"/>
        <v>0</v>
      </c>
      <c r="BC673" s="64"/>
      <c r="BE673" s="86">
        <v>0</v>
      </c>
      <c r="BK673" s="47">
        <f t="shared" si="443"/>
        <v>0</v>
      </c>
      <c r="CP673" s="57">
        <f t="shared" si="452"/>
        <v>0</v>
      </c>
      <c r="CQ673" s="167"/>
      <c r="CR673" s="64">
        <f t="shared" si="453"/>
        <v>0</v>
      </c>
      <c r="CW673" s="86">
        <v>0</v>
      </c>
      <c r="CY673" s="47">
        <f t="shared" si="455"/>
        <v>0</v>
      </c>
      <c r="DD673" s="86">
        <v>0</v>
      </c>
      <c r="DL673" s="86">
        <v>0</v>
      </c>
      <c r="DX673" s="86">
        <v>0</v>
      </c>
      <c r="EB673" s="167"/>
      <c r="EC673" s="167"/>
      <c r="ED673" s="167"/>
      <c r="EE673" s="47">
        <f t="shared" si="462"/>
        <v>0</v>
      </c>
      <c r="EK673" s="86">
        <v>0</v>
      </c>
      <c r="EL673" s="165">
        <f t="shared" si="458"/>
        <v>0</v>
      </c>
      <c r="EN673" s="90">
        <f t="shared" si="459"/>
        <v>0</v>
      </c>
    </row>
    <row r="674" spans="1:145" s="86" customFormat="1" ht="15" customHeight="1" x14ac:dyDescent="0.25">
      <c r="B674" s="88">
        <v>49</v>
      </c>
      <c r="D674" s="87"/>
      <c r="N674" s="88"/>
      <c r="O674" s="88"/>
      <c r="Q674" s="89"/>
      <c r="T674" s="46"/>
      <c r="X674" s="167"/>
      <c r="AN674" s="64">
        <f t="shared" si="446"/>
        <v>0</v>
      </c>
      <c r="AO674" s="64">
        <f t="shared" si="447"/>
        <v>0</v>
      </c>
      <c r="BC674" s="64"/>
      <c r="BE674" s="86">
        <v>0</v>
      </c>
      <c r="BK674" s="47">
        <f t="shared" si="443"/>
        <v>0</v>
      </c>
      <c r="CP674" s="57">
        <f t="shared" si="452"/>
        <v>0</v>
      </c>
      <c r="CQ674" s="167"/>
      <c r="CR674" s="64">
        <f t="shared" si="453"/>
        <v>0</v>
      </c>
      <c r="CW674" s="86">
        <v>0</v>
      </c>
      <c r="CY674" s="47">
        <f t="shared" si="455"/>
        <v>0</v>
      </c>
      <c r="DD674" s="86">
        <v>0</v>
      </c>
      <c r="DL674" s="86">
        <v>0</v>
      </c>
      <c r="DX674" s="86">
        <v>0</v>
      </c>
      <c r="EB674" s="167"/>
      <c r="EC674" s="167"/>
      <c r="ED674" s="167"/>
      <c r="EE674" s="47">
        <f t="shared" si="462"/>
        <v>0</v>
      </c>
      <c r="EK674" s="86">
        <v>0</v>
      </c>
      <c r="EL674" s="165">
        <f t="shared" si="458"/>
        <v>0</v>
      </c>
      <c r="EN674" s="90">
        <f t="shared" si="459"/>
        <v>0</v>
      </c>
    </row>
    <row r="675" spans="1:145" s="86" customFormat="1" ht="15" customHeight="1" x14ac:dyDescent="0.25">
      <c r="B675" s="88">
        <v>50</v>
      </c>
      <c r="D675" s="87"/>
      <c r="N675" s="88"/>
      <c r="O675" s="88"/>
      <c r="Q675" s="89"/>
      <c r="T675" s="46"/>
      <c r="X675" s="167"/>
      <c r="AN675" s="64">
        <f t="shared" si="446"/>
        <v>0</v>
      </c>
      <c r="AO675" s="64">
        <f t="shared" si="447"/>
        <v>0</v>
      </c>
      <c r="BC675" s="64"/>
      <c r="BE675" s="86">
        <v>0</v>
      </c>
      <c r="BK675" s="47">
        <f t="shared" si="443"/>
        <v>0</v>
      </c>
      <c r="CP675" s="57">
        <f>CN675*CO675</f>
        <v>0</v>
      </c>
      <c r="CQ675" s="167"/>
      <c r="CR675" s="64">
        <f t="shared" si="453"/>
        <v>0</v>
      </c>
      <c r="CW675" s="86">
        <v>0</v>
      </c>
      <c r="CY675" s="47">
        <f t="shared" si="455"/>
        <v>0</v>
      </c>
      <c r="DD675" s="86">
        <v>0</v>
      </c>
      <c r="DL675" s="86">
        <v>0</v>
      </c>
      <c r="DX675" s="86">
        <v>0</v>
      </c>
      <c r="EB675" s="167"/>
      <c r="EC675" s="167"/>
      <c r="ED675" s="167"/>
      <c r="EE675" s="47">
        <f t="shared" si="462"/>
        <v>0</v>
      </c>
      <c r="EK675" s="86">
        <v>0</v>
      </c>
      <c r="EL675" s="165">
        <f t="shared" si="458"/>
        <v>0</v>
      </c>
      <c r="EN675" s="90">
        <f t="shared" si="459"/>
        <v>0</v>
      </c>
    </row>
    <row r="676" spans="1:145" s="86" customFormat="1" ht="15" customHeight="1" x14ac:dyDescent="0.25">
      <c r="B676" s="88">
        <v>51</v>
      </c>
      <c r="D676" s="87"/>
      <c r="N676" s="88"/>
      <c r="O676" s="88"/>
      <c r="Q676" s="168"/>
      <c r="T676" s="46"/>
      <c r="X676" s="167"/>
      <c r="AN676" s="64">
        <f t="shared" si="446"/>
        <v>0</v>
      </c>
      <c r="AO676" s="64">
        <f t="shared" si="447"/>
        <v>0</v>
      </c>
      <c r="BC676" s="64"/>
      <c r="BE676" s="86">
        <v>0</v>
      </c>
      <c r="BK676" s="47">
        <f t="shared" si="443"/>
        <v>0</v>
      </c>
      <c r="CP676" s="57">
        <f t="shared" si="452"/>
        <v>0</v>
      </c>
      <c r="CQ676" s="167"/>
      <c r="CR676" s="64">
        <f t="shared" si="453"/>
        <v>0</v>
      </c>
      <c r="CW676" s="86">
        <v>0</v>
      </c>
      <c r="CY676" s="47">
        <f t="shared" si="455"/>
        <v>0</v>
      </c>
      <c r="DD676" s="86">
        <v>0</v>
      </c>
      <c r="DL676" s="86">
        <v>0</v>
      </c>
      <c r="DX676" s="86">
        <v>0</v>
      </c>
      <c r="EB676" s="167"/>
      <c r="EC676" s="167"/>
      <c r="ED676" s="167"/>
      <c r="EE676" s="47">
        <f t="shared" si="462"/>
        <v>0</v>
      </c>
      <c r="EK676" s="86">
        <v>0</v>
      </c>
      <c r="EL676" s="165">
        <f t="shared" si="458"/>
        <v>0</v>
      </c>
      <c r="EN676" s="90">
        <f t="shared" si="459"/>
        <v>0</v>
      </c>
      <c r="EO676" s="86" t="s">
        <v>117</v>
      </c>
    </row>
    <row r="677" spans="1:145" s="86" customFormat="1" ht="15" customHeight="1" x14ac:dyDescent="0.25">
      <c r="B677" s="88">
        <v>52</v>
      </c>
      <c r="D677" s="87"/>
      <c r="N677" s="88"/>
      <c r="O677" s="88"/>
      <c r="Q677" s="168"/>
      <c r="T677" s="46"/>
      <c r="X677" s="167"/>
      <c r="AN677" s="64">
        <f t="shared" si="446"/>
        <v>0</v>
      </c>
      <c r="AO677" s="64">
        <f t="shared" si="447"/>
        <v>0</v>
      </c>
      <c r="BC677" s="64"/>
      <c r="BE677" s="86">
        <v>0</v>
      </c>
      <c r="BK677" s="47">
        <f t="shared" si="443"/>
        <v>0</v>
      </c>
      <c r="CP677" s="57">
        <f t="shared" si="452"/>
        <v>0</v>
      </c>
      <c r="CQ677" s="167"/>
      <c r="CR677" s="64">
        <f t="shared" si="453"/>
        <v>0</v>
      </c>
      <c r="CW677" s="86">
        <v>0</v>
      </c>
      <c r="CY677" s="47">
        <f t="shared" si="455"/>
        <v>0</v>
      </c>
      <c r="DD677" s="86">
        <v>0</v>
      </c>
      <c r="DL677" s="86">
        <v>0</v>
      </c>
      <c r="DX677" s="86">
        <v>0</v>
      </c>
      <c r="EB677" s="167"/>
      <c r="EC677" s="167"/>
      <c r="ED677" s="167"/>
      <c r="EE677" s="47">
        <f t="shared" si="462"/>
        <v>0</v>
      </c>
      <c r="EK677" s="86">
        <v>0</v>
      </c>
      <c r="EL677" s="165">
        <f t="shared" si="458"/>
        <v>0</v>
      </c>
      <c r="EN677" s="90">
        <f t="shared" si="459"/>
        <v>0</v>
      </c>
    </row>
    <row r="678" spans="1:145" s="86" customFormat="1" ht="15" customHeight="1" x14ac:dyDescent="0.25">
      <c r="B678" s="88">
        <v>53</v>
      </c>
      <c r="D678" s="87"/>
      <c r="N678" s="88"/>
      <c r="O678" s="88"/>
      <c r="Q678" s="169"/>
      <c r="T678" s="46"/>
      <c r="X678" s="167"/>
      <c r="AN678" s="64">
        <f t="shared" si="446"/>
        <v>0</v>
      </c>
      <c r="AO678" s="64">
        <f t="shared" si="447"/>
        <v>0</v>
      </c>
      <c r="BC678" s="64"/>
      <c r="BE678" s="86">
        <v>0</v>
      </c>
      <c r="BK678" s="47">
        <f t="shared" si="443"/>
        <v>0</v>
      </c>
      <c r="CP678" s="57">
        <f t="shared" si="452"/>
        <v>0</v>
      </c>
      <c r="CQ678" s="167"/>
      <c r="CR678" s="64">
        <f t="shared" si="453"/>
        <v>0</v>
      </c>
      <c r="CW678" s="86">
        <v>0</v>
      </c>
      <c r="CY678" s="47">
        <f t="shared" si="455"/>
        <v>0</v>
      </c>
      <c r="DD678" s="86">
        <v>0</v>
      </c>
      <c r="DL678" s="86">
        <v>0</v>
      </c>
      <c r="DX678" s="86">
        <v>0</v>
      </c>
      <c r="EB678" s="167"/>
      <c r="EC678" s="167"/>
      <c r="ED678" s="167"/>
      <c r="EE678" s="47">
        <f t="shared" si="462"/>
        <v>0</v>
      </c>
      <c r="EK678" s="86">
        <v>0</v>
      </c>
      <c r="EL678" s="165">
        <f t="shared" si="458"/>
        <v>0</v>
      </c>
      <c r="EN678" s="90">
        <f t="shared" si="459"/>
        <v>0</v>
      </c>
    </row>
    <row r="679" spans="1:145" s="86" customFormat="1" ht="15" customHeight="1" x14ac:dyDescent="0.25">
      <c r="B679" s="88">
        <v>54</v>
      </c>
      <c r="D679" s="87"/>
      <c r="N679" s="88"/>
      <c r="O679" s="88"/>
      <c r="Q679" s="169"/>
      <c r="T679" s="46"/>
      <c r="X679" s="167"/>
      <c r="AN679" s="64">
        <f>+X679+Y679+Z679+AA679+AB679+AC679+AD679+AE679+AF679+AG679+AH679+AI679+AJ679+AL679+AM679</f>
        <v>0</v>
      </c>
      <c r="AO679" s="64">
        <f t="shared" si="447"/>
        <v>0</v>
      </c>
      <c r="BC679" s="64"/>
      <c r="BE679" s="86">
        <v>0</v>
      </c>
      <c r="BK679" s="47">
        <f t="shared" si="443"/>
        <v>0</v>
      </c>
      <c r="CP679" s="57">
        <f t="shared" si="452"/>
        <v>0</v>
      </c>
      <c r="CQ679" s="167"/>
      <c r="CR679" s="64">
        <f t="shared" si="453"/>
        <v>0</v>
      </c>
      <c r="CW679" s="86">
        <v>0</v>
      </c>
      <c r="CY679" s="47">
        <f t="shared" si="455"/>
        <v>0</v>
      </c>
      <c r="DD679" s="86">
        <v>0</v>
      </c>
      <c r="DL679" s="86">
        <v>0</v>
      </c>
      <c r="DX679" s="86">
        <v>0</v>
      </c>
      <c r="EB679" s="167"/>
      <c r="EC679" s="167"/>
      <c r="ED679" s="167"/>
      <c r="EE679" s="47">
        <f t="shared" si="462"/>
        <v>0</v>
      </c>
      <c r="EK679" s="86">
        <v>0</v>
      </c>
      <c r="EL679" s="165">
        <f t="shared" si="458"/>
        <v>0</v>
      </c>
      <c r="EN679" s="90">
        <f t="shared" si="459"/>
        <v>0</v>
      </c>
    </row>
    <row r="680" spans="1:145" s="86" customFormat="1" ht="15" customHeight="1" x14ac:dyDescent="0.25">
      <c r="B680" s="88">
        <v>55</v>
      </c>
      <c r="D680" s="87"/>
      <c r="N680" s="88"/>
      <c r="O680" s="88"/>
      <c r="Q680" s="169"/>
      <c r="T680" s="46"/>
      <c r="X680" s="167"/>
      <c r="AN680" s="64">
        <f t="shared" si="446"/>
        <v>0</v>
      </c>
      <c r="AO680" s="64">
        <f t="shared" si="447"/>
        <v>0</v>
      </c>
      <c r="BC680" s="64"/>
      <c r="BE680" s="86">
        <v>0</v>
      </c>
      <c r="BK680" s="47">
        <f t="shared" si="443"/>
        <v>0</v>
      </c>
      <c r="CM680" s="167"/>
      <c r="CP680" s="57">
        <f t="shared" si="452"/>
        <v>0</v>
      </c>
      <c r="CQ680" s="167"/>
      <c r="CR680" s="64">
        <f t="shared" si="453"/>
        <v>0</v>
      </c>
      <c r="CW680" s="86">
        <v>0</v>
      </c>
      <c r="CY680" s="47">
        <f t="shared" si="455"/>
        <v>0</v>
      </c>
      <c r="DD680" s="86">
        <v>0</v>
      </c>
      <c r="DL680" s="86">
        <v>0</v>
      </c>
      <c r="DX680" s="86">
        <v>0</v>
      </c>
      <c r="EB680" s="167"/>
      <c r="EC680" s="167"/>
      <c r="ED680" s="167"/>
      <c r="EE680" s="47">
        <f t="shared" si="462"/>
        <v>0</v>
      </c>
      <c r="EK680" s="86">
        <v>0</v>
      </c>
      <c r="EL680" s="165">
        <f t="shared" si="458"/>
        <v>0</v>
      </c>
      <c r="EN680" s="90">
        <f t="shared" si="459"/>
        <v>0</v>
      </c>
    </row>
    <row r="681" spans="1:145" s="86" customFormat="1" ht="15" customHeight="1" x14ac:dyDescent="0.25">
      <c r="B681" s="88">
        <v>56</v>
      </c>
      <c r="D681" s="87"/>
      <c r="N681" s="88"/>
      <c r="O681" s="88"/>
      <c r="Q681" s="169"/>
      <c r="T681" s="46"/>
      <c r="X681" s="167"/>
      <c r="AI681" s="167"/>
      <c r="AN681" s="64">
        <f t="shared" si="446"/>
        <v>0</v>
      </c>
      <c r="AO681" s="64">
        <f t="shared" si="447"/>
        <v>0</v>
      </c>
      <c r="BC681" s="64"/>
      <c r="BE681" s="86">
        <v>0</v>
      </c>
      <c r="CP681" s="57">
        <f t="shared" si="452"/>
        <v>0</v>
      </c>
      <c r="CQ681" s="167"/>
      <c r="CR681" s="167">
        <f t="shared" si="453"/>
        <v>0</v>
      </c>
      <c r="CW681" s="86">
        <v>0</v>
      </c>
      <c r="CY681" s="47">
        <f t="shared" si="455"/>
        <v>0</v>
      </c>
      <c r="DD681" s="86">
        <v>0</v>
      </c>
      <c r="DL681" s="86">
        <v>0</v>
      </c>
      <c r="DX681" s="86">
        <v>0</v>
      </c>
      <c r="EB681" s="167"/>
      <c r="EC681" s="167"/>
      <c r="ED681" s="167"/>
      <c r="EE681" s="47">
        <f>+AW681+BE681+BM681+CR681+CY681+DF681+DL681+DX681+DY681+DZ681+EB681+EC681</f>
        <v>0</v>
      </c>
      <c r="EK681" s="86">
        <v>0</v>
      </c>
      <c r="EL681" s="165">
        <f t="shared" si="458"/>
        <v>0</v>
      </c>
      <c r="EN681" s="90">
        <f t="shared" si="459"/>
        <v>0</v>
      </c>
    </row>
    <row r="682" spans="1:145" s="86" customFormat="1" ht="15" customHeight="1" x14ac:dyDescent="0.25">
      <c r="B682" s="88">
        <v>57</v>
      </c>
      <c r="D682" s="87"/>
      <c r="N682" s="88"/>
      <c r="O682" s="88"/>
      <c r="Q682" s="169"/>
      <c r="T682" s="46"/>
      <c r="X682" s="167"/>
      <c r="AI682" s="167"/>
      <c r="AN682" s="64">
        <f t="shared" si="446"/>
        <v>0</v>
      </c>
      <c r="AO682" s="64">
        <f t="shared" si="447"/>
        <v>0</v>
      </c>
      <c r="BC682" s="64"/>
      <c r="BE682" s="86">
        <v>0</v>
      </c>
      <c r="CP682" s="57">
        <f t="shared" si="452"/>
        <v>0</v>
      </c>
      <c r="CQ682" s="167"/>
      <c r="CR682" s="167">
        <f t="shared" si="453"/>
        <v>0</v>
      </c>
      <c r="CW682" s="86">
        <v>0</v>
      </c>
      <c r="CY682" s="47">
        <f t="shared" si="455"/>
        <v>0</v>
      </c>
      <c r="DD682" s="86">
        <v>0</v>
      </c>
      <c r="DL682" s="86">
        <v>0</v>
      </c>
      <c r="DX682" s="86">
        <v>0</v>
      </c>
      <c r="EB682" s="167"/>
      <c r="EC682" s="167"/>
      <c r="ED682" s="167"/>
      <c r="EE682" s="47">
        <f t="shared" si="462"/>
        <v>0</v>
      </c>
      <c r="EK682" s="86">
        <v>0</v>
      </c>
      <c r="EL682" s="165">
        <f t="shared" si="458"/>
        <v>0</v>
      </c>
      <c r="EN682" s="90">
        <f t="shared" si="459"/>
        <v>0</v>
      </c>
    </row>
    <row r="683" spans="1:145" s="86" customFormat="1" ht="15" customHeight="1" x14ac:dyDescent="0.25">
      <c r="B683" s="88">
        <v>58</v>
      </c>
      <c r="D683" s="87"/>
      <c r="N683" s="88"/>
      <c r="O683" s="88"/>
      <c r="Q683" s="169"/>
      <c r="T683" s="46"/>
      <c r="X683" s="167"/>
      <c r="AI683" s="167"/>
      <c r="AN683" s="64">
        <f t="shared" si="446"/>
        <v>0</v>
      </c>
      <c r="AO683" s="64">
        <f t="shared" si="447"/>
        <v>0</v>
      </c>
      <c r="BC683" s="64"/>
      <c r="BE683" s="86">
        <v>0</v>
      </c>
      <c r="CP683" s="57">
        <f t="shared" si="452"/>
        <v>0</v>
      </c>
      <c r="CQ683" s="167"/>
      <c r="CR683" s="167">
        <f t="shared" si="453"/>
        <v>0</v>
      </c>
      <c r="CW683" s="86">
        <v>0</v>
      </c>
      <c r="CY683" s="47">
        <f t="shared" si="455"/>
        <v>0</v>
      </c>
      <c r="DD683" s="86">
        <v>0</v>
      </c>
      <c r="DL683" s="86">
        <v>0</v>
      </c>
      <c r="DX683" s="86">
        <v>0</v>
      </c>
      <c r="EB683" s="167"/>
      <c r="EC683" s="167"/>
      <c r="ED683" s="167"/>
      <c r="EE683" s="47">
        <f t="shared" si="462"/>
        <v>0</v>
      </c>
      <c r="EK683" s="86">
        <v>0</v>
      </c>
      <c r="EL683" s="165">
        <f t="shared" si="458"/>
        <v>0</v>
      </c>
      <c r="EN683" s="90">
        <f t="shared" si="459"/>
        <v>0</v>
      </c>
    </row>
    <row r="684" spans="1:145" s="86" customFormat="1" ht="15" customHeight="1" x14ac:dyDescent="0.25">
      <c r="B684" s="88">
        <v>59</v>
      </c>
      <c r="D684" s="87"/>
      <c r="N684" s="88"/>
      <c r="O684" s="88"/>
      <c r="Q684" s="169"/>
      <c r="T684" s="46"/>
      <c r="X684" s="167"/>
      <c r="AN684" s="64">
        <f t="shared" si="446"/>
        <v>0</v>
      </c>
      <c r="AO684" s="64">
        <f t="shared" si="447"/>
        <v>0</v>
      </c>
      <c r="BC684" s="64"/>
      <c r="BE684" s="86">
        <v>0</v>
      </c>
      <c r="CP684" s="57">
        <f t="shared" si="452"/>
        <v>0</v>
      </c>
      <c r="CQ684" s="167"/>
      <c r="CR684" s="167">
        <f t="shared" si="453"/>
        <v>0</v>
      </c>
      <c r="CW684" s="86">
        <v>0</v>
      </c>
      <c r="CY684" s="47">
        <f t="shared" si="455"/>
        <v>0</v>
      </c>
      <c r="DD684" s="86">
        <v>0</v>
      </c>
      <c r="DL684" s="86">
        <v>0</v>
      </c>
      <c r="DX684" s="86">
        <v>0</v>
      </c>
      <c r="EB684" s="167"/>
      <c r="EC684" s="167"/>
      <c r="ED684" s="167"/>
      <c r="EE684" s="47">
        <f t="shared" si="462"/>
        <v>0</v>
      </c>
      <c r="EK684" s="86">
        <v>0</v>
      </c>
      <c r="EL684" s="165">
        <f t="shared" si="458"/>
        <v>0</v>
      </c>
      <c r="EN684" s="90">
        <f t="shared" si="459"/>
        <v>0</v>
      </c>
    </row>
    <row r="685" spans="1:145" s="86" customFormat="1" ht="15" customHeight="1" x14ac:dyDescent="0.25">
      <c r="B685" s="88">
        <v>60</v>
      </c>
      <c r="D685" s="87"/>
      <c r="N685" s="88"/>
      <c r="O685" s="88"/>
      <c r="Q685" s="169"/>
      <c r="T685" s="46"/>
      <c r="X685" s="167"/>
      <c r="AN685" s="64">
        <f t="shared" si="446"/>
        <v>0</v>
      </c>
      <c r="AO685" s="64">
        <f t="shared" si="447"/>
        <v>0</v>
      </c>
      <c r="BC685" s="64"/>
      <c r="BE685" s="86">
        <v>0</v>
      </c>
      <c r="CM685" s="167"/>
      <c r="CP685" s="57">
        <f t="shared" si="452"/>
        <v>0</v>
      </c>
      <c r="CQ685" s="167"/>
      <c r="CR685" s="167">
        <f t="shared" si="453"/>
        <v>0</v>
      </c>
      <c r="CW685" s="86">
        <v>0</v>
      </c>
      <c r="CY685" s="47">
        <f t="shared" si="455"/>
        <v>0</v>
      </c>
      <c r="DD685" s="86">
        <v>0</v>
      </c>
      <c r="DL685" s="86">
        <v>0</v>
      </c>
      <c r="DX685" s="86">
        <v>0</v>
      </c>
      <c r="EB685" s="167"/>
      <c r="EC685" s="167"/>
      <c r="ED685" s="167"/>
      <c r="EE685" s="47">
        <f t="shared" si="462"/>
        <v>0</v>
      </c>
      <c r="EK685" s="86">
        <v>0</v>
      </c>
      <c r="EL685" s="90">
        <f t="shared" si="458"/>
        <v>0</v>
      </c>
      <c r="EN685" s="90">
        <f t="shared" si="459"/>
        <v>0</v>
      </c>
      <c r="EO685" s="170"/>
    </row>
    <row r="686" spans="1:145" s="86" customFormat="1" ht="15" customHeight="1" x14ac:dyDescent="0.25">
      <c r="B686" s="88">
        <v>61</v>
      </c>
      <c r="D686" s="87"/>
      <c r="N686" s="88"/>
      <c r="O686" s="88"/>
      <c r="Q686" s="169"/>
      <c r="T686" s="46"/>
      <c r="X686" s="167"/>
      <c r="AN686" s="64">
        <f t="shared" si="446"/>
        <v>0</v>
      </c>
      <c r="AO686" s="64">
        <f t="shared" si="447"/>
        <v>0</v>
      </c>
      <c r="BC686" s="64"/>
      <c r="BE686" s="86">
        <v>0</v>
      </c>
      <c r="CP686" s="57">
        <f t="shared" si="452"/>
        <v>0</v>
      </c>
      <c r="CQ686" s="167"/>
      <c r="CR686" s="167">
        <f t="shared" si="453"/>
        <v>0</v>
      </c>
      <c r="CW686" s="86">
        <v>0</v>
      </c>
      <c r="CY686" s="47">
        <f t="shared" si="455"/>
        <v>0</v>
      </c>
      <c r="DD686" s="86">
        <v>0</v>
      </c>
      <c r="DL686" s="86">
        <v>0</v>
      </c>
      <c r="DX686" s="86">
        <v>0</v>
      </c>
      <c r="EB686" s="167"/>
      <c r="EC686" s="167"/>
      <c r="ED686" s="167"/>
      <c r="EE686" s="47">
        <f t="shared" si="462"/>
        <v>0</v>
      </c>
      <c r="EK686" s="86">
        <v>0</v>
      </c>
      <c r="EL686" s="90">
        <f t="shared" si="458"/>
        <v>0</v>
      </c>
      <c r="EN686" s="90">
        <f t="shared" si="459"/>
        <v>0</v>
      </c>
      <c r="EO686" s="170"/>
    </row>
    <row r="687" spans="1:145" ht="15" customHeight="1" x14ac:dyDescent="0.25">
      <c r="A687" s="86"/>
      <c r="B687" s="88">
        <v>62</v>
      </c>
      <c r="C687" s="86"/>
      <c r="D687" s="87"/>
      <c r="E687" s="86"/>
      <c r="F687" s="86"/>
      <c r="G687" s="86"/>
      <c r="H687" s="86"/>
      <c r="I687" s="86"/>
      <c r="J687" s="86"/>
      <c r="K687" s="86"/>
      <c r="L687" s="86"/>
      <c r="M687" s="86"/>
      <c r="N687" s="88"/>
      <c r="O687" s="88"/>
      <c r="P687" s="86"/>
      <c r="Q687" s="168"/>
      <c r="R687" s="86"/>
      <c r="S687" s="86"/>
      <c r="T687" s="4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>
        <f t="shared" si="446"/>
        <v>0</v>
      </c>
      <c r="AO687" s="86">
        <f t="shared" si="447"/>
        <v>0</v>
      </c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 s="86"/>
      <c r="BH687" s="86"/>
      <c r="BI687" s="86"/>
      <c r="BJ687" s="86"/>
      <c r="BK687" s="86"/>
      <c r="BL687" s="86"/>
      <c r="BM687" s="86"/>
      <c r="BN687" s="86"/>
      <c r="BO687" s="86"/>
      <c r="BP687" s="86"/>
      <c r="BQ687" s="86"/>
      <c r="BR687" s="86"/>
      <c r="BS687" s="86"/>
      <c r="BT687" s="86"/>
      <c r="BU687" s="86"/>
      <c r="BV687" s="86"/>
      <c r="BW687" s="86"/>
      <c r="BX687" s="86"/>
      <c r="BY687" s="86"/>
      <c r="BZ687" s="86"/>
      <c r="CA687" s="86"/>
      <c r="CB687" s="86"/>
      <c r="CC687" s="86"/>
      <c r="CD687" s="86"/>
      <c r="CE687" s="86"/>
      <c r="CF687" s="86"/>
      <c r="CG687" s="86"/>
      <c r="CH687" s="86"/>
      <c r="CI687" s="86"/>
      <c r="CJ687" s="86"/>
      <c r="CK687" s="86"/>
      <c r="CL687" s="86"/>
      <c r="CM687" s="86"/>
      <c r="CN687" s="86"/>
      <c r="CO687" s="86"/>
      <c r="CP687" s="57">
        <f t="shared" si="452"/>
        <v>0</v>
      </c>
      <c r="CQ687" s="86"/>
      <c r="CR687" s="167">
        <f t="shared" si="453"/>
        <v>0</v>
      </c>
      <c r="CS687" s="86"/>
      <c r="CT687" s="86"/>
      <c r="CU687" s="86"/>
      <c r="CV687" s="86"/>
      <c r="CW687" s="86"/>
      <c r="CX687" s="86"/>
      <c r="CY687" s="47">
        <f t="shared" si="455"/>
        <v>0</v>
      </c>
      <c r="CZ687" s="86"/>
      <c r="DA687" s="86"/>
      <c r="DB687" s="86"/>
      <c r="DC687" s="86"/>
      <c r="DD687" s="86"/>
      <c r="DE687" s="86"/>
      <c r="DF687" s="86"/>
      <c r="DG687" s="86"/>
      <c r="DH687" s="86"/>
      <c r="DI687" s="86"/>
      <c r="DJ687" s="86"/>
      <c r="DK687" s="86"/>
      <c r="DL687" s="86"/>
      <c r="DM687" s="86"/>
      <c r="DN687" s="86"/>
      <c r="DO687" s="86"/>
      <c r="DP687" s="86"/>
      <c r="DQ687" s="86"/>
      <c r="DR687" s="118"/>
      <c r="DS687" s="118"/>
      <c r="DT687" s="86"/>
      <c r="DU687" s="86"/>
      <c r="DV687" s="86"/>
      <c r="DW687" s="86"/>
      <c r="DX687" s="86">
        <v>0</v>
      </c>
      <c r="DY687" s="86"/>
      <c r="DZ687" s="86"/>
      <c r="EA687" s="86"/>
      <c r="EB687" s="167"/>
      <c r="EC687" s="167"/>
      <c r="ED687" s="86"/>
      <c r="EE687" s="47">
        <f t="shared" si="462"/>
        <v>0</v>
      </c>
      <c r="EF687" s="86"/>
      <c r="EG687" s="86"/>
      <c r="EH687" s="86"/>
      <c r="EI687" s="86"/>
      <c r="EJ687" s="86"/>
      <c r="EK687" s="86">
        <v>0</v>
      </c>
      <c r="EL687" s="90">
        <f t="shared" si="458"/>
        <v>0</v>
      </c>
      <c r="EM687" s="86"/>
      <c r="EN687" s="90">
        <f t="shared" si="459"/>
        <v>0</v>
      </c>
    </row>
    <row r="688" spans="1:145" ht="15" customHeight="1" x14ac:dyDescent="0.25">
      <c r="A688" s="86"/>
      <c r="B688" s="88">
        <v>63</v>
      </c>
      <c r="C688" s="86"/>
      <c r="D688" s="87"/>
      <c r="E688" s="86"/>
      <c r="F688" s="86"/>
      <c r="G688" s="86"/>
      <c r="H688" s="86"/>
      <c r="I688" s="86"/>
      <c r="J688" s="86"/>
      <c r="K688" s="86"/>
      <c r="L688" s="86"/>
      <c r="M688" s="86"/>
      <c r="N688" s="88"/>
      <c r="O688" s="88"/>
      <c r="P688" s="86"/>
      <c r="Q688" s="168"/>
      <c r="R688" s="86"/>
      <c r="S688" s="86"/>
      <c r="T688" s="4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>
        <f t="shared" si="446"/>
        <v>0</v>
      </c>
      <c r="AO688" s="86">
        <f t="shared" si="447"/>
        <v>0</v>
      </c>
      <c r="AP688" s="86"/>
      <c r="AQ688" s="86"/>
      <c r="AR688" s="86"/>
      <c r="AS688" s="86"/>
      <c r="AT688" s="86"/>
      <c r="AU688" s="86"/>
      <c r="AV688" s="86"/>
      <c r="AW688" s="86"/>
      <c r="AX688" s="86"/>
      <c r="AY688" s="86"/>
      <c r="AZ688" s="86"/>
      <c r="BA688" s="86"/>
      <c r="BB688" s="86"/>
      <c r="BC688" s="86"/>
      <c r="BD688" s="86"/>
      <c r="BE688" s="86"/>
      <c r="BF688" s="86"/>
      <c r="BG688" s="86"/>
      <c r="BH688" s="86"/>
      <c r="BI688" s="86"/>
      <c r="BJ688" s="86"/>
      <c r="BK688" s="86"/>
      <c r="BL688" s="86"/>
      <c r="BM688" s="86"/>
      <c r="BN688" s="86"/>
      <c r="BO688" s="86"/>
      <c r="BP688" s="86"/>
      <c r="BQ688" s="86"/>
      <c r="BR688" s="86"/>
      <c r="BS688" s="86"/>
      <c r="BT688" s="86"/>
      <c r="BU688" s="86"/>
      <c r="BV688" s="86"/>
      <c r="BW688" s="86"/>
      <c r="BX688" s="86"/>
      <c r="BY688" s="86"/>
      <c r="BZ688" s="86"/>
      <c r="CA688" s="86"/>
      <c r="CB688" s="86"/>
      <c r="CC688" s="86"/>
      <c r="CD688" s="86"/>
      <c r="CE688" s="86"/>
      <c r="CF688" s="86"/>
      <c r="CG688" s="86"/>
      <c r="CH688" s="86"/>
      <c r="CI688" s="86"/>
      <c r="CJ688" s="86"/>
      <c r="CK688" s="86"/>
      <c r="CL688" s="86"/>
      <c r="CM688" s="86"/>
      <c r="CN688" s="86"/>
      <c r="CO688" s="86"/>
      <c r="CP688" s="57">
        <f t="shared" si="452"/>
        <v>0</v>
      </c>
      <c r="CQ688" s="86"/>
      <c r="CR688" s="167">
        <f>+CM688+CP688+CQ688</f>
        <v>0</v>
      </c>
      <c r="CS688" s="86"/>
      <c r="CT688" s="86"/>
      <c r="CU688" s="86"/>
      <c r="CV688" s="86"/>
      <c r="CW688" s="86"/>
      <c r="CX688" s="86"/>
      <c r="CY688" s="47">
        <f t="shared" si="455"/>
        <v>0</v>
      </c>
      <c r="CZ688" s="86"/>
      <c r="DA688" s="86"/>
      <c r="DB688" s="86"/>
      <c r="DC688" s="86"/>
      <c r="DD688" s="86"/>
      <c r="DE688" s="86"/>
      <c r="DF688" s="86"/>
      <c r="DG688" s="86"/>
      <c r="DH688" s="86"/>
      <c r="DI688" s="86"/>
      <c r="DJ688" s="86"/>
      <c r="DK688" s="86"/>
      <c r="DL688" s="86"/>
      <c r="DM688" s="86"/>
      <c r="DN688" s="86"/>
      <c r="DO688" s="86"/>
      <c r="DP688" s="86"/>
      <c r="DQ688" s="86"/>
      <c r="DR688" s="118"/>
      <c r="DS688" s="118"/>
      <c r="DT688" s="86"/>
      <c r="DU688" s="86"/>
      <c r="DV688" s="86"/>
      <c r="DW688" s="86"/>
      <c r="DX688" s="86">
        <v>0</v>
      </c>
      <c r="DY688" s="86"/>
      <c r="DZ688" s="86"/>
      <c r="EA688" s="86"/>
      <c r="EB688" s="167"/>
      <c r="EC688" s="167"/>
      <c r="ED688" s="86"/>
      <c r="EE688" s="47">
        <f t="shared" si="462"/>
        <v>0</v>
      </c>
      <c r="EF688" s="86"/>
      <c r="EG688" s="86"/>
      <c r="EH688" s="86"/>
      <c r="EI688" s="86"/>
      <c r="EJ688" s="86"/>
      <c r="EK688" s="86">
        <v>0</v>
      </c>
      <c r="EL688" s="90">
        <f t="shared" si="458"/>
        <v>0</v>
      </c>
      <c r="EM688" s="86"/>
      <c r="EN688" s="90">
        <f t="shared" si="459"/>
        <v>0</v>
      </c>
    </row>
    <row r="689" spans="1:144" ht="15" customHeight="1" x14ac:dyDescent="0.25">
      <c r="A689" s="86"/>
      <c r="B689" s="88">
        <v>64</v>
      </c>
      <c r="C689" s="86"/>
      <c r="D689" s="87"/>
      <c r="E689" s="86"/>
      <c r="F689" s="86"/>
      <c r="G689" s="86"/>
      <c r="H689" s="86"/>
      <c r="I689" s="86"/>
      <c r="J689" s="86"/>
      <c r="K689" s="86"/>
      <c r="L689" s="86"/>
      <c r="M689" s="86"/>
      <c r="N689" s="88"/>
      <c r="O689" s="88"/>
      <c r="P689" s="86"/>
      <c r="Q689" s="168"/>
      <c r="R689" s="86"/>
      <c r="S689" s="86"/>
      <c r="T689" s="4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>
        <f t="shared" si="446"/>
        <v>0</v>
      </c>
      <c r="AO689" s="86">
        <f t="shared" si="447"/>
        <v>0</v>
      </c>
      <c r="AP689" s="86"/>
      <c r="AQ689" s="86"/>
      <c r="AR689" s="86"/>
      <c r="AS689" s="86"/>
      <c r="AT689" s="86"/>
      <c r="AU689" s="86"/>
      <c r="AV689" s="86"/>
      <c r="AW689" s="86"/>
      <c r="AX689" s="86"/>
      <c r="AY689" s="86"/>
      <c r="AZ689" s="86"/>
      <c r="BA689" s="86"/>
      <c r="BB689" s="86"/>
      <c r="BC689" s="86"/>
      <c r="BD689" s="86"/>
      <c r="BE689" s="86"/>
      <c r="BF689" s="86"/>
      <c r="BG689" s="86"/>
      <c r="BH689" s="86"/>
      <c r="BI689" s="86"/>
      <c r="BJ689" s="86"/>
      <c r="BK689" s="86"/>
      <c r="BL689" s="86"/>
      <c r="BM689" s="86"/>
      <c r="BN689" s="86"/>
      <c r="BO689" s="86"/>
      <c r="BP689" s="86"/>
      <c r="BQ689" s="86"/>
      <c r="BR689" s="86"/>
      <c r="BS689" s="86"/>
      <c r="BT689" s="86"/>
      <c r="BU689" s="86"/>
      <c r="BV689" s="86"/>
      <c r="BW689" s="86"/>
      <c r="BX689" s="86"/>
      <c r="BY689" s="86"/>
      <c r="BZ689" s="86"/>
      <c r="CA689" s="86"/>
      <c r="CB689" s="86"/>
      <c r="CC689" s="86"/>
      <c r="CD689" s="86"/>
      <c r="CE689" s="86"/>
      <c r="CF689" s="86"/>
      <c r="CG689" s="86"/>
      <c r="CH689" s="86"/>
      <c r="CI689" s="86"/>
      <c r="CJ689" s="86"/>
      <c r="CK689" s="86"/>
      <c r="CL689" s="86"/>
      <c r="CM689" s="86"/>
      <c r="CN689" s="86"/>
      <c r="CO689" s="86"/>
      <c r="CP689" s="57">
        <f t="shared" si="452"/>
        <v>0</v>
      </c>
      <c r="CQ689" s="86"/>
      <c r="CR689" s="167">
        <f t="shared" si="453"/>
        <v>0</v>
      </c>
      <c r="CS689" s="86"/>
      <c r="CT689" s="86"/>
      <c r="CU689" s="86"/>
      <c r="CV689" s="86"/>
      <c r="CW689" s="86"/>
      <c r="CX689" s="86"/>
      <c r="CY689" s="47">
        <f t="shared" si="455"/>
        <v>0</v>
      </c>
      <c r="CZ689" s="86"/>
      <c r="DA689" s="86"/>
      <c r="DB689" s="86"/>
      <c r="DC689" s="86"/>
      <c r="DD689" s="86"/>
      <c r="DE689" s="86"/>
      <c r="DF689" s="86"/>
      <c r="DG689" s="86"/>
      <c r="DH689" s="86"/>
      <c r="DI689" s="86"/>
      <c r="DJ689" s="86"/>
      <c r="DK689" s="86"/>
      <c r="DL689" s="86"/>
      <c r="DM689" s="86"/>
      <c r="DN689" s="86"/>
      <c r="DO689" s="86"/>
      <c r="DP689" s="86"/>
      <c r="DQ689" s="86"/>
      <c r="DR689" s="118"/>
      <c r="DS689" s="118"/>
      <c r="DT689" s="86"/>
      <c r="DU689" s="86"/>
      <c r="DV689" s="86"/>
      <c r="DW689" s="86"/>
      <c r="DX689" s="86">
        <v>0</v>
      </c>
      <c r="DY689" s="86"/>
      <c r="DZ689" s="86"/>
      <c r="EA689" s="86"/>
      <c r="EB689" s="167"/>
      <c r="EC689" s="167"/>
      <c r="ED689" s="86"/>
      <c r="EE689" s="47">
        <f t="shared" si="462"/>
        <v>0</v>
      </c>
      <c r="EF689" s="86"/>
      <c r="EG689" s="86"/>
      <c r="EH689" s="86"/>
      <c r="EI689" s="86"/>
      <c r="EJ689" s="86"/>
      <c r="EK689" s="86">
        <v>0</v>
      </c>
      <c r="EL689" s="90">
        <f t="shared" si="458"/>
        <v>0</v>
      </c>
      <c r="EM689" s="86"/>
      <c r="EN689" s="90">
        <f t="shared" si="459"/>
        <v>0</v>
      </c>
    </row>
    <row r="690" spans="1:144" ht="15" customHeight="1" x14ac:dyDescent="0.25">
      <c r="A690" s="86"/>
      <c r="B690" s="88">
        <v>65</v>
      </c>
      <c r="C690" s="86"/>
      <c r="D690" s="87"/>
      <c r="E690" s="86"/>
      <c r="F690" s="86"/>
      <c r="G690" s="86"/>
      <c r="H690" s="86"/>
      <c r="I690" s="86"/>
      <c r="J690" s="86"/>
      <c r="K690" s="86"/>
      <c r="L690" s="86"/>
      <c r="M690" s="86"/>
      <c r="N690" s="88"/>
      <c r="O690" s="88"/>
      <c r="P690" s="86"/>
      <c r="Q690" s="168"/>
      <c r="R690" s="86"/>
      <c r="S690" s="86"/>
      <c r="T690" s="4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>
        <f t="shared" si="446"/>
        <v>0</v>
      </c>
      <c r="AO690" s="86">
        <f t="shared" si="447"/>
        <v>0</v>
      </c>
      <c r="AP690" s="86"/>
      <c r="AQ690" s="86"/>
      <c r="AR690" s="86"/>
      <c r="AS690" s="86"/>
      <c r="AT690" s="86"/>
      <c r="AU690" s="86"/>
      <c r="AV690" s="86"/>
      <c r="AW690" s="86"/>
      <c r="AX690" s="86"/>
      <c r="AY690" s="86"/>
      <c r="AZ690" s="86"/>
      <c r="BA690" s="86"/>
      <c r="BB690" s="86"/>
      <c r="BC690" s="86"/>
      <c r="BD690" s="86"/>
      <c r="BE690" s="86"/>
      <c r="BF690" s="86"/>
      <c r="BG690" s="86"/>
      <c r="BH690" s="86"/>
      <c r="BI690" s="86"/>
      <c r="BJ690" s="86"/>
      <c r="BK690" s="86"/>
      <c r="BL690" s="86"/>
      <c r="BM690" s="86"/>
      <c r="BN690" s="86"/>
      <c r="BO690" s="86"/>
      <c r="BP690" s="86"/>
      <c r="BQ690" s="86"/>
      <c r="BR690" s="86"/>
      <c r="BS690" s="86"/>
      <c r="BT690" s="86"/>
      <c r="BU690" s="86"/>
      <c r="BV690" s="86"/>
      <c r="BW690" s="86"/>
      <c r="BX690" s="86"/>
      <c r="BY690" s="86"/>
      <c r="BZ690" s="86"/>
      <c r="CA690" s="86"/>
      <c r="CB690" s="86"/>
      <c r="CC690" s="86"/>
      <c r="CD690" s="86"/>
      <c r="CE690" s="86"/>
      <c r="CF690" s="86"/>
      <c r="CG690" s="86"/>
      <c r="CH690" s="86"/>
      <c r="CI690" s="86"/>
      <c r="CJ690" s="86"/>
      <c r="CK690" s="86"/>
      <c r="CL690" s="86"/>
      <c r="CM690" s="86"/>
      <c r="CN690" s="86"/>
      <c r="CO690" s="86"/>
      <c r="CP690" s="57">
        <f t="shared" si="452"/>
        <v>0</v>
      </c>
      <c r="CQ690" s="86"/>
      <c r="CR690" s="167">
        <f t="shared" si="453"/>
        <v>0</v>
      </c>
      <c r="CS690" s="86"/>
      <c r="CT690" s="86"/>
      <c r="CU690" s="86"/>
      <c r="CV690" s="86"/>
      <c r="CW690" s="86"/>
      <c r="CX690" s="86"/>
      <c r="CY690" s="47">
        <f t="shared" si="455"/>
        <v>0</v>
      </c>
      <c r="CZ690" s="86"/>
      <c r="DA690" s="86"/>
      <c r="DB690" s="86"/>
      <c r="DC690" s="86"/>
      <c r="DD690" s="86"/>
      <c r="DE690" s="86"/>
      <c r="DF690" s="86"/>
      <c r="DG690" s="86"/>
      <c r="DH690" s="86"/>
      <c r="DI690" s="86"/>
      <c r="DJ690" s="86"/>
      <c r="DK690" s="86"/>
      <c r="DL690" s="86"/>
      <c r="DM690" s="86"/>
      <c r="DN690" s="86"/>
      <c r="DO690" s="86"/>
      <c r="DP690" s="86"/>
      <c r="DQ690" s="86"/>
      <c r="DR690" s="118"/>
      <c r="DS690" s="118"/>
      <c r="DT690" s="86"/>
      <c r="DU690" s="86"/>
      <c r="DV690" s="86"/>
      <c r="DW690" s="86"/>
      <c r="DX690" s="86">
        <v>0</v>
      </c>
      <c r="DY690" s="86"/>
      <c r="DZ690" s="86"/>
      <c r="EA690" s="86"/>
      <c r="EB690" s="167"/>
      <c r="EC690" s="167"/>
      <c r="ED690" s="86"/>
      <c r="EE690" s="47">
        <f t="shared" si="462"/>
        <v>0</v>
      </c>
      <c r="EF690" s="86"/>
      <c r="EG690" s="86"/>
      <c r="EH690" s="86"/>
      <c r="EI690" s="86"/>
      <c r="EJ690" s="86"/>
      <c r="EK690" s="86">
        <v>0</v>
      </c>
      <c r="EL690" s="90">
        <f t="shared" si="458"/>
        <v>0</v>
      </c>
      <c r="EM690" s="86"/>
      <c r="EN690" s="90">
        <f t="shared" si="459"/>
        <v>0</v>
      </c>
    </row>
    <row r="691" spans="1:144" ht="15" customHeight="1" x14ac:dyDescent="0.25">
      <c r="A691" s="86"/>
      <c r="B691" s="88">
        <v>66</v>
      </c>
      <c r="C691" s="86"/>
      <c r="D691" s="87"/>
      <c r="E691" s="86"/>
      <c r="F691" s="86"/>
      <c r="G691" s="86"/>
      <c r="H691" s="86"/>
      <c r="I691" s="86"/>
      <c r="J691" s="86"/>
      <c r="K691" s="86"/>
      <c r="L691" s="86"/>
      <c r="M691" s="86"/>
      <c r="N691" s="88"/>
      <c r="O691" s="88"/>
      <c r="P691" s="86"/>
      <c r="Q691" s="168"/>
      <c r="R691" s="86"/>
      <c r="S691" s="86"/>
      <c r="T691" s="4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>
        <f t="shared" si="446"/>
        <v>0</v>
      </c>
      <c r="AO691" s="86">
        <f t="shared" si="447"/>
        <v>0</v>
      </c>
      <c r="AP691" s="86"/>
      <c r="AQ691" s="86"/>
      <c r="AR691" s="86"/>
      <c r="AS691" s="86"/>
      <c r="AT691" s="86"/>
      <c r="AU691" s="86"/>
      <c r="AV691" s="86"/>
      <c r="AW691" s="86"/>
      <c r="AX691" s="86"/>
      <c r="AY691" s="86"/>
      <c r="AZ691" s="86"/>
      <c r="BA691" s="86"/>
      <c r="BB691" s="86"/>
      <c r="BC691" s="86"/>
      <c r="BD691" s="86"/>
      <c r="BE691" s="86"/>
      <c r="BF691" s="86"/>
      <c r="BG691" s="86"/>
      <c r="BH691" s="86"/>
      <c r="BI691" s="86"/>
      <c r="BJ691" s="86"/>
      <c r="BK691" s="86"/>
      <c r="BL691" s="86"/>
      <c r="BM691" s="86"/>
      <c r="BN691" s="86"/>
      <c r="BO691" s="86"/>
      <c r="BP691" s="86"/>
      <c r="BQ691" s="86"/>
      <c r="BR691" s="86"/>
      <c r="BS691" s="86"/>
      <c r="BT691" s="86"/>
      <c r="BU691" s="86"/>
      <c r="BV691" s="86"/>
      <c r="BW691" s="86"/>
      <c r="BX691" s="86"/>
      <c r="BY691" s="86"/>
      <c r="BZ691" s="86"/>
      <c r="CA691" s="86"/>
      <c r="CB691" s="86"/>
      <c r="CC691" s="86"/>
      <c r="CD691" s="86"/>
      <c r="CE691" s="86"/>
      <c r="CF691" s="86"/>
      <c r="CG691" s="86"/>
      <c r="CH691" s="86"/>
      <c r="CI691" s="86"/>
      <c r="CJ691" s="86"/>
      <c r="CK691" s="86"/>
      <c r="CL691" s="86"/>
      <c r="CM691" s="86"/>
      <c r="CN691" s="86"/>
      <c r="CO691" s="86"/>
      <c r="CP691" s="57">
        <f t="shared" si="452"/>
        <v>0</v>
      </c>
      <c r="CQ691" s="86"/>
      <c r="CR691" s="167">
        <f t="shared" si="453"/>
        <v>0</v>
      </c>
      <c r="CS691" s="86"/>
      <c r="CT691" s="86"/>
      <c r="CU691" s="86"/>
      <c r="CV691" s="86"/>
      <c r="CW691" s="86"/>
      <c r="CX691" s="86"/>
      <c r="CY691" s="47">
        <f t="shared" si="455"/>
        <v>0</v>
      </c>
      <c r="CZ691" s="86"/>
      <c r="DA691" s="86"/>
      <c r="DB691" s="86"/>
      <c r="DC691" s="86"/>
      <c r="DD691" s="86"/>
      <c r="DE691" s="86"/>
      <c r="DF691" s="86"/>
      <c r="DG691" s="86"/>
      <c r="DH691" s="86"/>
      <c r="DI691" s="86"/>
      <c r="DJ691" s="86"/>
      <c r="DK691" s="86"/>
      <c r="DL691" s="86"/>
      <c r="DM691" s="86"/>
      <c r="DN691" s="86"/>
      <c r="DO691" s="86"/>
      <c r="DP691" s="86"/>
      <c r="DQ691" s="86"/>
      <c r="DR691" s="118"/>
      <c r="DS691" s="118"/>
      <c r="DT691" s="86"/>
      <c r="DU691" s="86"/>
      <c r="DV691" s="86"/>
      <c r="DW691" s="86"/>
      <c r="DX691" s="86">
        <v>0</v>
      </c>
      <c r="DY691" s="86"/>
      <c r="DZ691" s="86"/>
      <c r="EA691" s="86"/>
      <c r="EB691" s="167"/>
      <c r="EC691" s="167"/>
      <c r="ED691" s="86"/>
      <c r="EE691" s="47">
        <f t="shared" si="462"/>
        <v>0</v>
      </c>
      <c r="EF691" s="86"/>
      <c r="EG691" s="86"/>
      <c r="EH691" s="86"/>
      <c r="EI691" s="86"/>
      <c r="EJ691" s="86"/>
      <c r="EK691" s="86">
        <v>0</v>
      </c>
      <c r="EL691" s="90">
        <f t="shared" si="458"/>
        <v>0</v>
      </c>
      <c r="EM691" s="86"/>
      <c r="EN691" s="90">
        <f t="shared" si="459"/>
        <v>0</v>
      </c>
    </row>
    <row r="692" spans="1:144" ht="15" customHeight="1" x14ac:dyDescent="0.25">
      <c r="A692" s="86"/>
      <c r="B692" s="88">
        <v>67</v>
      </c>
      <c r="C692" s="86"/>
      <c r="D692" s="87"/>
      <c r="E692" s="86"/>
      <c r="F692" s="86"/>
      <c r="G692" s="86"/>
      <c r="H692" s="86"/>
      <c r="I692" s="86"/>
      <c r="J692" s="86"/>
      <c r="K692" s="86"/>
      <c r="L692" s="86"/>
      <c r="M692" s="86"/>
      <c r="N692" s="88"/>
      <c r="O692" s="88"/>
      <c r="P692" s="86"/>
      <c r="Q692" s="168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>
        <f t="shared" si="446"/>
        <v>0</v>
      </c>
      <c r="AO692" s="86">
        <f t="shared" si="447"/>
        <v>0</v>
      </c>
      <c r="AP692" s="86"/>
      <c r="AQ692" s="86"/>
      <c r="AR692" s="86"/>
      <c r="AS692" s="86"/>
      <c r="AT692" s="86"/>
      <c r="AU692" s="86"/>
      <c r="AV692" s="86"/>
      <c r="AW692" s="86"/>
      <c r="AX692" s="86"/>
      <c r="AY692" s="86"/>
      <c r="AZ692" s="86"/>
      <c r="BA692" s="86"/>
      <c r="BB692" s="86"/>
      <c r="BC692" s="86"/>
      <c r="BD692" s="86"/>
      <c r="BE692" s="86"/>
      <c r="BF692" s="86"/>
      <c r="BG692" s="86"/>
      <c r="BH692" s="86"/>
      <c r="BI692" s="86"/>
      <c r="BJ692" s="86"/>
      <c r="BK692" s="86"/>
      <c r="BL692" s="86"/>
      <c r="BM692" s="86"/>
      <c r="BN692" s="86"/>
      <c r="BO692" s="86"/>
      <c r="BP692" s="86"/>
      <c r="BQ692" s="86"/>
      <c r="BR692" s="86"/>
      <c r="BS692" s="86"/>
      <c r="BT692" s="86"/>
      <c r="BU692" s="86"/>
      <c r="BV692" s="86"/>
      <c r="BW692" s="86"/>
      <c r="BX692" s="86"/>
      <c r="BY692" s="86"/>
      <c r="BZ692" s="86"/>
      <c r="CA692" s="86"/>
      <c r="CB692" s="86"/>
      <c r="CC692" s="86"/>
      <c r="CD692" s="86"/>
      <c r="CE692" s="86"/>
      <c r="CF692" s="86"/>
      <c r="CG692" s="86"/>
      <c r="CH692" s="86"/>
      <c r="CI692" s="86"/>
      <c r="CJ692" s="86"/>
      <c r="CK692" s="86"/>
      <c r="CL692" s="86"/>
      <c r="CM692" s="86"/>
      <c r="CN692" s="86"/>
      <c r="CO692" s="86"/>
      <c r="CP692" s="57">
        <f t="shared" si="452"/>
        <v>0</v>
      </c>
      <c r="CQ692" s="86"/>
      <c r="CR692" s="167">
        <f t="shared" si="453"/>
        <v>0</v>
      </c>
      <c r="CS692" s="86"/>
      <c r="CT692" s="86"/>
      <c r="CU692" s="86"/>
      <c r="CV692" s="86"/>
      <c r="CW692" s="86"/>
      <c r="CX692" s="86"/>
      <c r="CY692" s="47">
        <f t="shared" si="455"/>
        <v>0</v>
      </c>
      <c r="CZ692" s="86"/>
      <c r="DA692" s="86"/>
      <c r="DB692" s="86"/>
      <c r="DC692" s="86"/>
      <c r="DD692" s="86"/>
      <c r="DE692" s="86"/>
      <c r="DF692" s="86"/>
      <c r="DG692" s="86"/>
      <c r="DH692" s="86"/>
      <c r="DI692" s="86"/>
      <c r="DJ692" s="86"/>
      <c r="DK692" s="86"/>
      <c r="DL692" s="86"/>
      <c r="DM692" s="86"/>
      <c r="DN692" s="86"/>
      <c r="DO692" s="86"/>
      <c r="DP692" s="86"/>
      <c r="DQ692" s="86"/>
      <c r="DR692" s="118"/>
      <c r="DS692" s="118"/>
      <c r="DT692" s="86"/>
      <c r="DU692" s="86"/>
      <c r="DV692" s="86"/>
      <c r="DW692" s="86"/>
      <c r="DX692" s="86"/>
      <c r="DY692" s="86"/>
      <c r="DZ692" s="86"/>
      <c r="EA692" s="86"/>
      <c r="EB692" s="167"/>
      <c r="EC692" s="167"/>
      <c r="ED692" s="86"/>
      <c r="EE692" s="47">
        <f t="shared" si="462"/>
        <v>0</v>
      </c>
      <c r="EF692" s="86"/>
      <c r="EG692" s="86"/>
      <c r="EH692" s="86"/>
      <c r="EI692" s="86"/>
      <c r="EJ692" s="86"/>
      <c r="EK692" s="86">
        <v>0</v>
      </c>
      <c r="EL692" s="90">
        <f t="shared" si="458"/>
        <v>0</v>
      </c>
      <c r="EM692" s="86"/>
      <c r="EN692" s="90">
        <f t="shared" si="459"/>
        <v>0</v>
      </c>
    </row>
    <row r="693" spans="1:144" ht="15" customHeight="1" x14ac:dyDescent="0.25">
      <c r="A693" s="86"/>
      <c r="B693" s="88">
        <v>69</v>
      </c>
      <c r="C693" s="86"/>
      <c r="D693" s="87"/>
      <c r="E693" s="86"/>
      <c r="F693" s="86"/>
      <c r="G693" s="86"/>
      <c r="H693" s="86"/>
      <c r="I693" s="86"/>
      <c r="J693" s="86"/>
      <c r="K693" s="86"/>
      <c r="L693" s="86"/>
      <c r="M693" s="86"/>
      <c r="N693" s="88"/>
      <c r="O693" s="88"/>
      <c r="P693" s="86"/>
      <c r="Q693" s="168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>
        <f t="shared" si="446"/>
        <v>0</v>
      </c>
      <c r="AO693" s="86">
        <f t="shared" si="447"/>
        <v>0</v>
      </c>
      <c r="AP693" s="86"/>
      <c r="AQ693" s="86"/>
      <c r="AR693" s="86"/>
      <c r="AS693" s="86"/>
      <c r="AT693" s="86"/>
      <c r="AU693" s="86"/>
      <c r="AV693" s="86"/>
      <c r="AW693" s="86"/>
      <c r="AX693" s="86"/>
      <c r="AY693" s="86"/>
      <c r="AZ693" s="86"/>
      <c r="BA693" s="86"/>
      <c r="BB693" s="86"/>
      <c r="BC693" s="86"/>
      <c r="BD693" s="86"/>
      <c r="BE693" s="86"/>
      <c r="BF693" s="86"/>
      <c r="BG693" s="86"/>
      <c r="BH693" s="86"/>
      <c r="BI693" s="86"/>
      <c r="BJ693" s="86"/>
      <c r="BK693" s="86"/>
      <c r="BL693" s="86"/>
      <c r="BM693" s="86"/>
      <c r="BN693" s="86"/>
      <c r="BO693" s="86"/>
      <c r="BP693" s="86"/>
      <c r="BQ693" s="86"/>
      <c r="BR693" s="86"/>
      <c r="BS693" s="86"/>
      <c r="BT693" s="86"/>
      <c r="BU693" s="86"/>
      <c r="BV693" s="86"/>
      <c r="BW693" s="86"/>
      <c r="BX693" s="86"/>
      <c r="BY693" s="86"/>
      <c r="BZ693" s="86"/>
      <c r="CA693" s="86"/>
      <c r="CB693" s="86"/>
      <c r="CC693" s="86"/>
      <c r="CD693" s="86"/>
      <c r="CE693" s="86"/>
      <c r="CF693" s="86"/>
      <c r="CG693" s="86"/>
      <c r="CH693" s="86"/>
      <c r="CI693" s="86"/>
      <c r="CJ693" s="86"/>
      <c r="CK693" s="86"/>
      <c r="CL693" s="86"/>
      <c r="CM693" s="86"/>
      <c r="CN693" s="86"/>
      <c r="CO693" s="86"/>
      <c r="CP693" s="57">
        <f t="shared" ref="CP693:CP697" si="463">CN693*CO693</f>
        <v>0</v>
      </c>
      <c r="CQ693" s="86"/>
      <c r="CR693" s="167">
        <f t="shared" ref="CR693:CR763" si="464">+CM693+CP693+CQ693</f>
        <v>0</v>
      </c>
      <c r="CS693" s="86"/>
      <c r="CT693" s="86"/>
      <c r="CU693" s="86"/>
      <c r="CV693" s="86"/>
      <c r="CW693" s="86"/>
      <c r="CX693" s="86"/>
      <c r="CY693" s="47">
        <f t="shared" ref="CY693:CY709" si="465">+CT693+CW693+CX693</f>
        <v>0</v>
      </c>
      <c r="CZ693" s="86"/>
      <c r="DA693" s="86"/>
      <c r="DB693" s="86"/>
      <c r="DC693" s="86"/>
      <c r="DD693" s="86"/>
      <c r="DE693" s="86"/>
      <c r="DF693" s="86"/>
      <c r="DG693" s="86"/>
      <c r="DH693" s="86"/>
      <c r="DI693" s="86"/>
      <c r="DJ693" s="86"/>
      <c r="DK693" s="86"/>
      <c r="DL693" s="86"/>
      <c r="DM693" s="86"/>
      <c r="DN693" s="86"/>
      <c r="DO693" s="86"/>
      <c r="DP693" s="86"/>
      <c r="DQ693" s="86"/>
      <c r="DR693" s="118"/>
      <c r="DS693" s="118"/>
      <c r="DT693" s="86"/>
      <c r="DU693" s="86"/>
      <c r="DV693" s="86"/>
      <c r="DW693" s="86"/>
      <c r="DX693" s="86"/>
      <c r="DY693" s="86"/>
      <c r="DZ693" s="86"/>
      <c r="EA693" s="86"/>
      <c r="EB693" s="167"/>
      <c r="EC693" s="167"/>
      <c r="ED693" s="86"/>
      <c r="EE693" s="47">
        <f t="shared" si="462"/>
        <v>0</v>
      </c>
      <c r="EF693" s="86"/>
      <c r="EG693" s="86"/>
      <c r="EH693" s="86"/>
      <c r="EI693" s="86"/>
      <c r="EJ693" s="86"/>
      <c r="EK693" s="86">
        <v>0</v>
      </c>
      <c r="EL693" s="90">
        <f t="shared" ref="EL693:EL756" si="466">+AO693-EE693-EK693</f>
        <v>0</v>
      </c>
      <c r="EM693" s="86"/>
      <c r="EN693" s="90">
        <f t="shared" ref="EN693:EN756" si="467">EL693+EM693</f>
        <v>0</v>
      </c>
    </row>
    <row r="694" spans="1:144" ht="15" customHeight="1" x14ac:dyDescent="0.25">
      <c r="A694" s="86"/>
      <c r="B694" s="88">
        <v>70</v>
      </c>
      <c r="C694" s="86"/>
      <c r="D694" s="87"/>
      <c r="E694" s="86"/>
      <c r="F694" s="86"/>
      <c r="G694" s="86"/>
      <c r="H694" s="86"/>
      <c r="I694" s="86"/>
      <c r="J694" s="86"/>
      <c r="K694" s="86"/>
      <c r="L694" s="86"/>
      <c r="M694" s="86"/>
      <c r="N694" s="88"/>
      <c r="O694" s="88"/>
      <c r="P694" s="86"/>
      <c r="Q694" s="168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>
        <f t="shared" ref="AN694:AN755" si="468">+X694+Y694+Z694+AA694+AB694+AC694+AD694+AE694+AF694+AG694+AH694+AI694+AJ694+AL694+AM694</f>
        <v>0</v>
      </c>
      <c r="AO694" s="86">
        <f t="shared" ref="AO694:AO740" si="469">+T694-AN694</f>
        <v>0</v>
      </c>
      <c r="AP694" s="86"/>
      <c r="AQ694" s="86"/>
      <c r="AR694" s="86"/>
      <c r="AS694" s="86"/>
      <c r="AT694" s="86"/>
      <c r="AU694" s="86"/>
      <c r="AV694" s="86"/>
      <c r="AW694" s="86"/>
      <c r="AX694" s="86"/>
      <c r="AY694" s="86"/>
      <c r="AZ694" s="86"/>
      <c r="BA694" s="86"/>
      <c r="BB694" s="86"/>
      <c r="BC694" s="86"/>
      <c r="BD694" s="86"/>
      <c r="BE694" s="86"/>
      <c r="BF694" s="86"/>
      <c r="BG694" s="86"/>
      <c r="BH694" s="86"/>
      <c r="BI694" s="86"/>
      <c r="BJ694" s="86"/>
      <c r="BK694" s="86"/>
      <c r="BL694" s="86"/>
      <c r="BM694" s="86"/>
      <c r="BN694" s="86"/>
      <c r="BO694" s="86"/>
      <c r="BP694" s="86"/>
      <c r="BQ694" s="86"/>
      <c r="BR694" s="86"/>
      <c r="BS694" s="86"/>
      <c r="BT694" s="86"/>
      <c r="BU694" s="86"/>
      <c r="BV694" s="86"/>
      <c r="BW694" s="86"/>
      <c r="BX694" s="86"/>
      <c r="BY694" s="86"/>
      <c r="BZ694" s="86"/>
      <c r="CA694" s="86"/>
      <c r="CB694" s="86"/>
      <c r="CC694" s="86"/>
      <c r="CD694" s="86"/>
      <c r="CE694" s="86"/>
      <c r="CF694" s="86"/>
      <c r="CG694" s="86"/>
      <c r="CH694" s="86"/>
      <c r="CI694" s="86"/>
      <c r="CJ694" s="86"/>
      <c r="CK694" s="86"/>
      <c r="CL694" s="86"/>
      <c r="CM694" s="86"/>
      <c r="CN694" s="86"/>
      <c r="CO694" s="86"/>
      <c r="CP694" s="57">
        <f t="shared" si="463"/>
        <v>0</v>
      </c>
      <c r="CQ694" s="86"/>
      <c r="CR694" s="167">
        <f t="shared" si="464"/>
        <v>0</v>
      </c>
      <c r="CS694" s="86"/>
      <c r="CT694" s="86"/>
      <c r="CU694" s="86"/>
      <c r="CV694" s="86"/>
      <c r="CW694" s="86"/>
      <c r="CX694" s="86"/>
      <c r="CY694" s="47">
        <f t="shared" si="465"/>
        <v>0</v>
      </c>
      <c r="CZ694" s="86"/>
      <c r="DA694" s="86"/>
      <c r="DB694" s="86"/>
      <c r="DC694" s="86"/>
      <c r="DD694" s="86"/>
      <c r="DE694" s="86"/>
      <c r="DF694" s="86"/>
      <c r="DG694" s="86"/>
      <c r="DH694" s="86"/>
      <c r="DI694" s="86"/>
      <c r="DJ694" s="86"/>
      <c r="DK694" s="86"/>
      <c r="DL694" s="86"/>
      <c r="DM694" s="86"/>
      <c r="DN694" s="86"/>
      <c r="DO694" s="86"/>
      <c r="DP694" s="86"/>
      <c r="DQ694" s="86"/>
      <c r="DR694" s="118"/>
      <c r="DS694" s="118"/>
      <c r="DT694" s="86"/>
      <c r="DU694" s="86"/>
      <c r="DV694" s="86"/>
      <c r="DW694" s="86"/>
      <c r="DX694" s="86"/>
      <c r="DY694" s="86"/>
      <c r="DZ694" s="86"/>
      <c r="EA694" s="86"/>
      <c r="EB694" s="167"/>
      <c r="EC694" s="167"/>
      <c r="ED694" s="86"/>
      <c r="EE694" s="47">
        <f t="shared" si="462"/>
        <v>0</v>
      </c>
      <c r="EF694" s="86"/>
      <c r="EG694" s="86"/>
      <c r="EH694" s="86"/>
      <c r="EI694" s="86"/>
      <c r="EJ694" s="86"/>
      <c r="EK694" s="86">
        <v>0</v>
      </c>
      <c r="EL694" s="90">
        <f t="shared" si="466"/>
        <v>0</v>
      </c>
      <c r="EM694" s="86"/>
      <c r="EN694" s="90">
        <f t="shared" si="467"/>
        <v>0</v>
      </c>
    </row>
    <row r="695" spans="1:144" ht="15" customHeight="1" x14ac:dyDescent="0.25">
      <c r="A695" s="86"/>
      <c r="B695" s="88">
        <v>71</v>
      </c>
      <c r="C695" s="86"/>
      <c r="D695" s="87"/>
      <c r="E695" s="86"/>
      <c r="F695" s="86"/>
      <c r="G695" s="86"/>
      <c r="H695" s="86"/>
      <c r="I695" s="86"/>
      <c r="J695" s="86"/>
      <c r="K695" s="86"/>
      <c r="L695" s="86"/>
      <c r="M695" s="86"/>
      <c r="N695" s="88"/>
      <c r="O695" s="88"/>
      <c r="P695" s="86"/>
      <c r="Q695" s="168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>
        <f t="shared" si="468"/>
        <v>0</v>
      </c>
      <c r="AO695" s="86">
        <f t="shared" si="469"/>
        <v>0</v>
      </c>
      <c r="AP695" s="86"/>
      <c r="AQ695" s="86"/>
      <c r="AR695" s="86"/>
      <c r="AS695" s="86"/>
      <c r="AT695" s="86"/>
      <c r="AU695" s="86"/>
      <c r="AV695" s="86"/>
      <c r="AW695" s="86"/>
      <c r="AX695" s="86"/>
      <c r="AY695" s="86"/>
      <c r="AZ695" s="86"/>
      <c r="BA695" s="86"/>
      <c r="BB695" s="86"/>
      <c r="BC695" s="86"/>
      <c r="BD695" s="86"/>
      <c r="BE695" s="86"/>
      <c r="BF695" s="86"/>
      <c r="BG695" s="86"/>
      <c r="BH695" s="86"/>
      <c r="BI695" s="86"/>
      <c r="BJ695" s="86"/>
      <c r="BK695" s="86"/>
      <c r="BL695" s="86"/>
      <c r="BM695" s="86"/>
      <c r="BN695" s="86"/>
      <c r="BO695" s="86"/>
      <c r="BP695" s="86"/>
      <c r="BQ695" s="86"/>
      <c r="BR695" s="86"/>
      <c r="BS695" s="86"/>
      <c r="BT695" s="86"/>
      <c r="BU695" s="86"/>
      <c r="BV695" s="86"/>
      <c r="BW695" s="86"/>
      <c r="BX695" s="86"/>
      <c r="BY695" s="86"/>
      <c r="BZ695" s="86"/>
      <c r="CA695" s="86"/>
      <c r="CB695" s="86"/>
      <c r="CC695" s="86"/>
      <c r="CD695" s="86"/>
      <c r="CE695" s="86"/>
      <c r="CF695" s="86"/>
      <c r="CG695" s="86"/>
      <c r="CH695" s="86"/>
      <c r="CI695" s="86"/>
      <c r="CJ695" s="86"/>
      <c r="CK695" s="86"/>
      <c r="CL695" s="86"/>
      <c r="CM695" s="86"/>
      <c r="CN695" s="86"/>
      <c r="CO695" s="86"/>
      <c r="CP695" s="57">
        <f t="shared" si="463"/>
        <v>0</v>
      </c>
      <c r="CQ695" s="86"/>
      <c r="CR695" s="86">
        <f t="shared" si="464"/>
        <v>0</v>
      </c>
      <c r="CS695" s="86"/>
      <c r="CT695" s="86"/>
      <c r="CU695" s="86"/>
      <c r="CV695" s="86"/>
      <c r="CW695" s="86"/>
      <c r="CX695" s="86"/>
      <c r="CY695" s="47">
        <f t="shared" si="465"/>
        <v>0</v>
      </c>
      <c r="CZ695" s="86"/>
      <c r="DA695" s="86"/>
      <c r="DB695" s="86"/>
      <c r="DC695" s="86"/>
      <c r="DD695" s="86"/>
      <c r="DE695" s="86"/>
      <c r="DF695" s="86"/>
      <c r="DG695" s="86"/>
      <c r="DH695" s="86"/>
      <c r="DI695" s="86"/>
      <c r="DJ695" s="86"/>
      <c r="DK695" s="86"/>
      <c r="DL695" s="86"/>
      <c r="DM695" s="86"/>
      <c r="DN695" s="86"/>
      <c r="DO695" s="86"/>
      <c r="DP695" s="86"/>
      <c r="DQ695" s="86"/>
      <c r="DR695" s="118"/>
      <c r="DS695" s="118"/>
      <c r="DT695" s="86"/>
      <c r="DU695" s="86"/>
      <c r="DV695" s="86"/>
      <c r="DW695" s="86"/>
      <c r="DX695" s="86"/>
      <c r="DY695" s="86"/>
      <c r="DZ695" s="86"/>
      <c r="EA695" s="86"/>
      <c r="EB695" s="167"/>
      <c r="EC695" s="167"/>
      <c r="ED695" s="86"/>
      <c r="EE695" s="47">
        <f t="shared" si="462"/>
        <v>0</v>
      </c>
      <c r="EF695" s="86"/>
      <c r="EG695" s="86"/>
      <c r="EH695" s="86"/>
      <c r="EI695" s="86"/>
      <c r="EJ695" s="86"/>
      <c r="EK695" s="86">
        <v>0</v>
      </c>
      <c r="EL695" s="90">
        <f t="shared" si="466"/>
        <v>0</v>
      </c>
      <c r="EM695" s="86"/>
      <c r="EN695" s="90">
        <f t="shared" si="467"/>
        <v>0</v>
      </c>
    </row>
    <row r="696" spans="1:144" ht="15" customHeight="1" x14ac:dyDescent="0.25">
      <c r="A696" s="86"/>
      <c r="B696" s="88">
        <v>72</v>
      </c>
      <c r="C696" s="86"/>
      <c r="D696" s="87"/>
      <c r="E696" s="86"/>
      <c r="F696" s="86"/>
      <c r="G696" s="86"/>
      <c r="H696" s="86"/>
      <c r="I696" s="86"/>
      <c r="J696" s="86"/>
      <c r="K696" s="86"/>
      <c r="L696" s="86"/>
      <c r="M696" s="86"/>
      <c r="N696" s="88"/>
      <c r="O696" s="88"/>
      <c r="P696" s="86"/>
      <c r="Q696" s="168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>
        <f t="shared" si="468"/>
        <v>0</v>
      </c>
      <c r="AO696" s="86">
        <f t="shared" si="469"/>
        <v>0</v>
      </c>
      <c r="AP696" s="86"/>
      <c r="AQ696" s="86"/>
      <c r="AR696" s="86"/>
      <c r="AS696" s="86"/>
      <c r="AT696" s="86"/>
      <c r="AU696" s="86"/>
      <c r="AV696" s="86"/>
      <c r="AW696" s="86"/>
      <c r="AX696" s="86"/>
      <c r="AY696" s="86"/>
      <c r="AZ696" s="86"/>
      <c r="BA696" s="86"/>
      <c r="BB696" s="86"/>
      <c r="BC696" s="86"/>
      <c r="BD696" s="86"/>
      <c r="BE696" s="86"/>
      <c r="BF696" s="86"/>
      <c r="BG696" s="86"/>
      <c r="BH696" s="86"/>
      <c r="BI696" s="86"/>
      <c r="BJ696" s="86"/>
      <c r="BK696" s="86"/>
      <c r="BL696" s="86"/>
      <c r="BM696" s="86"/>
      <c r="BN696" s="86"/>
      <c r="BO696" s="86"/>
      <c r="BP696" s="86"/>
      <c r="BQ696" s="86"/>
      <c r="BR696" s="86"/>
      <c r="BS696" s="86"/>
      <c r="BT696" s="86"/>
      <c r="BU696" s="86"/>
      <c r="BV696" s="86"/>
      <c r="BW696" s="86"/>
      <c r="BX696" s="86"/>
      <c r="BY696" s="86"/>
      <c r="BZ696" s="86"/>
      <c r="CA696" s="86"/>
      <c r="CB696" s="86"/>
      <c r="CC696" s="86"/>
      <c r="CD696" s="86"/>
      <c r="CE696" s="86"/>
      <c r="CF696" s="86"/>
      <c r="CG696" s="86"/>
      <c r="CH696" s="86"/>
      <c r="CI696" s="86"/>
      <c r="CJ696" s="86"/>
      <c r="CK696" s="86"/>
      <c r="CL696" s="86"/>
      <c r="CM696" s="86"/>
      <c r="CN696" s="86"/>
      <c r="CO696" s="86"/>
      <c r="CP696" s="57">
        <f t="shared" si="463"/>
        <v>0</v>
      </c>
      <c r="CQ696" s="86"/>
      <c r="CR696" s="86">
        <f t="shared" si="464"/>
        <v>0</v>
      </c>
      <c r="CS696" s="86"/>
      <c r="CT696" s="86"/>
      <c r="CU696" s="86"/>
      <c r="CV696" s="86"/>
      <c r="CW696" s="86"/>
      <c r="CX696" s="86"/>
      <c r="CY696" s="47">
        <f t="shared" si="465"/>
        <v>0</v>
      </c>
      <c r="CZ696" s="86"/>
      <c r="DA696" s="86"/>
      <c r="DB696" s="86"/>
      <c r="DC696" s="86"/>
      <c r="DD696" s="86"/>
      <c r="DE696" s="86"/>
      <c r="DF696" s="86"/>
      <c r="DG696" s="86"/>
      <c r="DH696" s="86"/>
      <c r="DI696" s="86"/>
      <c r="DJ696" s="86"/>
      <c r="DK696" s="86"/>
      <c r="DL696" s="86"/>
      <c r="DM696" s="86"/>
      <c r="DN696" s="86"/>
      <c r="DO696" s="86"/>
      <c r="DP696" s="86"/>
      <c r="DQ696" s="86"/>
      <c r="DR696" s="118"/>
      <c r="DS696" s="118"/>
      <c r="DT696" s="86"/>
      <c r="DU696" s="86"/>
      <c r="DV696" s="86"/>
      <c r="DW696" s="86"/>
      <c r="DX696" s="86"/>
      <c r="DY696" s="86"/>
      <c r="DZ696" s="86"/>
      <c r="EA696" s="86"/>
      <c r="EB696" s="167"/>
      <c r="EC696" s="167"/>
      <c r="ED696" s="86"/>
      <c r="EE696" s="47">
        <f t="shared" si="462"/>
        <v>0</v>
      </c>
      <c r="EF696" s="86"/>
      <c r="EG696" s="86"/>
      <c r="EH696" s="86"/>
      <c r="EI696" s="86"/>
      <c r="EJ696" s="86"/>
      <c r="EK696" s="86">
        <v>0</v>
      </c>
      <c r="EL696" s="90">
        <f t="shared" si="466"/>
        <v>0</v>
      </c>
      <c r="EM696" s="86"/>
      <c r="EN696" s="90">
        <f t="shared" si="467"/>
        <v>0</v>
      </c>
    </row>
    <row r="697" spans="1:144" ht="15" customHeight="1" x14ac:dyDescent="0.25">
      <c r="A697" s="86"/>
      <c r="B697" s="88">
        <v>73</v>
      </c>
      <c r="C697" s="86"/>
      <c r="D697" s="87"/>
      <c r="E697" s="86"/>
      <c r="F697" s="86"/>
      <c r="G697" s="86"/>
      <c r="H697" s="86"/>
      <c r="I697" s="86"/>
      <c r="J697" s="86"/>
      <c r="K697" s="86"/>
      <c r="L697" s="86"/>
      <c r="M697" s="86"/>
      <c r="N697" s="88"/>
      <c r="O697" s="88"/>
      <c r="P697" s="86"/>
      <c r="Q697" s="168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>
        <f t="shared" si="468"/>
        <v>0</v>
      </c>
      <c r="AO697" s="86">
        <f t="shared" si="469"/>
        <v>0</v>
      </c>
      <c r="AP697" s="86"/>
      <c r="AQ697" s="86"/>
      <c r="AR697" s="86"/>
      <c r="AS697" s="86"/>
      <c r="AT697" s="86"/>
      <c r="AU697" s="86"/>
      <c r="AV697" s="86"/>
      <c r="AW697" s="86"/>
      <c r="AX697" s="86"/>
      <c r="AY697" s="86"/>
      <c r="AZ697" s="86"/>
      <c r="BA697" s="86"/>
      <c r="BB697" s="86"/>
      <c r="BC697" s="86"/>
      <c r="BD697" s="86"/>
      <c r="BE697" s="86"/>
      <c r="BF697" s="86"/>
      <c r="BG697" s="86"/>
      <c r="BH697" s="86"/>
      <c r="BI697" s="86"/>
      <c r="BJ697" s="86"/>
      <c r="BK697" s="86"/>
      <c r="BL697" s="86"/>
      <c r="BM697" s="86"/>
      <c r="BN697" s="86"/>
      <c r="BO697" s="86"/>
      <c r="BP697" s="86"/>
      <c r="BQ697" s="86"/>
      <c r="BR697" s="86"/>
      <c r="BS697" s="86"/>
      <c r="BT697" s="86"/>
      <c r="BU697" s="86"/>
      <c r="BV697" s="86"/>
      <c r="BW697" s="86"/>
      <c r="BX697" s="86"/>
      <c r="BY697" s="86"/>
      <c r="BZ697" s="86"/>
      <c r="CA697" s="86"/>
      <c r="CB697" s="86"/>
      <c r="CC697" s="86"/>
      <c r="CD697" s="86"/>
      <c r="CE697" s="86"/>
      <c r="CF697" s="86"/>
      <c r="CG697" s="86"/>
      <c r="CH697" s="86"/>
      <c r="CI697" s="86"/>
      <c r="CJ697" s="86"/>
      <c r="CK697" s="86"/>
      <c r="CL697" s="86"/>
      <c r="CM697" s="86"/>
      <c r="CN697" s="86"/>
      <c r="CO697" s="86"/>
      <c r="CP697" s="57">
        <f t="shared" si="463"/>
        <v>0</v>
      </c>
      <c r="CQ697" s="86"/>
      <c r="CR697" s="86">
        <f t="shared" si="464"/>
        <v>0</v>
      </c>
      <c r="CS697" s="86"/>
      <c r="CT697" s="86"/>
      <c r="CU697" s="86"/>
      <c r="CV697" s="86"/>
      <c r="CW697" s="86"/>
      <c r="CX697" s="86"/>
      <c r="CY697" s="47">
        <f t="shared" si="465"/>
        <v>0</v>
      </c>
      <c r="CZ697" s="86"/>
      <c r="DA697" s="86"/>
      <c r="DB697" s="86"/>
      <c r="DC697" s="86"/>
      <c r="DD697" s="86"/>
      <c r="DE697" s="86"/>
      <c r="DF697" s="86"/>
      <c r="DG697" s="86"/>
      <c r="DH697" s="86"/>
      <c r="DI697" s="86"/>
      <c r="DJ697" s="86"/>
      <c r="DK697" s="86"/>
      <c r="DL697" s="86"/>
      <c r="DM697" s="86"/>
      <c r="DN697" s="86"/>
      <c r="DO697" s="86"/>
      <c r="DP697" s="86"/>
      <c r="DQ697" s="86"/>
      <c r="DR697" s="118"/>
      <c r="DS697" s="118"/>
      <c r="DT697" s="86"/>
      <c r="DU697" s="86"/>
      <c r="DV697" s="86"/>
      <c r="DW697" s="86"/>
      <c r="DX697" s="86"/>
      <c r="DY697" s="86"/>
      <c r="DZ697" s="86"/>
      <c r="EA697" s="86"/>
      <c r="EB697" s="167"/>
      <c r="EC697" s="167"/>
      <c r="ED697" s="86"/>
      <c r="EE697" s="47">
        <f t="shared" si="462"/>
        <v>0</v>
      </c>
      <c r="EF697" s="86"/>
      <c r="EG697" s="86"/>
      <c r="EH697" s="86"/>
      <c r="EI697" s="86"/>
      <c r="EJ697" s="86"/>
      <c r="EK697" s="86">
        <v>0</v>
      </c>
      <c r="EL697" s="90">
        <f t="shared" si="466"/>
        <v>0</v>
      </c>
      <c r="EM697" s="86"/>
      <c r="EN697" s="90">
        <f t="shared" si="467"/>
        <v>0</v>
      </c>
    </row>
    <row r="698" spans="1:144" ht="15" customHeight="1" x14ac:dyDescent="0.25">
      <c r="A698" s="86"/>
      <c r="B698" s="88">
        <v>74</v>
      </c>
      <c r="C698" s="86"/>
      <c r="D698" s="87"/>
      <c r="E698" s="86"/>
      <c r="F698" s="86"/>
      <c r="G698" s="86"/>
      <c r="H698" s="86"/>
      <c r="I698" s="86"/>
      <c r="J698" s="86"/>
      <c r="K698" s="86"/>
      <c r="L698" s="86"/>
      <c r="M698" s="86"/>
      <c r="N698" s="88"/>
      <c r="O698" s="88"/>
      <c r="P698" s="86"/>
      <c r="Q698" s="168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>
        <f t="shared" si="468"/>
        <v>0</v>
      </c>
      <c r="AO698" s="86">
        <f t="shared" si="469"/>
        <v>0</v>
      </c>
      <c r="AP698" s="86"/>
      <c r="AQ698" s="86"/>
      <c r="AR698" s="86"/>
      <c r="AS698" s="86"/>
      <c r="AT698" s="86"/>
      <c r="AU698" s="86"/>
      <c r="AV698" s="86"/>
      <c r="AW698" s="86"/>
      <c r="AX698" s="86"/>
      <c r="AY698" s="86"/>
      <c r="AZ698" s="86"/>
      <c r="BA698" s="86"/>
      <c r="BB698" s="86"/>
      <c r="BC698" s="86"/>
      <c r="BD698" s="86"/>
      <c r="BE698" s="86"/>
      <c r="BF698" s="86"/>
      <c r="BG698" s="86"/>
      <c r="BH698" s="86"/>
      <c r="BI698" s="86"/>
      <c r="BJ698" s="86"/>
      <c r="BK698" s="86"/>
      <c r="BL698" s="86"/>
      <c r="BM698" s="86"/>
      <c r="BN698" s="86"/>
      <c r="BO698" s="86"/>
      <c r="BP698" s="86"/>
      <c r="BQ698" s="86"/>
      <c r="BR698" s="86"/>
      <c r="BS698" s="86"/>
      <c r="BT698" s="86"/>
      <c r="BU698" s="86"/>
      <c r="BV698" s="86"/>
      <c r="BW698" s="86"/>
      <c r="BX698" s="86"/>
      <c r="BY698" s="86"/>
      <c r="BZ698" s="86"/>
      <c r="CA698" s="86"/>
      <c r="CB698" s="86"/>
      <c r="CC698" s="86"/>
      <c r="CD698" s="86"/>
      <c r="CE698" s="86"/>
      <c r="CF698" s="86"/>
      <c r="CG698" s="86"/>
      <c r="CH698" s="86"/>
      <c r="CI698" s="86"/>
      <c r="CJ698" s="86"/>
      <c r="CK698" s="86"/>
      <c r="CL698" s="86"/>
      <c r="CM698" s="86"/>
      <c r="CN698" s="86"/>
      <c r="CO698" s="86"/>
      <c r="CP698" s="86"/>
      <c r="CQ698" s="86"/>
      <c r="CR698" s="86">
        <f t="shared" si="464"/>
        <v>0</v>
      </c>
      <c r="CS698" s="86"/>
      <c r="CT698" s="86"/>
      <c r="CU698" s="86"/>
      <c r="CV698" s="86"/>
      <c r="CW698" s="86"/>
      <c r="CX698" s="86"/>
      <c r="CY698" s="47">
        <f t="shared" si="465"/>
        <v>0</v>
      </c>
      <c r="CZ698" s="86"/>
      <c r="DA698" s="86"/>
      <c r="DB698" s="86"/>
      <c r="DC698" s="86"/>
      <c r="DD698" s="86"/>
      <c r="DE698" s="86"/>
      <c r="DF698" s="86"/>
      <c r="DG698" s="86"/>
      <c r="DH698" s="86"/>
      <c r="DI698" s="86"/>
      <c r="DJ698" s="86"/>
      <c r="DK698" s="86"/>
      <c r="DL698" s="86"/>
      <c r="DM698" s="86"/>
      <c r="DN698" s="86"/>
      <c r="DP698" s="86"/>
      <c r="DQ698" s="86"/>
      <c r="DR698" s="118"/>
      <c r="DS698" s="118"/>
      <c r="DT698" s="86"/>
      <c r="DU698" s="86"/>
      <c r="DV698" s="86"/>
      <c r="DW698" s="86"/>
      <c r="DX698" s="86"/>
      <c r="DY698" s="86"/>
      <c r="DZ698" s="86"/>
      <c r="EA698" s="86"/>
      <c r="EB698" s="167"/>
      <c r="EC698" s="167"/>
      <c r="ED698" s="86"/>
      <c r="EE698" s="47">
        <f t="shared" si="462"/>
        <v>0</v>
      </c>
      <c r="EF698" s="86"/>
      <c r="EG698" s="86"/>
      <c r="EH698" s="86"/>
      <c r="EI698" s="86"/>
      <c r="EJ698" s="86"/>
      <c r="EK698" s="86">
        <v>0</v>
      </c>
      <c r="EL698" s="90">
        <f t="shared" si="466"/>
        <v>0</v>
      </c>
      <c r="EM698" s="86"/>
      <c r="EN698" s="90">
        <f t="shared" si="467"/>
        <v>0</v>
      </c>
    </row>
    <row r="699" spans="1:144" ht="15" customHeight="1" x14ac:dyDescent="0.25">
      <c r="A699" s="86"/>
      <c r="B699" s="88">
        <v>75</v>
      </c>
      <c r="C699" s="86"/>
      <c r="D699" s="87"/>
      <c r="E699" s="86"/>
      <c r="F699" s="86"/>
      <c r="G699" s="86"/>
      <c r="H699" s="86"/>
      <c r="I699" s="86"/>
      <c r="J699" s="86"/>
      <c r="K699" s="86"/>
      <c r="L699" s="86"/>
      <c r="M699" s="86"/>
      <c r="N699" s="88"/>
      <c r="O699" s="88"/>
      <c r="P699" s="86"/>
      <c r="Q699" s="168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>
        <f t="shared" si="468"/>
        <v>0</v>
      </c>
      <c r="AO699" s="86">
        <f t="shared" si="469"/>
        <v>0</v>
      </c>
      <c r="AP699" s="86"/>
      <c r="AQ699" s="86"/>
      <c r="AR699" s="86"/>
      <c r="AS699" s="86"/>
      <c r="AT699" s="86"/>
      <c r="AU699" s="86"/>
      <c r="AV699" s="86"/>
      <c r="AW699" s="86"/>
      <c r="AX699" s="86"/>
      <c r="AY699" s="86"/>
      <c r="AZ699" s="86"/>
      <c r="BA699" s="86"/>
      <c r="BB699" s="86"/>
      <c r="BC699" s="86"/>
      <c r="BD699" s="86"/>
      <c r="BE699" s="86"/>
      <c r="BF699" s="86"/>
      <c r="BG699" s="86"/>
      <c r="BH699" s="86"/>
      <c r="BI699" s="86"/>
      <c r="BJ699" s="86"/>
      <c r="BK699" s="86"/>
      <c r="BL699" s="86"/>
      <c r="BM699" s="86"/>
      <c r="BN699" s="86"/>
      <c r="BO699" s="86"/>
      <c r="BP699" s="86"/>
      <c r="BQ699" s="86"/>
      <c r="BR699" s="86"/>
      <c r="BS699" s="86"/>
      <c r="BT699" s="86"/>
      <c r="BU699" s="86"/>
      <c r="BV699" s="86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  <c r="CO699" s="86"/>
      <c r="CP699" s="86"/>
      <c r="CQ699" s="86"/>
      <c r="CR699" s="86">
        <f t="shared" si="464"/>
        <v>0</v>
      </c>
      <c r="CS699" s="86"/>
      <c r="CT699" s="86"/>
      <c r="CU699" s="86"/>
      <c r="CV699" s="86"/>
      <c r="CW699" s="86"/>
      <c r="CX699" s="86"/>
      <c r="CY699" s="47">
        <f t="shared" si="465"/>
        <v>0</v>
      </c>
      <c r="CZ699" s="86"/>
      <c r="DA699" s="86"/>
      <c r="DB699" s="86"/>
      <c r="DC699" s="86"/>
      <c r="DD699" s="86"/>
      <c r="DE699" s="86"/>
      <c r="DF699" s="86"/>
      <c r="DG699" s="86"/>
      <c r="DH699" s="86"/>
      <c r="DI699" s="86"/>
      <c r="DJ699" s="86"/>
      <c r="DK699" s="86"/>
      <c r="DL699" s="86"/>
      <c r="DM699" s="86"/>
      <c r="DN699" s="86"/>
      <c r="DO699" s="86"/>
      <c r="DP699" s="86"/>
      <c r="DQ699" s="86"/>
      <c r="DR699" s="118"/>
      <c r="DS699" s="118"/>
      <c r="DT699" s="86"/>
      <c r="DU699" s="86"/>
      <c r="DV699" s="86"/>
      <c r="DW699" s="86"/>
      <c r="DX699" s="86"/>
      <c r="DY699" s="86"/>
      <c r="DZ699" s="86"/>
      <c r="EA699" s="86"/>
      <c r="EB699" s="167"/>
      <c r="EC699" s="167"/>
      <c r="ED699" s="86"/>
      <c r="EE699" s="47">
        <f t="shared" si="462"/>
        <v>0</v>
      </c>
      <c r="EF699" s="86"/>
      <c r="EG699" s="86"/>
      <c r="EH699" s="86"/>
      <c r="EI699" s="86"/>
      <c r="EJ699" s="86"/>
      <c r="EK699" s="86">
        <v>0</v>
      </c>
      <c r="EL699" s="90">
        <f t="shared" si="466"/>
        <v>0</v>
      </c>
      <c r="EM699" s="86"/>
      <c r="EN699" s="90">
        <f t="shared" si="467"/>
        <v>0</v>
      </c>
    </row>
    <row r="700" spans="1:144" ht="15" customHeight="1" x14ac:dyDescent="0.25">
      <c r="A700" s="86"/>
      <c r="B700" s="88">
        <v>76</v>
      </c>
      <c r="C700" s="86"/>
      <c r="D700" s="87"/>
      <c r="E700" s="86"/>
      <c r="F700" s="86"/>
      <c r="G700" s="86"/>
      <c r="H700" s="86"/>
      <c r="I700" s="86"/>
      <c r="J700" s="86"/>
      <c r="K700" s="86"/>
      <c r="L700" s="86"/>
      <c r="M700" s="86"/>
      <c r="N700" s="88"/>
      <c r="O700" s="88"/>
      <c r="P700" s="86"/>
      <c r="Q700" s="168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>
        <f t="shared" si="468"/>
        <v>0</v>
      </c>
      <c r="AO700" s="86">
        <f t="shared" si="469"/>
        <v>0</v>
      </c>
      <c r="AP700" s="86"/>
      <c r="AQ700" s="86"/>
      <c r="AR700" s="86"/>
      <c r="AS700" s="86"/>
      <c r="AT700" s="86"/>
      <c r="AU700" s="86"/>
      <c r="AV700" s="86"/>
      <c r="AW700" s="86"/>
      <c r="AX700" s="86"/>
      <c r="AY700" s="86"/>
      <c r="AZ700" s="86"/>
      <c r="BA700" s="86"/>
      <c r="BB700" s="86"/>
      <c r="BC700" s="86"/>
      <c r="BD700" s="86"/>
      <c r="BE700" s="86"/>
      <c r="BF700" s="86"/>
      <c r="BG700" s="86"/>
      <c r="BH700" s="86"/>
      <c r="BI700" s="86"/>
      <c r="BJ700" s="86"/>
      <c r="BK700" s="86"/>
      <c r="BL700" s="86"/>
      <c r="BM700" s="86"/>
      <c r="BN700" s="86"/>
      <c r="BO700" s="86"/>
      <c r="BP700" s="86"/>
      <c r="BQ700" s="86"/>
      <c r="BR700" s="86"/>
      <c r="BS700" s="86"/>
      <c r="BT700" s="86"/>
      <c r="BU700" s="86"/>
      <c r="BV700" s="86"/>
      <c r="BW700" s="86"/>
      <c r="BX700" s="86"/>
      <c r="BY700" s="86"/>
      <c r="BZ700" s="86"/>
      <c r="CA700" s="86"/>
      <c r="CB700" s="86"/>
      <c r="CC700" s="86"/>
      <c r="CD700" s="86"/>
      <c r="CE700" s="86"/>
      <c r="CF700" s="86"/>
      <c r="CG700" s="86"/>
      <c r="CH700" s="86"/>
      <c r="CI700" s="86"/>
      <c r="CJ700" s="86"/>
      <c r="CK700" s="86"/>
      <c r="CL700" s="86"/>
      <c r="CM700" s="86"/>
      <c r="CN700" s="86"/>
      <c r="CO700" s="86"/>
      <c r="CP700" s="86"/>
      <c r="CQ700" s="86"/>
      <c r="CR700" s="86">
        <f t="shared" si="464"/>
        <v>0</v>
      </c>
      <c r="CS700" s="86"/>
      <c r="CT700" s="86"/>
      <c r="CU700" s="86"/>
      <c r="CV700" s="86"/>
      <c r="CW700" s="86"/>
      <c r="CX700" s="86"/>
      <c r="CY700" s="47">
        <f t="shared" si="465"/>
        <v>0</v>
      </c>
      <c r="CZ700" s="86"/>
      <c r="DA700" s="86"/>
      <c r="DB700" s="86"/>
      <c r="DC700" s="86"/>
      <c r="DD700" s="86"/>
      <c r="DE700" s="86"/>
      <c r="DF700" s="86"/>
      <c r="DG700" s="86"/>
      <c r="DH700" s="86"/>
      <c r="DI700" s="86"/>
      <c r="DJ700" s="86"/>
      <c r="DK700" s="86"/>
      <c r="DL700" s="86"/>
      <c r="DM700" s="86"/>
      <c r="DN700" s="86"/>
      <c r="DO700" s="86"/>
      <c r="DP700" s="86"/>
      <c r="DQ700" s="86"/>
      <c r="DR700" s="118"/>
      <c r="DS700" s="118"/>
      <c r="DT700" s="86"/>
      <c r="DU700" s="86"/>
      <c r="DV700" s="86"/>
      <c r="DW700" s="86"/>
      <c r="DX700" s="86"/>
      <c r="DY700" s="86"/>
      <c r="DZ700" s="86"/>
      <c r="EA700" s="86"/>
      <c r="EB700" s="167"/>
      <c r="EC700" s="167"/>
      <c r="ED700" s="86"/>
      <c r="EE700" s="47">
        <f t="shared" si="462"/>
        <v>0</v>
      </c>
      <c r="EF700" s="86"/>
      <c r="EG700" s="86"/>
      <c r="EH700" s="86"/>
      <c r="EI700" s="86"/>
      <c r="EJ700" s="86"/>
      <c r="EK700" s="86">
        <v>0</v>
      </c>
      <c r="EL700" s="90">
        <f t="shared" si="466"/>
        <v>0</v>
      </c>
      <c r="EM700" s="86"/>
      <c r="EN700" s="90">
        <f t="shared" si="467"/>
        <v>0</v>
      </c>
    </row>
    <row r="701" spans="1:144" ht="15" customHeight="1" x14ac:dyDescent="0.25">
      <c r="A701" s="86"/>
      <c r="B701" s="88">
        <v>77</v>
      </c>
      <c r="C701" s="86"/>
      <c r="D701" s="87"/>
      <c r="E701" s="86"/>
      <c r="F701" s="86"/>
      <c r="G701" s="86"/>
      <c r="H701" s="86"/>
      <c r="I701" s="86"/>
      <c r="J701" s="86"/>
      <c r="K701" s="86"/>
      <c r="L701" s="86"/>
      <c r="M701" s="86"/>
      <c r="N701" s="88"/>
      <c r="O701" s="88"/>
      <c r="P701" s="86"/>
      <c r="Q701" s="168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>
        <f t="shared" si="468"/>
        <v>0</v>
      </c>
      <c r="AO701" s="86">
        <f t="shared" si="469"/>
        <v>0</v>
      </c>
      <c r="AP701" s="86"/>
      <c r="AQ701" s="86"/>
      <c r="AR701" s="86"/>
      <c r="AS701" s="86"/>
      <c r="AT701" s="86"/>
      <c r="AU701" s="86"/>
      <c r="AV701" s="86"/>
      <c r="AW701" s="86"/>
      <c r="AX701" s="86"/>
      <c r="AY701" s="86"/>
      <c r="AZ701" s="86"/>
      <c r="BA701" s="86"/>
      <c r="BB701" s="86"/>
      <c r="BC701" s="86"/>
      <c r="BD701" s="86"/>
      <c r="BE701" s="86"/>
      <c r="BF701" s="86"/>
      <c r="BG701" s="86"/>
      <c r="BH701" s="86"/>
      <c r="BI701" s="86"/>
      <c r="BJ701" s="86"/>
      <c r="BK701" s="86"/>
      <c r="BL701" s="86"/>
      <c r="BM701" s="86"/>
      <c r="BN701" s="86"/>
      <c r="BO701" s="86"/>
      <c r="BP701" s="86"/>
      <c r="BQ701" s="86"/>
      <c r="BR701" s="86"/>
      <c r="BS701" s="86"/>
      <c r="BT701" s="86"/>
      <c r="BU701" s="86"/>
      <c r="BV701" s="86"/>
      <c r="BW701" s="86"/>
      <c r="BX701" s="86"/>
      <c r="BY701" s="86"/>
      <c r="BZ701" s="86"/>
      <c r="CA701" s="86"/>
      <c r="CB701" s="86"/>
      <c r="CC701" s="86"/>
      <c r="CD701" s="86"/>
      <c r="CE701" s="86"/>
      <c r="CF701" s="86"/>
      <c r="CG701" s="86"/>
      <c r="CH701" s="86"/>
      <c r="CI701" s="86"/>
      <c r="CJ701" s="86"/>
      <c r="CK701" s="86"/>
      <c r="CL701" s="86"/>
      <c r="CM701" s="86"/>
      <c r="CN701" s="86"/>
      <c r="CO701" s="86"/>
      <c r="CP701" s="86"/>
      <c r="CQ701" s="86"/>
      <c r="CR701" s="86">
        <f t="shared" si="464"/>
        <v>0</v>
      </c>
      <c r="CS701" s="86"/>
      <c r="CT701" s="86"/>
      <c r="CU701" s="86"/>
      <c r="CV701" s="86"/>
      <c r="CW701" s="86"/>
      <c r="CX701" s="86"/>
      <c r="CY701" s="47">
        <f t="shared" si="465"/>
        <v>0</v>
      </c>
      <c r="CZ701" s="86"/>
      <c r="DA701" s="86"/>
      <c r="DB701" s="86"/>
      <c r="DC701" s="86"/>
      <c r="DD701" s="86"/>
      <c r="DE701" s="86"/>
      <c r="DF701" s="86"/>
      <c r="DG701" s="86"/>
      <c r="DH701" s="86"/>
      <c r="DI701" s="86"/>
      <c r="DJ701" s="86"/>
      <c r="DK701" s="86"/>
      <c r="DL701" s="86"/>
      <c r="DM701" s="86"/>
      <c r="DN701" s="86"/>
      <c r="DO701" s="86"/>
      <c r="DP701" s="86"/>
      <c r="DQ701" s="86"/>
      <c r="DR701" s="118"/>
      <c r="DS701" s="118"/>
      <c r="DT701" s="86"/>
      <c r="DU701" s="86"/>
      <c r="DV701" s="86"/>
      <c r="DW701" s="86"/>
      <c r="DX701" s="86"/>
      <c r="DY701" s="86"/>
      <c r="DZ701" s="86"/>
      <c r="EA701" s="86"/>
      <c r="EB701" s="167"/>
      <c r="EC701" s="167"/>
      <c r="ED701" s="86"/>
      <c r="EE701" s="47">
        <f t="shared" si="462"/>
        <v>0</v>
      </c>
      <c r="EF701" s="86"/>
      <c r="EG701" s="86"/>
      <c r="EH701" s="86"/>
      <c r="EI701" s="86"/>
      <c r="EJ701" s="86"/>
      <c r="EK701" s="86">
        <v>0</v>
      </c>
      <c r="EL701" s="90">
        <f t="shared" si="466"/>
        <v>0</v>
      </c>
      <c r="EM701" s="86"/>
      <c r="EN701" s="90">
        <f t="shared" si="467"/>
        <v>0</v>
      </c>
    </row>
    <row r="702" spans="1:144" ht="15" customHeight="1" x14ac:dyDescent="0.25">
      <c r="A702" s="86"/>
      <c r="B702" s="88">
        <v>78</v>
      </c>
      <c r="C702" s="86"/>
      <c r="D702" s="87"/>
      <c r="E702" s="86"/>
      <c r="F702" s="86"/>
      <c r="G702" s="86"/>
      <c r="H702" s="86"/>
      <c r="I702" s="86"/>
      <c r="J702" s="86"/>
      <c r="K702" s="86"/>
      <c r="L702" s="86"/>
      <c r="M702" s="86"/>
      <c r="N702" s="88"/>
      <c r="O702" s="88"/>
      <c r="P702" s="86"/>
      <c r="Q702" s="168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>
        <f t="shared" si="468"/>
        <v>0</v>
      </c>
      <c r="AO702" s="86">
        <f t="shared" si="469"/>
        <v>0</v>
      </c>
      <c r="AP702" s="86"/>
      <c r="AQ702" s="86"/>
      <c r="AR702" s="86"/>
      <c r="AS702" s="86"/>
      <c r="AT702" s="86"/>
      <c r="AU702" s="86"/>
      <c r="AV702" s="86"/>
      <c r="AW702" s="86"/>
      <c r="AX702" s="86"/>
      <c r="AY702" s="86"/>
      <c r="AZ702" s="86"/>
      <c r="BA702" s="86"/>
      <c r="BB702" s="86"/>
      <c r="BC702" s="86"/>
      <c r="BD702" s="86"/>
      <c r="BE702" s="86"/>
      <c r="BF702" s="86"/>
      <c r="BG702" s="86"/>
      <c r="BH702" s="86"/>
      <c r="BI702" s="86"/>
      <c r="BJ702" s="86"/>
      <c r="BK702" s="86"/>
      <c r="BL702" s="86"/>
      <c r="BM702" s="86"/>
      <c r="BN702" s="86"/>
      <c r="BO702" s="86"/>
      <c r="BP702" s="86"/>
      <c r="BQ702" s="86"/>
      <c r="BR702" s="86"/>
      <c r="BS702" s="86"/>
      <c r="BT702" s="86"/>
      <c r="BU702" s="86"/>
      <c r="BV702" s="86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  <c r="CO702" s="86"/>
      <c r="CP702" s="86"/>
      <c r="CQ702" s="86"/>
      <c r="CR702" s="86">
        <f t="shared" si="464"/>
        <v>0</v>
      </c>
      <c r="CS702" s="86"/>
      <c r="CT702" s="86"/>
      <c r="CU702" s="86"/>
      <c r="CV702" s="86"/>
      <c r="CW702" s="86"/>
      <c r="CX702" s="86"/>
      <c r="CY702" s="47">
        <f t="shared" si="465"/>
        <v>0</v>
      </c>
      <c r="CZ702" s="86"/>
      <c r="DA702" s="86"/>
      <c r="DB702" s="86"/>
      <c r="DC702" s="86"/>
      <c r="DD702" s="86"/>
      <c r="DE702" s="86"/>
      <c r="DF702" s="86"/>
      <c r="DG702" s="86"/>
      <c r="DH702" s="86"/>
      <c r="DI702" s="86"/>
      <c r="DJ702" s="86"/>
      <c r="DK702" s="86"/>
      <c r="DL702" s="86"/>
      <c r="DM702" s="86"/>
      <c r="DN702" s="86"/>
      <c r="DO702" s="86"/>
      <c r="DP702" s="86"/>
      <c r="DQ702" s="86"/>
      <c r="DR702" s="118"/>
      <c r="DS702" s="118"/>
      <c r="DT702" s="86"/>
      <c r="DU702" s="86"/>
      <c r="DV702" s="86"/>
      <c r="DW702" s="86"/>
      <c r="DX702" s="86"/>
      <c r="DY702" s="86"/>
      <c r="DZ702" s="86"/>
      <c r="EA702" s="86"/>
      <c r="EB702" s="86"/>
      <c r="EC702" s="86"/>
      <c r="ED702" s="86"/>
      <c r="EE702" s="47">
        <f t="shared" si="462"/>
        <v>0</v>
      </c>
      <c r="EF702" s="86"/>
      <c r="EG702" s="86"/>
      <c r="EH702" s="86"/>
      <c r="EI702" s="86"/>
      <c r="EJ702" s="86"/>
      <c r="EK702" s="86">
        <v>0</v>
      </c>
      <c r="EL702" s="90">
        <f t="shared" si="466"/>
        <v>0</v>
      </c>
      <c r="EM702" s="86"/>
      <c r="EN702" s="90">
        <f t="shared" si="467"/>
        <v>0</v>
      </c>
    </row>
    <row r="703" spans="1:144" ht="15" customHeight="1" x14ac:dyDescent="0.25">
      <c r="A703" s="86"/>
      <c r="B703" s="88">
        <v>79</v>
      </c>
      <c r="C703" s="86"/>
      <c r="D703" s="87"/>
      <c r="E703" s="86"/>
      <c r="F703" s="86"/>
      <c r="G703" s="86"/>
      <c r="H703" s="86"/>
      <c r="I703" s="86"/>
      <c r="J703" s="86"/>
      <c r="K703" s="86"/>
      <c r="L703" s="86"/>
      <c r="M703" s="86"/>
      <c r="N703" s="88"/>
      <c r="O703" s="88"/>
      <c r="P703" s="86"/>
      <c r="Q703" s="168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>
        <f t="shared" si="468"/>
        <v>0</v>
      </c>
      <c r="AO703" s="86">
        <f t="shared" si="469"/>
        <v>0</v>
      </c>
      <c r="AP703" s="86"/>
      <c r="AQ703" s="86"/>
      <c r="AR703" s="86"/>
      <c r="AS703" s="86"/>
      <c r="AT703" s="86"/>
      <c r="AU703" s="86"/>
      <c r="AV703" s="86"/>
      <c r="AW703" s="86"/>
      <c r="AX703" s="86"/>
      <c r="AY703" s="86"/>
      <c r="AZ703" s="86"/>
      <c r="BA703" s="86"/>
      <c r="BB703" s="86"/>
      <c r="BC703" s="86"/>
      <c r="BD703" s="86"/>
      <c r="BE703" s="86"/>
      <c r="BF703" s="86"/>
      <c r="BG703" s="86"/>
      <c r="BH703" s="86"/>
      <c r="BI703" s="86"/>
      <c r="BJ703" s="86"/>
      <c r="BK703" s="86"/>
      <c r="BL703" s="86"/>
      <c r="BM703" s="86"/>
      <c r="BN703" s="86"/>
      <c r="BO703" s="86"/>
      <c r="BP703" s="86"/>
      <c r="BQ703" s="86"/>
      <c r="BR703" s="86"/>
      <c r="BS703" s="86"/>
      <c r="BT703" s="86"/>
      <c r="BU703" s="86"/>
      <c r="BV703" s="86"/>
      <c r="BW703" s="86"/>
      <c r="BX703" s="86"/>
      <c r="BY703" s="86"/>
      <c r="BZ703" s="86"/>
      <c r="CA703" s="86"/>
      <c r="CB703" s="86"/>
      <c r="CC703" s="86"/>
      <c r="CD703" s="86"/>
      <c r="CE703" s="86"/>
      <c r="CF703" s="86"/>
      <c r="CG703" s="86"/>
      <c r="CH703" s="86"/>
      <c r="CI703" s="86"/>
      <c r="CJ703" s="86"/>
      <c r="CK703" s="86"/>
      <c r="CL703" s="86"/>
      <c r="CM703" s="86"/>
      <c r="CN703" s="86"/>
      <c r="CO703" s="86"/>
      <c r="CP703" s="86"/>
      <c r="CQ703" s="86"/>
      <c r="CR703" s="86">
        <f t="shared" si="464"/>
        <v>0</v>
      </c>
      <c r="CS703" s="86"/>
      <c r="CT703" s="86"/>
      <c r="CU703" s="86"/>
      <c r="CV703" s="86"/>
      <c r="CW703" s="86"/>
      <c r="CX703" s="86"/>
      <c r="CY703" s="47">
        <f t="shared" si="465"/>
        <v>0</v>
      </c>
      <c r="CZ703" s="86"/>
      <c r="DA703" s="86"/>
      <c r="DB703" s="86"/>
      <c r="DC703" s="86"/>
      <c r="DD703" s="86"/>
      <c r="DE703" s="86"/>
      <c r="DF703" s="86"/>
      <c r="DG703" s="86"/>
      <c r="DH703" s="86"/>
      <c r="DI703" s="86"/>
      <c r="DJ703" s="86"/>
      <c r="DK703" s="86"/>
      <c r="DL703" s="86"/>
      <c r="DM703" s="86"/>
      <c r="DN703" s="86"/>
      <c r="DO703" s="86"/>
      <c r="DP703" s="86"/>
      <c r="DQ703" s="86"/>
      <c r="DR703" s="118"/>
      <c r="DS703" s="118"/>
      <c r="DT703" s="86"/>
      <c r="DU703" s="86"/>
      <c r="DV703" s="86"/>
      <c r="DW703" s="86"/>
      <c r="DX703" s="86"/>
      <c r="DY703" s="86"/>
      <c r="DZ703" s="86"/>
      <c r="EA703" s="86"/>
      <c r="EB703" s="86"/>
      <c r="EC703" s="86"/>
      <c r="ED703" s="86"/>
      <c r="EE703" s="47">
        <f t="shared" si="462"/>
        <v>0</v>
      </c>
      <c r="EF703" s="86"/>
      <c r="EG703" s="86"/>
      <c r="EH703" s="86"/>
      <c r="EI703" s="86"/>
      <c r="EJ703" s="86"/>
      <c r="EK703" s="86">
        <v>0</v>
      </c>
      <c r="EL703" s="90">
        <f t="shared" si="466"/>
        <v>0</v>
      </c>
      <c r="EM703" s="86"/>
      <c r="EN703" s="90">
        <f t="shared" si="467"/>
        <v>0</v>
      </c>
    </row>
    <row r="704" spans="1:144" ht="15" customHeight="1" x14ac:dyDescent="0.25">
      <c r="A704" s="86"/>
      <c r="B704" s="88">
        <v>80</v>
      </c>
      <c r="C704" s="86"/>
      <c r="D704" s="87"/>
      <c r="E704" s="86"/>
      <c r="F704" s="86"/>
      <c r="G704" s="86"/>
      <c r="H704" s="86"/>
      <c r="I704" s="86"/>
      <c r="J704" s="86"/>
      <c r="K704" s="86"/>
      <c r="L704" s="86"/>
      <c r="M704" s="86"/>
      <c r="N704" s="88"/>
      <c r="O704" s="88"/>
      <c r="P704" s="86"/>
      <c r="Q704" s="168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>
        <f t="shared" si="468"/>
        <v>0</v>
      </c>
      <c r="AO704" s="86">
        <f t="shared" si="469"/>
        <v>0</v>
      </c>
      <c r="AP704" s="86"/>
      <c r="AQ704" s="86"/>
      <c r="AR704" s="86"/>
      <c r="AS704" s="86"/>
      <c r="AT704" s="86"/>
      <c r="AU704" s="86"/>
      <c r="AV704" s="86"/>
      <c r="AW704" s="86"/>
      <c r="AX704" s="86"/>
      <c r="AY704" s="86"/>
      <c r="AZ704" s="86"/>
      <c r="BA704" s="86"/>
      <c r="BB704" s="86"/>
      <c r="BC704" s="86"/>
      <c r="BD704" s="86"/>
      <c r="BE704" s="86"/>
      <c r="BF704" s="86"/>
      <c r="BG704" s="86"/>
      <c r="BH704" s="86"/>
      <c r="BI704" s="86"/>
      <c r="BJ704" s="86"/>
      <c r="BK704" s="86"/>
      <c r="BL704" s="86"/>
      <c r="BM704" s="86"/>
      <c r="BN704" s="86"/>
      <c r="BO704" s="86"/>
      <c r="BP704" s="86"/>
      <c r="BQ704" s="86"/>
      <c r="BR704" s="86"/>
      <c r="BS704" s="86"/>
      <c r="BT704" s="86"/>
      <c r="BU704" s="86"/>
      <c r="BV704" s="86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  <c r="CO704" s="86"/>
      <c r="CP704" s="86"/>
      <c r="CQ704" s="86"/>
      <c r="CR704" s="86">
        <f t="shared" si="464"/>
        <v>0</v>
      </c>
      <c r="CS704" s="86"/>
      <c r="CT704" s="86"/>
      <c r="CU704" s="86"/>
      <c r="CV704" s="86"/>
      <c r="CW704" s="86"/>
      <c r="CX704" s="86"/>
      <c r="CY704" s="47">
        <f t="shared" si="465"/>
        <v>0</v>
      </c>
      <c r="CZ704" s="86"/>
      <c r="DA704" s="86"/>
      <c r="DB704" s="86"/>
      <c r="DC704" s="86"/>
      <c r="DD704" s="86"/>
      <c r="DE704" s="86"/>
      <c r="DF704" s="86"/>
      <c r="DG704" s="86"/>
      <c r="DH704" s="86"/>
      <c r="DI704" s="86"/>
      <c r="DJ704" s="86"/>
      <c r="DK704" s="86"/>
      <c r="DL704" s="86"/>
      <c r="DM704" s="86"/>
      <c r="DN704" s="86"/>
      <c r="DO704" s="86"/>
      <c r="DP704" s="86"/>
      <c r="DQ704" s="86"/>
      <c r="DR704" s="118"/>
      <c r="DS704" s="118"/>
      <c r="DT704" s="86"/>
      <c r="DU704" s="86"/>
      <c r="DV704" s="86"/>
      <c r="DW704" s="86"/>
      <c r="DX704" s="86"/>
      <c r="DY704" s="86"/>
      <c r="DZ704" s="86"/>
      <c r="EA704" s="86"/>
      <c r="EB704" s="86"/>
      <c r="EC704" s="86"/>
      <c r="ED704" s="86"/>
      <c r="EE704" s="47">
        <f t="shared" si="462"/>
        <v>0</v>
      </c>
      <c r="EF704" s="86"/>
      <c r="EG704" s="86"/>
      <c r="EH704" s="86"/>
      <c r="EI704" s="86"/>
      <c r="EJ704" s="86"/>
      <c r="EK704" s="86">
        <v>0</v>
      </c>
      <c r="EL704" s="90">
        <f t="shared" si="466"/>
        <v>0</v>
      </c>
      <c r="EM704" s="86"/>
      <c r="EN704" s="90">
        <f t="shared" si="467"/>
        <v>0</v>
      </c>
    </row>
    <row r="705" spans="1:144" ht="15" customHeight="1" x14ac:dyDescent="0.25">
      <c r="A705" s="86"/>
      <c r="B705" s="88">
        <v>81</v>
      </c>
      <c r="C705" s="86"/>
      <c r="D705" s="87"/>
      <c r="E705" s="86"/>
      <c r="F705" s="86"/>
      <c r="G705" s="86"/>
      <c r="H705" s="86"/>
      <c r="I705" s="86"/>
      <c r="J705" s="86"/>
      <c r="K705" s="86"/>
      <c r="L705" s="86"/>
      <c r="M705" s="86"/>
      <c r="N705" s="88"/>
      <c r="O705" s="88"/>
      <c r="P705" s="86"/>
      <c r="Q705" s="168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>
        <f t="shared" si="468"/>
        <v>0</v>
      </c>
      <c r="AO705" s="86">
        <f t="shared" si="469"/>
        <v>0</v>
      </c>
      <c r="AP705" s="86"/>
      <c r="AQ705" s="86"/>
      <c r="AR705" s="86"/>
      <c r="AS705" s="86"/>
      <c r="AT705" s="86"/>
      <c r="AU705" s="86"/>
      <c r="AV705" s="86"/>
      <c r="AW705" s="86"/>
      <c r="AX705" s="86"/>
      <c r="AY705" s="86"/>
      <c r="AZ705" s="86"/>
      <c r="BA705" s="86"/>
      <c r="BB705" s="86"/>
      <c r="BC705" s="86"/>
      <c r="BD705" s="86"/>
      <c r="BE705" s="86"/>
      <c r="BF705" s="86"/>
      <c r="BG705" s="86"/>
      <c r="BH705" s="86"/>
      <c r="BI705" s="86"/>
      <c r="BJ705" s="86"/>
      <c r="BK705" s="86"/>
      <c r="BL705" s="86"/>
      <c r="BM705" s="86"/>
      <c r="BN705" s="86"/>
      <c r="BO705" s="86"/>
      <c r="BP705" s="86"/>
      <c r="BQ705" s="86"/>
      <c r="BR705" s="86"/>
      <c r="BS705" s="86"/>
      <c r="BT705" s="86"/>
      <c r="BU705" s="86"/>
      <c r="BV705" s="86"/>
      <c r="BW705" s="86"/>
      <c r="BX705" s="86"/>
      <c r="BY705" s="86"/>
      <c r="BZ705" s="86"/>
      <c r="CA705" s="86"/>
      <c r="CB705" s="86"/>
      <c r="CC705" s="86"/>
      <c r="CD705" s="86"/>
      <c r="CE705" s="86"/>
      <c r="CF705" s="86"/>
      <c r="CG705" s="86"/>
      <c r="CH705" s="86"/>
      <c r="CI705" s="86"/>
      <c r="CJ705" s="86"/>
      <c r="CK705" s="86"/>
      <c r="CL705" s="86"/>
      <c r="CM705" s="86"/>
      <c r="CN705" s="86"/>
      <c r="CO705" s="86"/>
      <c r="CP705" s="86"/>
      <c r="CQ705" s="86"/>
      <c r="CR705" s="86">
        <f t="shared" si="464"/>
        <v>0</v>
      </c>
      <c r="CS705" s="86"/>
      <c r="CT705" s="86"/>
      <c r="CU705" s="86"/>
      <c r="CV705" s="86"/>
      <c r="CW705" s="86"/>
      <c r="CX705" s="86"/>
      <c r="CY705" s="47">
        <f t="shared" si="465"/>
        <v>0</v>
      </c>
      <c r="CZ705" s="86"/>
      <c r="DA705" s="86"/>
      <c r="DB705" s="86"/>
      <c r="DC705" s="86"/>
      <c r="DD705" s="86"/>
      <c r="DE705" s="86"/>
      <c r="DF705" s="86"/>
      <c r="DG705" s="86"/>
      <c r="DH705" s="86"/>
      <c r="DI705" s="86"/>
      <c r="DJ705" s="86"/>
      <c r="DK705" s="86"/>
      <c r="DL705" s="86"/>
      <c r="DM705" s="86"/>
      <c r="DN705" s="86"/>
      <c r="DO705" s="86"/>
      <c r="DP705" s="86"/>
      <c r="DQ705" s="86"/>
      <c r="DR705" s="118"/>
      <c r="DS705" s="118"/>
      <c r="DT705" s="86"/>
      <c r="DU705" s="86"/>
      <c r="DV705" s="86"/>
      <c r="DW705" s="86"/>
      <c r="DX705" s="86"/>
      <c r="DY705" s="86"/>
      <c r="DZ705" s="86"/>
      <c r="EA705" s="86"/>
      <c r="EB705" s="86"/>
      <c r="EC705" s="86"/>
      <c r="ED705" s="86"/>
      <c r="EE705" s="47">
        <f t="shared" si="462"/>
        <v>0</v>
      </c>
      <c r="EF705" s="86"/>
      <c r="EG705" s="86"/>
      <c r="EH705" s="86"/>
      <c r="EI705" s="86"/>
      <c r="EJ705" s="86"/>
      <c r="EK705" s="86">
        <v>0</v>
      </c>
      <c r="EL705" s="90">
        <f t="shared" si="466"/>
        <v>0</v>
      </c>
      <c r="EM705" s="86"/>
      <c r="EN705" s="90">
        <f t="shared" si="467"/>
        <v>0</v>
      </c>
    </row>
    <row r="706" spans="1:144" ht="15" customHeight="1" x14ac:dyDescent="0.25">
      <c r="A706" s="86"/>
      <c r="B706" s="88">
        <v>82</v>
      </c>
      <c r="C706" s="86"/>
      <c r="D706" s="87"/>
      <c r="E706" s="86"/>
      <c r="F706" s="86"/>
      <c r="G706" s="86"/>
      <c r="H706" s="86"/>
      <c r="I706" s="86"/>
      <c r="J706" s="86"/>
      <c r="K706" s="86"/>
      <c r="L706" s="86"/>
      <c r="M706" s="86"/>
      <c r="N706" s="88"/>
      <c r="O706" s="88"/>
      <c r="P706" s="86"/>
      <c r="Q706" s="168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>
        <f t="shared" si="468"/>
        <v>0</v>
      </c>
      <c r="AO706" s="86">
        <f t="shared" si="469"/>
        <v>0</v>
      </c>
      <c r="AP706" s="86"/>
      <c r="AQ706" s="86"/>
      <c r="AR706" s="86"/>
      <c r="AS706" s="86"/>
      <c r="AT706" s="86"/>
      <c r="AU706" s="86"/>
      <c r="AV706" s="86"/>
      <c r="AW706" s="86"/>
      <c r="AX706" s="86"/>
      <c r="AY706" s="86"/>
      <c r="AZ706" s="86"/>
      <c r="BA706" s="86"/>
      <c r="BB706" s="86"/>
      <c r="BC706" s="86"/>
      <c r="BD706" s="86"/>
      <c r="BE706" s="86"/>
      <c r="BF706" s="86"/>
      <c r="BG706" s="86"/>
      <c r="BH706" s="86"/>
      <c r="BI706" s="86"/>
      <c r="BJ706" s="86"/>
      <c r="BK706" s="86"/>
      <c r="BL706" s="86"/>
      <c r="BM706" s="86"/>
      <c r="BN706" s="86"/>
      <c r="BO706" s="86"/>
      <c r="BP706" s="86"/>
      <c r="BQ706" s="86"/>
      <c r="BR706" s="86"/>
      <c r="BS706" s="86"/>
      <c r="BT706" s="86"/>
      <c r="BU706" s="86"/>
      <c r="BV706" s="86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  <c r="CO706" s="86"/>
      <c r="CP706" s="86"/>
      <c r="CQ706" s="86"/>
      <c r="CR706" s="86">
        <f t="shared" si="464"/>
        <v>0</v>
      </c>
      <c r="CS706" s="86"/>
      <c r="CT706" s="86"/>
      <c r="CU706" s="86"/>
      <c r="CV706" s="86"/>
      <c r="CW706" s="86"/>
      <c r="CX706" s="86"/>
      <c r="CY706" s="47">
        <f t="shared" si="465"/>
        <v>0</v>
      </c>
      <c r="CZ706" s="86"/>
      <c r="DA706" s="86"/>
      <c r="DB706" s="86"/>
      <c r="DC706" s="86"/>
      <c r="DD706" s="86"/>
      <c r="DE706" s="86"/>
      <c r="DF706" s="86"/>
      <c r="DG706" s="86"/>
      <c r="DH706" s="86"/>
      <c r="DI706" s="86"/>
      <c r="DJ706" s="86"/>
      <c r="DK706" s="86"/>
      <c r="DL706" s="86"/>
      <c r="DM706" s="86"/>
      <c r="DN706" s="86"/>
      <c r="DO706" s="86"/>
      <c r="DP706" s="86"/>
      <c r="DQ706" s="86"/>
      <c r="DR706" s="118"/>
      <c r="DS706" s="118"/>
      <c r="DT706" s="86"/>
      <c r="DU706" s="86"/>
      <c r="DV706" s="86"/>
      <c r="DW706" s="86"/>
      <c r="DX706" s="86"/>
      <c r="DY706" s="86"/>
      <c r="DZ706" s="86"/>
      <c r="EA706" s="86"/>
      <c r="EB706" s="86"/>
      <c r="EC706" s="86"/>
      <c r="ED706" s="86"/>
      <c r="EE706" s="47">
        <f t="shared" si="462"/>
        <v>0</v>
      </c>
      <c r="EF706" s="86"/>
      <c r="EG706" s="86"/>
      <c r="EH706" s="86"/>
      <c r="EI706" s="86"/>
      <c r="EJ706" s="86"/>
      <c r="EK706" s="86">
        <v>0</v>
      </c>
      <c r="EL706" s="90">
        <f t="shared" si="466"/>
        <v>0</v>
      </c>
      <c r="EM706" s="86"/>
      <c r="EN706" s="90">
        <f t="shared" si="467"/>
        <v>0</v>
      </c>
    </row>
    <row r="707" spans="1:144" ht="15" customHeight="1" x14ac:dyDescent="0.25">
      <c r="A707" s="86"/>
      <c r="B707" s="88">
        <v>83</v>
      </c>
      <c r="C707" s="86"/>
      <c r="D707" s="87"/>
      <c r="E707" s="86"/>
      <c r="F707" s="86"/>
      <c r="G707" s="86"/>
      <c r="H707" s="86"/>
      <c r="I707" s="86"/>
      <c r="J707" s="86"/>
      <c r="K707" s="86"/>
      <c r="L707" s="86"/>
      <c r="M707" s="86"/>
      <c r="N707" s="88"/>
      <c r="O707" s="88"/>
      <c r="P707" s="86"/>
      <c r="Q707" s="168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>
        <f t="shared" si="468"/>
        <v>0</v>
      </c>
      <c r="AO707" s="86">
        <f t="shared" si="469"/>
        <v>0</v>
      </c>
      <c r="AP707" s="86"/>
      <c r="AQ707" s="86"/>
      <c r="AR707" s="86"/>
      <c r="AS707" s="86"/>
      <c r="AT707" s="86"/>
      <c r="AU707" s="86"/>
      <c r="AV707" s="86"/>
      <c r="AW707" s="86"/>
      <c r="AX707" s="86"/>
      <c r="AY707" s="86"/>
      <c r="AZ707" s="86"/>
      <c r="BA707" s="86"/>
      <c r="BB707" s="86"/>
      <c r="BC707" s="86"/>
      <c r="BD707" s="86"/>
      <c r="BE707" s="86"/>
      <c r="BF707" s="86"/>
      <c r="BG707" s="86"/>
      <c r="BH707" s="86"/>
      <c r="BI707" s="86"/>
      <c r="BJ707" s="86"/>
      <c r="BK707" s="86"/>
      <c r="BL707" s="86"/>
      <c r="BM707" s="86"/>
      <c r="BN707" s="86"/>
      <c r="BO707" s="86"/>
      <c r="BP707" s="86"/>
      <c r="BQ707" s="86"/>
      <c r="BR707" s="86"/>
      <c r="BS707" s="86"/>
      <c r="BT707" s="86"/>
      <c r="BU707" s="86"/>
      <c r="BV707" s="86"/>
      <c r="BW707" s="86"/>
      <c r="BX707" s="86"/>
      <c r="BY707" s="86"/>
      <c r="BZ707" s="86"/>
      <c r="CA707" s="86"/>
      <c r="CB707" s="86"/>
      <c r="CC707" s="86"/>
      <c r="CD707" s="86"/>
      <c r="CE707" s="86"/>
      <c r="CF707" s="86"/>
      <c r="CG707" s="86"/>
      <c r="CH707" s="86"/>
      <c r="CI707" s="86"/>
      <c r="CJ707" s="86"/>
      <c r="CK707" s="86"/>
      <c r="CL707" s="86"/>
      <c r="CM707" s="86"/>
      <c r="CN707" s="86"/>
      <c r="CO707" s="86"/>
      <c r="CP707" s="86"/>
      <c r="CQ707" s="86"/>
      <c r="CR707" s="86">
        <f t="shared" si="464"/>
        <v>0</v>
      </c>
      <c r="CS707" s="86"/>
      <c r="CT707" s="86"/>
      <c r="CU707" s="86"/>
      <c r="CV707" s="86"/>
      <c r="CW707" s="86"/>
      <c r="CX707" s="86"/>
      <c r="CY707" s="47">
        <f t="shared" si="465"/>
        <v>0</v>
      </c>
      <c r="CZ707" s="86"/>
      <c r="DA707" s="86"/>
      <c r="DB707" s="86"/>
      <c r="DC707" s="86"/>
      <c r="DD707" s="86"/>
      <c r="DE707" s="86"/>
      <c r="DF707" s="86"/>
      <c r="DG707" s="86"/>
      <c r="DH707" s="86"/>
      <c r="DI707" s="86"/>
      <c r="DJ707" s="86"/>
      <c r="DK707" s="86"/>
      <c r="DL707" s="86"/>
      <c r="DM707" s="86"/>
      <c r="DN707" s="86"/>
      <c r="DO707" s="86"/>
      <c r="DP707" s="86"/>
      <c r="DQ707" s="86"/>
      <c r="DR707" s="118"/>
      <c r="DS707" s="118"/>
      <c r="DT707" s="86"/>
      <c r="DU707" s="86"/>
      <c r="DV707" s="86"/>
      <c r="DW707" s="86"/>
      <c r="DX707" s="86"/>
      <c r="DY707" s="86"/>
      <c r="DZ707" s="86"/>
      <c r="EA707" s="86"/>
      <c r="EB707" s="86"/>
      <c r="EC707" s="86"/>
      <c r="ED707" s="86"/>
      <c r="EE707" s="47">
        <f t="shared" si="462"/>
        <v>0</v>
      </c>
      <c r="EF707" s="86"/>
      <c r="EG707" s="86"/>
      <c r="EH707" s="86"/>
      <c r="EI707" s="86"/>
      <c r="EJ707" s="86"/>
      <c r="EK707" s="86"/>
      <c r="EL707" s="90">
        <f t="shared" si="466"/>
        <v>0</v>
      </c>
      <c r="EM707" s="86"/>
      <c r="EN707" s="90">
        <f t="shared" si="467"/>
        <v>0</v>
      </c>
    </row>
    <row r="708" spans="1:144" ht="15" customHeight="1" x14ac:dyDescent="0.25">
      <c r="A708" s="86"/>
      <c r="B708" s="88">
        <v>84</v>
      </c>
      <c r="C708" s="86"/>
      <c r="D708" s="87"/>
      <c r="E708" s="86"/>
      <c r="F708" s="86"/>
      <c r="G708" s="86"/>
      <c r="H708" s="86"/>
      <c r="I708" s="86"/>
      <c r="J708" s="86"/>
      <c r="K708" s="86"/>
      <c r="L708" s="86"/>
      <c r="M708" s="86"/>
      <c r="N708" s="88"/>
      <c r="O708" s="88"/>
      <c r="P708" s="86"/>
      <c r="Q708" s="168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>
        <f t="shared" si="468"/>
        <v>0</v>
      </c>
      <c r="AO708" s="86">
        <f t="shared" si="469"/>
        <v>0</v>
      </c>
      <c r="AP708" s="86"/>
      <c r="AQ708" s="86"/>
      <c r="AR708" s="86"/>
      <c r="AS708" s="86"/>
      <c r="AT708" s="86"/>
      <c r="AU708" s="86"/>
      <c r="AV708" s="86"/>
      <c r="AW708" s="86"/>
      <c r="AX708" s="86"/>
      <c r="AY708" s="86"/>
      <c r="AZ708" s="86"/>
      <c r="BA708" s="86"/>
      <c r="BB708" s="86"/>
      <c r="BC708" s="86"/>
      <c r="BD708" s="86"/>
      <c r="BE708" s="86"/>
      <c r="BF708" s="86"/>
      <c r="BG708" s="86"/>
      <c r="BH708" s="86"/>
      <c r="BI708" s="86"/>
      <c r="BJ708" s="86"/>
      <c r="BK708" s="86"/>
      <c r="BL708" s="86"/>
      <c r="BM708" s="86"/>
      <c r="BN708" s="86"/>
      <c r="BO708" s="86"/>
      <c r="BP708" s="86"/>
      <c r="BQ708" s="86"/>
      <c r="BR708" s="86"/>
      <c r="BS708" s="86"/>
      <c r="BT708" s="86"/>
      <c r="BU708" s="86"/>
      <c r="BV708" s="86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  <c r="CO708" s="86"/>
      <c r="CP708" s="86"/>
      <c r="CQ708" s="86"/>
      <c r="CR708" s="86">
        <f t="shared" si="464"/>
        <v>0</v>
      </c>
      <c r="CS708" s="86"/>
      <c r="CT708" s="86"/>
      <c r="CU708" s="86"/>
      <c r="CV708" s="86"/>
      <c r="CW708" s="86"/>
      <c r="CX708" s="86"/>
      <c r="CY708" s="47">
        <f t="shared" si="465"/>
        <v>0</v>
      </c>
      <c r="CZ708" s="86"/>
      <c r="DA708" s="86"/>
      <c r="DB708" s="86"/>
      <c r="DC708" s="86"/>
      <c r="DD708" s="86"/>
      <c r="DE708" s="86"/>
      <c r="DF708" s="86"/>
      <c r="DG708" s="86"/>
      <c r="DH708" s="86"/>
      <c r="DI708" s="86"/>
      <c r="DJ708" s="86"/>
      <c r="DK708" s="86"/>
      <c r="DL708" s="86"/>
      <c r="DM708" s="86"/>
      <c r="DN708" s="86"/>
      <c r="DO708" s="86"/>
      <c r="DP708" s="86"/>
      <c r="DQ708" s="86"/>
      <c r="DR708" s="118"/>
      <c r="DS708" s="118"/>
      <c r="DT708" s="86"/>
      <c r="DU708" s="86"/>
      <c r="DV708" s="86"/>
      <c r="DW708" s="86"/>
      <c r="DX708" s="86"/>
      <c r="DY708" s="86"/>
      <c r="DZ708" s="86"/>
      <c r="EA708" s="86"/>
      <c r="EB708" s="86"/>
      <c r="EC708" s="86"/>
      <c r="ED708" s="86"/>
      <c r="EE708" s="47">
        <f t="shared" si="462"/>
        <v>0</v>
      </c>
      <c r="EF708" s="86"/>
      <c r="EG708" s="86"/>
      <c r="EH708" s="86"/>
      <c r="EI708" s="86"/>
      <c r="EJ708" s="86"/>
      <c r="EK708" s="86"/>
      <c r="EL708" s="90">
        <f t="shared" si="466"/>
        <v>0</v>
      </c>
      <c r="EM708" s="86"/>
      <c r="EN708" s="90">
        <f t="shared" si="467"/>
        <v>0</v>
      </c>
    </row>
    <row r="709" spans="1:144" ht="15" customHeight="1" x14ac:dyDescent="0.25">
      <c r="A709" s="86"/>
      <c r="B709" s="88">
        <v>85</v>
      </c>
      <c r="C709" s="86"/>
      <c r="D709" s="87"/>
      <c r="E709" s="86"/>
      <c r="F709" s="86"/>
      <c r="G709" s="86"/>
      <c r="H709" s="86"/>
      <c r="I709" s="86"/>
      <c r="J709" s="86"/>
      <c r="K709" s="86"/>
      <c r="L709" s="86"/>
      <c r="M709" s="86"/>
      <c r="N709" s="88"/>
      <c r="O709" s="88"/>
      <c r="P709" s="86"/>
      <c r="Q709" s="168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>
        <f t="shared" si="468"/>
        <v>0</v>
      </c>
      <c r="AO709" s="86">
        <f t="shared" si="469"/>
        <v>0</v>
      </c>
      <c r="AP709" s="86"/>
      <c r="AQ709" s="86"/>
      <c r="AR709" s="86"/>
      <c r="AS709" s="86"/>
      <c r="AT709" s="86"/>
      <c r="AU709" s="86"/>
      <c r="AV709" s="86"/>
      <c r="AW709" s="86"/>
      <c r="AX709" s="86"/>
      <c r="AY709" s="86"/>
      <c r="AZ709" s="86"/>
      <c r="BA709" s="86"/>
      <c r="BB709" s="86"/>
      <c r="BC709" s="86"/>
      <c r="BD709" s="86"/>
      <c r="BE709" s="86"/>
      <c r="BF709" s="86"/>
      <c r="BG709" s="86"/>
      <c r="BH709" s="86"/>
      <c r="BI709" s="86"/>
      <c r="BJ709" s="86"/>
      <c r="BK709" s="86"/>
      <c r="BL709" s="86"/>
      <c r="BM709" s="86"/>
      <c r="BN709" s="86"/>
      <c r="BO709" s="86"/>
      <c r="BP709" s="86"/>
      <c r="BQ709" s="86"/>
      <c r="BR709" s="86"/>
      <c r="BS709" s="86"/>
      <c r="BT709" s="86"/>
      <c r="BU709" s="86"/>
      <c r="BV709" s="86"/>
      <c r="BW709" s="86"/>
      <c r="BX709" s="86"/>
      <c r="BY709" s="86"/>
      <c r="BZ709" s="86"/>
      <c r="CA709" s="86"/>
      <c r="CB709" s="86"/>
      <c r="CC709" s="86"/>
      <c r="CD709" s="86"/>
      <c r="CE709" s="86"/>
      <c r="CF709" s="86"/>
      <c r="CG709" s="86"/>
      <c r="CH709" s="86"/>
      <c r="CI709" s="86"/>
      <c r="CJ709" s="86"/>
      <c r="CK709" s="86"/>
      <c r="CL709" s="86"/>
      <c r="CM709" s="86"/>
      <c r="CN709" s="86"/>
      <c r="CO709" s="86"/>
      <c r="CP709" s="86"/>
      <c r="CQ709" s="86"/>
      <c r="CR709" s="86">
        <f t="shared" si="464"/>
        <v>0</v>
      </c>
      <c r="CS709" s="86"/>
      <c r="CT709" s="86"/>
      <c r="CU709" s="86"/>
      <c r="CV709" s="86"/>
      <c r="CW709" s="86"/>
      <c r="CX709" s="86"/>
      <c r="CY709" s="47">
        <f t="shared" si="465"/>
        <v>0</v>
      </c>
      <c r="CZ709" s="86"/>
      <c r="DA709" s="86"/>
      <c r="DB709" s="86"/>
      <c r="DC709" s="86"/>
      <c r="DD709" s="86"/>
      <c r="DE709" s="86"/>
      <c r="DF709" s="86"/>
      <c r="DG709" s="86"/>
      <c r="DH709" s="86"/>
      <c r="DI709" s="86"/>
      <c r="DJ709" s="86"/>
      <c r="DK709" s="86"/>
      <c r="DL709" s="86"/>
      <c r="DM709" s="86"/>
      <c r="DN709" s="86"/>
      <c r="DO709" s="86"/>
      <c r="DP709" s="86"/>
      <c r="DQ709" s="86"/>
      <c r="DR709" s="118"/>
      <c r="DS709" s="118"/>
      <c r="DT709" s="86"/>
      <c r="DU709" s="86"/>
      <c r="DV709" s="86"/>
      <c r="DW709" s="86"/>
      <c r="DX709" s="86"/>
      <c r="DY709" s="86"/>
      <c r="DZ709" s="86"/>
      <c r="EA709" s="86"/>
      <c r="EB709" s="86"/>
      <c r="EC709" s="86"/>
      <c r="ED709" s="86"/>
      <c r="EE709" s="47">
        <f t="shared" si="462"/>
        <v>0</v>
      </c>
      <c r="EF709" s="86"/>
      <c r="EG709" s="86"/>
      <c r="EH709" s="86"/>
      <c r="EI709" s="86"/>
      <c r="EJ709" s="86"/>
      <c r="EK709" s="86"/>
      <c r="EL709" s="90">
        <f t="shared" si="466"/>
        <v>0</v>
      </c>
      <c r="EM709" s="86"/>
      <c r="EN709" s="90">
        <f t="shared" si="467"/>
        <v>0</v>
      </c>
    </row>
    <row r="710" spans="1:144" ht="15" customHeight="1" x14ac:dyDescent="0.25">
      <c r="A710" s="86"/>
      <c r="B710" s="88">
        <v>86</v>
      </c>
      <c r="C710" s="86"/>
      <c r="D710" s="87"/>
      <c r="E710" s="86"/>
      <c r="F710" s="86"/>
      <c r="G710" s="86"/>
      <c r="H710" s="86"/>
      <c r="I710" s="86"/>
      <c r="J710" s="86"/>
      <c r="K710" s="86"/>
      <c r="L710" s="86"/>
      <c r="M710" s="86"/>
      <c r="N710" s="88"/>
      <c r="O710" s="88"/>
      <c r="P710" s="86"/>
      <c r="Q710" s="168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>
        <f t="shared" si="468"/>
        <v>0</v>
      </c>
      <c r="AO710" s="86">
        <f t="shared" si="469"/>
        <v>0</v>
      </c>
      <c r="AP710" s="86"/>
      <c r="AQ710" s="86"/>
      <c r="AR710" s="86"/>
      <c r="AS710" s="86"/>
      <c r="AT710" s="86"/>
      <c r="AU710" s="86"/>
      <c r="AV710" s="86"/>
      <c r="AW710" s="86"/>
      <c r="AX710" s="86"/>
      <c r="AY710" s="86"/>
      <c r="AZ710" s="86"/>
      <c r="BA710" s="86"/>
      <c r="BB710" s="86"/>
      <c r="BC710" s="86"/>
      <c r="BD710" s="86"/>
      <c r="BE710" s="86"/>
      <c r="BF710" s="86"/>
      <c r="BG710" s="86"/>
      <c r="BH710" s="86"/>
      <c r="BI710" s="86"/>
      <c r="BJ710" s="86"/>
      <c r="BK710" s="86"/>
      <c r="BL710" s="86"/>
      <c r="BM710" s="86"/>
      <c r="BN710" s="86"/>
      <c r="BO710" s="86"/>
      <c r="BP710" s="86"/>
      <c r="BQ710" s="86"/>
      <c r="BR710" s="86"/>
      <c r="BS710" s="86"/>
      <c r="BT710" s="86"/>
      <c r="BU710" s="86"/>
      <c r="BV710" s="86"/>
      <c r="BW710" s="86"/>
      <c r="BX710" s="86"/>
      <c r="BY710" s="86"/>
      <c r="BZ710" s="86"/>
      <c r="CA710" s="86"/>
      <c r="CB710" s="86"/>
      <c r="CC710" s="86"/>
      <c r="CD710" s="86"/>
      <c r="CE710" s="86"/>
      <c r="CF710" s="86"/>
      <c r="CG710" s="86"/>
      <c r="CH710" s="86"/>
      <c r="CI710" s="86"/>
      <c r="CJ710" s="86"/>
      <c r="CK710" s="86"/>
      <c r="CL710" s="86"/>
      <c r="CM710" s="86"/>
      <c r="CN710" s="86"/>
      <c r="CO710" s="86"/>
      <c r="CP710" s="86"/>
      <c r="CQ710" s="86"/>
      <c r="CR710" s="86">
        <f t="shared" si="464"/>
        <v>0</v>
      </c>
      <c r="CS710" s="86"/>
      <c r="CT710" s="86"/>
      <c r="CU710" s="86"/>
      <c r="CV710" s="86"/>
      <c r="CW710" s="86"/>
      <c r="CX710" s="86"/>
      <c r="CY710" s="86">
        <v>0</v>
      </c>
      <c r="CZ710" s="86"/>
      <c r="DA710" s="86"/>
      <c r="DB710" s="86"/>
      <c r="DC710" s="86"/>
      <c r="DD710" s="86"/>
      <c r="DE710" s="86"/>
      <c r="DF710" s="86"/>
      <c r="DG710" s="86"/>
      <c r="DH710" s="86"/>
      <c r="DI710" s="86"/>
      <c r="DJ710" s="86"/>
      <c r="DK710" s="86"/>
      <c r="DL710" s="86"/>
      <c r="DM710" s="86"/>
      <c r="DN710" s="86"/>
      <c r="DO710" s="86"/>
      <c r="DP710" s="86"/>
      <c r="DQ710" s="86"/>
      <c r="DR710" s="118"/>
      <c r="DS710" s="118"/>
      <c r="DT710" s="86"/>
      <c r="DU710" s="86"/>
      <c r="DV710" s="86"/>
      <c r="DW710" s="86"/>
      <c r="DX710" s="86"/>
      <c r="DY710" s="86"/>
      <c r="DZ710" s="86"/>
      <c r="EA710" s="86"/>
      <c r="EB710" s="86"/>
      <c r="EC710" s="86"/>
      <c r="ED710" s="86"/>
      <c r="EE710" s="47">
        <f t="shared" si="462"/>
        <v>0</v>
      </c>
      <c r="EF710" s="86"/>
      <c r="EG710" s="86"/>
      <c r="EH710" s="86"/>
      <c r="EI710" s="86"/>
      <c r="EJ710" s="86"/>
      <c r="EK710" s="86"/>
      <c r="EL710" s="90">
        <f t="shared" si="466"/>
        <v>0</v>
      </c>
      <c r="EM710" s="86"/>
      <c r="EN710" s="90">
        <f t="shared" si="467"/>
        <v>0</v>
      </c>
    </row>
    <row r="711" spans="1:144" ht="15" customHeight="1" x14ac:dyDescent="0.25">
      <c r="A711" s="86"/>
      <c r="B711" s="88">
        <v>87</v>
      </c>
      <c r="C711" s="86"/>
      <c r="D711" s="87"/>
      <c r="E711" s="86"/>
      <c r="F711" s="86"/>
      <c r="G711" s="86"/>
      <c r="H711" s="86"/>
      <c r="I711" s="86"/>
      <c r="J711" s="86"/>
      <c r="K711" s="86"/>
      <c r="L711" s="86"/>
      <c r="M711" s="86"/>
      <c r="N711" s="88"/>
      <c r="O711" s="88"/>
      <c r="P711" s="86"/>
      <c r="Q711" s="168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>
        <f t="shared" si="468"/>
        <v>0</v>
      </c>
      <c r="AO711" s="86">
        <f t="shared" si="469"/>
        <v>0</v>
      </c>
      <c r="AP711" s="86"/>
      <c r="AQ711" s="86"/>
      <c r="AR711" s="86"/>
      <c r="AS711" s="86"/>
      <c r="AT711" s="86"/>
      <c r="AU711" s="86"/>
      <c r="AV711" s="86"/>
      <c r="AW711" s="86"/>
      <c r="AX711" s="86"/>
      <c r="AY711" s="86"/>
      <c r="AZ711" s="86"/>
      <c r="BA711" s="86"/>
      <c r="BB711" s="86"/>
      <c r="BC711" s="86"/>
      <c r="BD711" s="86"/>
      <c r="BE711" s="86"/>
      <c r="BF711" s="86"/>
      <c r="BG711" s="86"/>
      <c r="BH711" s="86"/>
      <c r="BI711" s="86"/>
      <c r="BJ711" s="86"/>
      <c r="BK711" s="86"/>
      <c r="BL711" s="86"/>
      <c r="BM711" s="86"/>
      <c r="BN711" s="86"/>
      <c r="BO711" s="86"/>
      <c r="BP711" s="86"/>
      <c r="BQ711" s="86"/>
      <c r="BR711" s="86"/>
      <c r="BS711" s="86"/>
      <c r="BT711" s="86"/>
      <c r="BU711" s="86"/>
      <c r="BV711" s="86"/>
      <c r="BW711" s="86"/>
      <c r="BX711" s="86"/>
      <c r="BY711" s="86"/>
      <c r="BZ711" s="86"/>
      <c r="CA711" s="86"/>
      <c r="CB711" s="86"/>
      <c r="CC711" s="86"/>
      <c r="CD711" s="86"/>
      <c r="CE711" s="86"/>
      <c r="CF711" s="86"/>
      <c r="CG711" s="86"/>
      <c r="CH711" s="86"/>
      <c r="CI711" s="86"/>
      <c r="CJ711" s="86"/>
      <c r="CK711" s="86"/>
      <c r="CL711" s="86"/>
      <c r="CM711" s="86"/>
      <c r="CN711" s="86"/>
      <c r="CO711" s="86"/>
      <c r="CP711" s="86"/>
      <c r="CQ711" s="86"/>
      <c r="CR711" s="86">
        <f t="shared" si="464"/>
        <v>0</v>
      </c>
      <c r="CS711" s="86"/>
      <c r="CT711" s="86"/>
      <c r="CU711" s="86"/>
      <c r="CV711" s="86"/>
      <c r="CW711" s="86"/>
      <c r="CX711" s="86"/>
      <c r="CY711" s="86">
        <v>0</v>
      </c>
      <c r="CZ711" s="86"/>
      <c r="DA711" s="86"/>
      <c r="DB711" s="86"/>
      <c r="DC711" s="86"/>
      <c r="DD711" s="86"/>
      <c r="DE711" s="86"/>
      <c r="DF711" s="86"/>
      <c r="DG711" s="86"/>
      <c r="DH711" s="86"/>
      <c r="DI711" s="86"/>
      <c r="DJ711" s="86"/>
      <c r="DK711" s="86"/>
      <c r="DL711" s="86"/>
      <c r="DM711" s="86"/>
      <c r="DN711" s="86"/>
      <c r="DO711" s="86"/>
      <c r="DP711" s="86"/>
      <c r="DQ711" s="86"/>
      <c r="DR711" s="118"/>
      <c r="DS711" s="118"/>
      <c r="DT711" s="86"/>
      <c r="DU711" s="86"/>
      <c r="DV711" s="86"/>
      <c r="DW711" s="86"/>
      <c r="DX711" s="86"/>
      <c r="DY711" s="86"/>
      <c r="DZ711" s="86"/>
      <c r="EA711" s="86"/>
      <c r="EB711" s="86"/>
      <c r="EC711" s="86"/>
      <c r="ED711" s="86"/>
      <c r="EE711" s="47">
        <f t="shared" si="462"/>
        <v>0</v>
      </c>
      <c r="EF711" s="86"/>
      <c r="EG711" s="86"/>
      <c r="EH711" s="86"/>
      <c r="EI711" s="86"/>
      <c r="EJ711" s="86"/>
      <c r="EK711" s="86"/>
      <c r="EL711" s="90">
        <f t="shared" si="466"/>
        <v>0</v>
      </c>
      <c r="EM711" s="86"/>
      <c r="EN711" s="90">
        <f t="shared" si="467"/>
        <v>0</v>
      </c>
    </row>
    <row r="712" spans="1:144" ht="15" customHeight="1" x14ac:dyDescent="0.25">
      <c r="A712" s="86"/>
      <c r="B712" s="88">
        <v>88</v>
      </c>
      <c r="C712" s="86"/>
      <c r="D712" s="87"/>
      <c r="E712" s="86"/>
      <c r="F712" s="86"/>
      <c r="G712" s="86"/>
      <c r="H712" s="86"/>
      <c r="I712" s="86"/>
      <c r="J712" s="86"/>
      <c r="K712" s="86"/>
      <c r="L712" s="86"/>
      <c r="M712" s="86"/>
      <c r="N712" s="88"/>
      <c r="O712" s="88"/>
      <c r="P712" s="86"/>
      <c r="Q712" s="168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>
        <f t="shared" si="468"/>
        <v>0</v>
      </c>
      <c r="AO712" s="86">
        <f t="shared" si="469"/>
        <v>0</v>
      </c>
      <c r="AP712" s="86"/>
      <c r="AQ712" s="86"/>
      <c r="AR712" s="86"/>
      <c r="AS712" s="86"/>
      <c r="AT712" s="86"/>
      <c r="AU712" s="86"/>
      <c r="AV712" s="86"/>
      <c r="AW712" s="86"/>
      <c r="AX712" s="86"/>
      <c r="AY712" s="86"/>
      <c r="AZ712" s="86"/>
      <c r="BA712" s="86"/>
      <c r="BB712" s="86"/>
      <c r="BC712" s="86"/>
      <c r="BD712" s="86"/>
      <c r="BE712" s="86"/>
      <c r="BF712" s="86"/>
      <c r="BG712" s="86"/>
      <c r="BH712" s="86"/>
      <c r="BI712" s="86"/>
      <c r="BJ712" s="86"/>
      <c r="BK712" s="86"/>
      <c r="BL712" s="86"/>
      <c r="BM712" s="86"/>
      <c r="BN712" s="86"/>
      <c r="BO712" s="86"/>
      <c r="BP712" s="86"/>
      <c r="BQ712" s="86"/>
      <c r="BR712" s="86"/>
      <c r="BS712" s="86"/>
      <c r="BT712" s="86"/>
      <c r="BU712" s="86"/>
      <c r="BV712" s="86"/>
      <c r="BW712" s="86"/>
      <c r="BX712" s="86"/>
      <c r="BY712" s="86"/>
      <c r="BZ712" s="86"/>
      <c r="CA712" s="86"/>
      <c r="CB712" s="86"/>
      <c r="CC712" s="86"/>
      <c r="CD712" s="86"/>
      <c r="CE712" s="86"/>
      <c r="CF712" s="86"/>
      <c r="CG712" s="86"/>
      <c r="CH712" s="86"/>
      <c r="CI712" s="86"/>
      <c r="CJ712" s="86"/>
      <c r="CK712" s="86"/>
      <c r="CL712" s="86"/>
      <c r="CM712" s="86"/>
      <c r="CN712" s="86"/>
      <c r="CO712" s="86"/>
      <c r="CP712" s="86"/>
      <c r="CQ712" s="86"/>
      <c r="CR712" s="86">
        <f t="shared" si="464"/>
        <v>0</v>
      </c>
      <c r="CS712" s="86"/>
      <c r="CT712" s="86"/>
      <c r="CU712" s="86"/>
      <c r="CV712" s="86"/>
      <c r="CW712" s="86"/>
      <c r="CX712" s="86"/>
      <c r="CY712" s="86">
        <v>0</v>
      </c>
      <c r="CZ712" s="86"/>
      <c r="DA712" s="86"/>
      <c r="DB712" s="86"/>
      <c r="DC712" s="86"/>
      <c r="DD712" s="86"/>
      <c r="DE712" s="86"/>
      <c r="DF712" s="86"/>
      <c r="DG712" s="86"/>
      <c r="DH712" s="86"/>
      <c r="DI712" s="86"/>
      <c r="DJ712" s="86"/>
      <c r="DK712" s="86"/>
      <c r="DL712" s="86"/>
      <c r="DM712" s="86"/>
      <c r="DN712" s="86"/>
      <c r="DO712" s="86"/>
      <c r="DP712" s="86"/>
      <c r="DQ712" s="86"/>
      <c r="DR712" s="118"/>
      <c r="DS712" s="118"/>
      <c r="DT712" s="86"/>
      <c r="DU712" s="86"/>
      <c r="DV712" s="86"/>
      <c r="DW712" s="86"/>
      <c r="DX712" s="86"/>
      <c r="DY712" s="86"/>
      <c r="DZ712" s="86"/>
      <c r="EA712" s="86"/>
      <c r="EB712" s="86"/>
      <c r="EC712" s="86"/>
      <c r="ED712" s="86"/>
      <c r="EE712" s="47">
        <f t="shared" si="462"/>
        <v>0</v>
      </c>
      <c r="EF712" s="86"/>
      <c r="EG712" s="86"/>
      <c r="EH712" s="86"/>
      <c r="EI712" s="86"/>
      <c r="EJ712" s="86"/>
      <c r="EK712" s="86"/>
      <c r="EL712" s="90">
        <f t="shared" si="466"/>
        <v>0</v>
      </c>
      <c r="EM712" s="86"/>
      <c r="EN712" s="90">
        <f t="shared" si="467"/>
        <v>0</v>
      </c>
    </row>
    <row r="713" spans="1:144" ht="15" customHeight="1" x14ac:dyDescent="0.25">
      <c r="A713" s="86"/>
      <c r="B713" s="88">
        <v>89</v>
      </c>
      <c r="C713" s="86"/>
      <c r="D713" s="87"/>
      <c r="E713" s="86"/>
      <c r="F713" s="86"/>
      <c r="G713" s="86"/>
      <c r="H713" s="86"/>
      <c r="I713" s="86"/>
      <c r="J713" s="86"/>
      <c r="K713" s="86"/>
      <c r="L713" s="86"/>
      <c r="M713" s="86"/>
      <c r="N713" s="88"/>
      <c r="O713" s="88"/>
      <c r="P713" s="86"/>
      <c r="Q713" s="168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>
        <f t="shared" si="468"/>
        <v>0</v>
      </c>
      <c r="AO713" s="86">
        <f t="shared" si="469"/>
        <v>0</v>
      </c>
      <c r="AP713" s="86"/>
      <c r="AQ713" s="86"/>
      <c r="AR713" s="86"/>
      <c r="AS713" s="86"/>
      <c r="AT713" s="86"/>
      <c r="AU713" s="86"/>
      <c r="AV713" s="86"/>
      <c r="AW713" s="86"/>
      <c r="AX713" s="86"/>
      <c r="AY713" s="86"/>
      <c r="AZ713" s="86"/>
      <c r="BA713" s="86"/>
      <c r="BB713" s="86"/>
      <c r="BC713" s="86"/>
      <c r="BD713" s="86"/>
      <c r="BE713" s="86"/>
      <c r="BF713" s="86"/>
      <c r="BG713" s="86"/>
      <c r="BH713" s="86"/>
      <c r="BI713" s="86"/>
      <c r="BJ713" s="86"/>
      <c r="BK713" s="86"/>
      <c r="BL713" s="86"/>
      <c r="BM713" s="86"/>
      <c r="BN713" s="86"/>
      <c r="BO713" s="86"/>
      <c r="BP713" s="86"/>
      <c r="BQ713" s="86"/>
      <c r="BR713" s="86"/>
      <c r="BS713" s="86"/>
      <c r="BT713" s="86"/>
      <c r="BU713" s="86"/>
      <c r="BV713" s="86"/>
      <c r="BW713" s="86"/>
      <c r="BX713" s="86"/>
      <c r="BY713" s="86"/>
      <c r="BZ713" s="86"/>
      <c r="CA713" s="86"/>
      <c r="CB713" s="86"/>
      <c r="CC713" s="86"/>
      <c r="CD713" s="86"/>
      <c r="CE713" s="86"/>
      <c r="CF713" s="86"/>
      <c r="CG713" s="86"/>
      <c r="CH713" s="86"/>
      <c r="CI713" s="86"/>
      <c r="CJ713" s="86"/>
      <c r="CK713" s="86"/>
      <c r="CL713" s="86"/>
      <c r="CM713" s="86"/>
      <c r="CN713" s="86"/>
      <c r="CO713" s="86"/>
      <c r="CP713" s="86"/>
      <c r="CQ713" s="86"/>
      <c r="CR713" s="86">
        <f t="shared" si="464"/>
        <v>0</v>
      </c>
      <c r="CS713" s="86"/>
      <c r="CT713" s="86"/>
      <c r="CU713" s="86"/>
      <c r="CV713" s="86"/>
      <c r="CW713" s="86"/>
      <c r="CX713" s="86"/>
      <c r="CY713" s="86">
        <v>0</v>
      </c>
      <c r="CZ713" s="86"/>
      <c r="DA713" s="86"/>
      <c r="DB713" s="86"/>
      <c r="DC713" s="86"/>
      <c r="DD713" s="86"/>
      <c r="DE713" s="86"/>
      <c r="DF713" s="86"/>
      <c r="DG713" s="86"/>
      <c r="DH713" s="86"/>
      <c r="DI713" s="86"/>
      <c r="DJ713" s="86"/>
      <c r="DK713" s="86"/>
      <c r="DL713" s="86"/>
      <c r="DM713" s="86"/>
      <c r="DN713" s="86"/>
      <c r="DO713" s="86"/>
      <c r="DP713" s="86"/>
      <c r="DQ713" s="86"/>
      <c r="DR713" s="118"/>
      <c r="DS713" s="118"/>
      <c r="DT713" s="86"/>
      <c r="DU713" s="86"/>
      <c r="DV713" s="86"/>
      <c r="DW713" s="86"/>
      <c r="DX713" s="86"/>
      <c r="DY713" s="86"/>
      <c r="DZ713" s="86"/>
      <c r="EA713" s="86"/>
      <c r="EB713" s="86"/>
      <c r="EC713" s="86"/>
      <c r="ED713" s="86"/>
      <c r="EE713" s="47">
        <f t="shared" si="462"/>
        <v>0</v>
      </c>
      <c r="EF713" s="86"/>
      <c r="EG713" s="86"/>
      <c r="EH713" s="86"/>
      <c r="EI713" s="86"/>
      <c r="EJ713" s="86"/>
      <c r="EK713" s="86"/>
      <c r="EL713" s="90">
        <f t="shared" si="466"/>
        <v>0</v>
      </c>
      <c r="EM713" s="86"/>
      <c r="EN713" s="90">
        <f t="shared" si="467"/>
        <v>0</v>
      </c>
    </row>
    <row r="714" spans="1:144" ht="15" customHeight="1" x14ac:dyDescent="0.25">
      <c r="A714" s="86"/>
      <c r="B714" s="88">
        <v>90</v>
      </c>
      <c r="C714" s="86"/>
      <c r="D714" s="87"/>
      <c r="E714" s="86"/>
      <c r="F714" s="86"/>
      <c r="G714" s="86"/>
      <c r="H714" s="86"/>
      <c r="I714" s="86"/>
      <c r="J714" s="86"/>
      <c r="K714" s="86"/>
      <c r="L714" s="86"/>
      <c r="M714" s="86"/>
      <c r="N714" s="88"/>
      <c r="O714" s="88"/>
      <c r="P714" s="86"/>
      <c r="Q714" s="168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>
        <f t="shared" si="468"/>
        <v>0</v>
      </c>
      <c r="AO714" s="86">
        <f t="shared" si="469"/>
        <v>0</v>
      </c>
      <c r="AP714" s="86"/>
      <c r="AQ714" s="86"/>
      <c r="AR714" s="86"/>
      <c r="AS714" s="86"/>
      <c r="AT714" s="86"/>
      <c r="AU714" s="86"/>
      <c r="AV714" s="86"/>
      <c r="AW714" s="86"/>
      <c r="AX714" s="86"/>
      <c r="AY714" s="86"/>
      <c r="AZ714" s="86"/>
      <c r="BA714" s="86"/>
      <c r="BB714" s="86"/>
      <c r="BC714" s="86"/>
      <c r="BD714" s="86"/>
      <c r="BE714" s="86"/>
      <c r="BF714" s="86"/>
      <c r="BG714" s="86"/>
      <c r="BH714" s="86"/>
      <c r="BI714" s="86"/>
      <c r="BJ714" s="86"/>
      <c r="BK714" s="86"/>
      <c r="BL714" s="86"/>
      <c r="BM714" s="86"/>
      <c r="BN714" s="86"/>
      <c r="BO714" s="86"/>
      <c r="BP714" s="86"/>
      <c r="BQ714" s="86"/>
      <c r="BR714" s="86"/>
      <c r="BS714" s="86"/>
      <c r="BT714" s="86"/>
      <c r="BU714" s="86"/>
      <c r="BV714" s="86"/>
      <c r="BW714" s="86"/>
      <c r="BX714" s="86"/>
      <c r="BY714" s="86"/>
      <c r="BZ714" s="86"/>
      <c r="CA714" s="86"/>
      <c r="CB714" s="86"/>
      <c r="CC714" s="86"/>
      <c r="CD714" s="86"/>
      <c r="CE714" s="86"/>
      <c r="CF714" s="86"/>
      <c r="CG714" s="86"/>
      <c r="CH714" s="86"/>
      <c r="CI714" s="86"/>
      <c r="CJ714" s="86"/>
      <c r="CK714" s="86"/>
      <c r="CL714" s="86"/>
      <c r="CM714" s="86"/>
      <c r="CN714" s="86"/>
      <c r="CO714" s="86"/>
      <c r="CP714" s="86"/>
      <c r="CQ714" s="86"/>
      <c r="CR714" s="86">
        <f t="shared" si="464"/>
        <v>0</v>
      </c>
      <c r="CS714" s="86"/>
      <c r="CT714" s="86"/>
      <c r="CU714" s="86"/>
      <c r="CV714" s="86"/>
      <c r="CW714" s="86"/>
      <c r="CX714" s="86"/>
      <c r="CY714" s="86">
        <v>0</v>
      </c>
      <c r="CZ714" s="86"/>
      <c r="DA714" s="86"/>
      <c r="DB714" s="86"/>
      <c r="DC714" s="86"/>
      <c r="DD714" s="86"/>
      <c r="DE714" s="86"/>
      <c r="DF714" s="86"/>
      <c r="DG714" s="86"/>
      <c r="DH714" s="86"/>
      <c r="DI714" s="86"/>
      <c r="DJ714" s="86"/>
      <c r="DK714" s="86"/>
      <c r="DL714" s="86"/>
      <c r="DM714" s="86"/>
      <c r="DN714" s="86"/>
      <c r="DO714" s="86"/>
      <c r="DP714" s="86"/>
      <c r="DQ714" s="86"/>
      <c r="DR714" s="118"/>
      <c r="DS714" s="118"/>
      <c r="DT714" s="86"/>
      <c r="DU714" s="86"/>
      <c r="DV714" s="86"/>
      <c r="DW714" s="86"/>
      <c r="DX714" s="86"/>
      <c r="DY714" s="86"/>
      <c r="DZ714" s="86"/>
      <c r="EA714" s="86"/>
      <c r="EB714" s="86"/>
      <c r="EC714" s="86"/>
      <c r="ED714" s="86"/>
      <c r="EE714" s="47">
        <f t="shared" si="462"/>
        <v>0</v>
      </c>
      <c r="EF714" s="86"/>
      <c r="EG714" s="86"/>
      <c r="EH714" s="86"/>
      <c r="EI714" s="86"/>
      <c r="EJ714" s="86"/>
      <c r="EK714" s="86"/>
      <c r="EL714" s="90">
        <f t="shared" si="466"/>
        <v>0</v>
      </c>
      <c r="EM714" s="86"/>
      <c r="EN714" s="90">
        <f t="shared" si="467"/>
        <v>0</v>
      </c>
    </row>
    <row r="715" spans="1:144" ht="15" customHeight="1" x14ac:dyDescent="0.25">
      <c r="A715" s="86"/>
      <c r="B715" s="88">
        <v>91</v>
      </c>
      <c r="C715" s="86"/>
      <c r="D715" s="87"/>
      <c r="E715" s="86"/>
      <c r="F715" s="86"/>
      <c r="G715" s="86"/>
      <c r="H715" s="86"/>
      <c r="I715" s="86"/>
      <c r="J715" s="86"/>
      <c r="K715" s="86"/>
      <c r="L715" s="86"/>
      <c r="M715" s="86"/>
      <c r="N715" s="88"/>
      <c r="O715" s="88"/>
      <c r="P715" s="86"/>
      <c r="Q715" s="168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>
        <f t="shared" si="468"/>
        <v>0</v>
      </c>
      <c r="AO715" s="86">
        <f t="shared" si="469"/>
        <v>0</v>
      </c>
      <c r="AP715" s="86"/>
      <c r="AQ715" s="86"/>
      <c r="AR715" s="86"/>
      <c r="AS715" s="86"/>
      <c r="AT715" s="86"/>
      <c r="AU715" s="86"/>
      <c r="AV715" s="86"/>
      <c r="AW715" s="86"/>
      <c r="AX715" s="86"/>
      <c r="AY715" s="86"/>
      <c r="AZ715" s="86"/>
      <c r="BA715" s="86"/>
      <c r="BB715" s="86"/>
      <c r="BC715" s="86"/>
      <c r="BD715" s="86"/>
      <c r="BE715" s="86"/>
      <c r="BF715" s="86"/>
      <c r="BG715" s="86"/>
      <c r="BH715" s="86"/>
      <c r="BI715" s="86"/>
      <c r="BJ715" s="86"/>
      <c r="BK715" s="86"/>
      <c r="BL715" s="86"/>
      <c r="BM715" s="86"/>
      <c r="BN715" s="86"/>
      <c r="BO715" s="86"/>
      <c r="BP715" s="86"/>
      <c r="BQ715" s="86"/>
      <c r="BR715" s="86"/>
      <c r="BS715" s="86"/>
      <c r="BT715" s="86"/>
      <c r="BU715" s="86"/>
      <c r="BV715" s="86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  <c r="CO715" s="86"/>
      <c r="CP715" s="86"/>
      <c r="CQ715" s="86"/>
      <c r="CR715" s="86">
        <f t="shared" si="464"/>
        <v>0</v>
      </c>
      <c r="CS715" s="86"/>
      <c r="CT715" s="86"/>
      <c r="CU715" s="86"/>
      <c r="CV715" s="86"/>
      <c r="CW715" s="86"/>
      <c r="CX715" s="86"/>
      <c r="CY715" s="86">
        <v>0</v>
      </c>
      <c r="CZ715" s="86"/>
      <c r="DA715" s="86"/>
      <c r="DB715" s="86"/>
      <c r="DC715" s="86"/>
      <c r="DD715" s="86"/>
      <c r="DE715" s="86"/>
      <c r="DF715" s="86"/>
      <c r="DG715" s="86"/>
      <c r="DH715" s="86"/>
      <c r="DI715" s="86"/>
      <c r="DJ715" s="86"/>
      <c r="DK715" s="86"/>
      <c r="DL715" s="86"/>
      <c r="DM715" s="86"/>
      <c r="DN715" s="86"/>
      <c r="DO715" s="86"/>
      <c r="DP715" s="86"/>
      <c r="DQ715" s="86"/>
      <c r="DR715" s="118"/>
      <c r="DS715" s="118"/>
      <c r="DT715" s="86"/>
      <c r="DU715" s="86"/>
      <c r="DV715" s="86"/>
      <c r="DW715" s="86"/>
      <c r="DX715" s="86"/>
      <c r="DY715" s="86"/>
      <c r="DZ715" s="86"/>
      <c r="EA715" s="86"/>
      <c r="EB715" s="86"/>
      <c r="EC715" s="86"/>
      <c r="ED715" s="86"/>
      <c r="EE715" s="47">
        <f t="shared" si="462"/>
        <v>0</v>
      </c>
      <c r="EF715" s="86"/>
      <c r="EG715" s="86"/>
      <c r="EH715" s="86"/>
      <c r="EI715" s="86"/>
      <c r="EJ715" s="86"/>
      <c r="EK715" s="86"/>
      <c r="EL715" s="90">
        <f t="shared" si="466"/>
        <v>0</v>
      </c>
      <c r="EM715" s="86"/>
      <c r="EN715" s="90">
        <f t="shared" si="467"/>
        <v>0</v>
      </c>
    </row>
    <row r="716" spans="1:144" ht="15" customHeight="1" x14ac:dyDescent="0.25">
      <c r="A716" s="86"/>
      <c r="B716" s="88">
        <v>92</v>
      </c>
      <c r="C716" s="86"/>
      <c r="D716" s="87"/>
      <c r="E716" s="86"/>
      <c r="F716" s="86"/>
      <c r="G716" s="86"/>
      <c r="H716" s="86"/>
      <c r="I716" s="86"/>
      <c r="J716" s="86"/>
      <c r="K716" s="86"/>
      <c r="L716" s="86"/>
      <c r="M716" s="86"/>
      <c r="N716" s="88"/>
      <c r="O716" s="88"/>
      <c r="P716" s="86"/>
      <c r="Q716" s="168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>
        <f t="shared" si="468"/>
        <v>0</v>
      </c>
      <c r="AO716" s="86">
        <f t="shared" si="469"/>
        <v>0</v>
      </c>
      <c r="AP716" s="86"/>
      <c r="AQ716" s="86"/>
      <c r="AR716" s="86"/>
      <c r="AS716" s="86"/>
      <c r="AT716" s="86"/>
      <c r="AU716" s="86"/>
      <c r="AV716" s="86"/>
      <c r="AW716" s="86"/>
      <c r="AX716" s="86"/>
      <c r="AY716" s="86"/>
      <c r="AZ716" s="86"/>
      <c r="BA716" s="86"/>
      <c r="BB716" s="86"/>
      <c r="BC716" s="86"/>
      <c r="BD716" s="86"/>
      <c r="BE716" s="86"/>
      <c r="BF716" s="86"/>
      <c r="BG716" s="86"/>
      <c r="BH716" s="86"/>
      <c r="BI716" s="86"/>
      <c r="BJ716" s="86"/>
      <c r="BK716" s="86"/>
      <c r="BL716" s="86"/>
      <c r="BM716" s="86"/>
      <c r="BN716" s="86"/>
      <c r="BO716" s="86"/>
      <c r="BP716" s="86"/>
      <c r="BQ716" s="86"/>
      <c r="BR716" s="86"/>
      <c r="BS716" s="86"/>
      <c r="BT716" s="86"/>
      <c r="BU716" s="86"/>
      <c r="BV716" s="86"/>
      <c r="BW716" s="86"/>
      <c r="BX716" s="86"/>
      <c r="BY716" s="86"/>
      <c r="BZ716" s="86"/>
      <c r="CA716" s="86"/>
      <c r="CB716" s="86"/>
      <c r="CC716" s="86"/>
      <c r="CD716" s="86"/>
      <c r="CE716" s="86"/>
      <c r="CF716" s="86"/>
      <c r="CG716" s="86"/>
      <c r="CH716" s="86"/>
      <c r="CI716" s="86"/>
      <c r="CJ716" s="86"/>
      <c r="CK716" s="86"/>
      <c r="CL716" s="86"/>
      <c r="CM716" s="86"/>
      <c r="CN716" s="86"/>
      <c r="CO716" s="86"/>
      <c r="CP716" s="86"/>
      <c r="CQ716" s="86"/>
      <c r="CR716" s="86">
        <f t="shared" si="464"/>
        <v>0</v>
      </c>
      <c r="CS716" s="86"/>
      <c r="CT716" s="86"/>
      <c r="CU716" s="86"/>
      <c r="CV716" s="86"/>
      <c r="CW716" s="86"/>
      <c r="CX716" s="86"/>
      <c r="CY716" s="86">
        <v>0</v>
      </c>
      <c r="CZ716" s="86"/>
      <c r="DA716" s="86"/>
      <c r="DB716" s="86"/>
      <c r="DC716" s="86"/>
      <c r="DD716" s="86"/>
      <c r="DE716" s="86"/>
      <c r="DF716" s="86"/>
      <c r="DG716" s="86"/>
      <c r="DH716" s="86"/>
      <c r="DI716" s="86"/>
      <c r="DJ716" s="86"/>
      <c r="DK716" s="86"/>
      <c r="DL716" s="86"/>
      <c r="DM716" s="86"/>
      <c r="DN716" s="86"/>
      <c r="DO716" s="86"/>
      <c r="DP716" s="86"/>
      <c r="DQ716" s="86"/>
      <c r="DR716" s="118"/>
      <c r="DS716" s="118"/>
      <c r="DT716" s="86"/>
      <c r="DU716" s="86"/>
      <c r="DV716" s="86"/>
      <c r="DW716" s="86"/>
      <c r="DX716" s="86"/>
      <c r="DY716" s="86"/>
      <c r="DZ716" s="86"/>
      <c r="EA716" s="86"/>
      <c r="EB716" s="86"/>
      <c r="EC716" s="86"/>
      <c r="ED716" s="86"/>
      <c r="EE716" s="47">
        <f t="shared" si="462"/>
        <v>0</v>
      </c>
      <c r="EF716" s="86"/>
      <c r="EG716" s="86"/>
      <c r="EH716" s="86"/>
      <c r="EI716" s="86"/>
      <c r="EJ716" s="86"/>
      <c r="EK716" s="86"/>
      <c r="EL716" s="90">
        <f t="shared" si="466"/>
        <v>0</v>
      </c>
      <c r="EM716" s="86"/>
      <c r="EN716" s="90">
        <f t="shared" si="467"/>
        <v>0</v>
      </c>
    </row>
    <row r="717" spans="1:144" ht="15" customHeight="1" x14ac:dyDescent="0.25">
      <c r="A717" s="86"/>
      <c r="B717" s="88">
        <v>93</v>
      </c>
      <c r="C717" s="86"/>
      <c r="D717" s="87"/>
      <c r="E717" s="86"/>
      <c r="F717" s="86"/>
      <c r="G717" s="86"/>
      <c r="H717" s="86"/>
      <c r="I717" s="86"/>
      <c r="J717" s="86"/>
      <c r="K717" s="86"/>
      <c r="L717" s="86"/>
      <c r="M717" s="86"/>
      <c r="N717" s="88"/>
      <c r="O717" s="88"/>
      <c r="P717" s="86"/>
      <c r="Q717" s="168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>
        <f t="shared" si="468"/>
        <v>0</v>
      </c>
      <c r="AO717" s="86">
        <f t="shared" si="469"/>
        <v>0</v>
      </c>
      <c r="AP717" s="86"/>
      <c r="AQ717" s="86"/>
      <c r="AR717" s="86"/>
      <c r="AS717" s="86"/>
      <c r="AT717" s="86"/>
      <c r="AU717" s="86"/>
      <c r="AV717" s="86"/>
      <c r="AW717" s="86"/>
      <c r="AX717" s="86"/>
      <c r="AY717" s="86"/>
      <c r="AZ717" s="86"/>
      <c r="BA717" s="86"/>
      <c r="BB717" s="86"/>
      <c r="BC717" s="86"/>
      <c r="BD717" s="86"/>
      <c r="BE717" s="86"/>
      <c r="BF717" s="86"/>
      <c r="BG717" s="86"/>
      <c r="BH717" s="86"/>
      <c r="BI717" s="86"/>
      <c r="BJ717" s="86"/>
      <c r="BK717" s="86"/>
      <c r="BL717" s="86"/>
      <c r="BM717" s="86"/>
      <c r="BN717" s="86"/>
      <c r="BO717" s="86"/>
      <c r="BP717" s="86"/>
      <c r="BQ717" s="86"/>
      <c r="BR717" s="86"/>
      <c r="BS717" s="86"/>
      <c r="BT717" s="86"/>
      <c r="BU717" s="86"/>
      <c r="BV717" s="86"/>
      <c r="BW717" s="86"/>
      <c r="BX717" s="86"/>
      <c r="BY717" s="86"/>
      <c r="BZ717" s="86"/>
      <c r="CA717" s="86"/>
      <c r="CB717" s="86"/>
      <c r="CC717" s="86"/>
      <c r="CD717" s="86"/>
      <c r="CE717" s="86"/>
      <c r="CF717" s="86"/>
      <c r="CG717" s="86"/>
      <c r="CH717" s="86"/>
      <c r="CI717" s="86"/>
      <c r="CJ717" s="86"/>
      <c r="CK717" s="86"/>
      <c r="CL717" s="86"/>
      <c r="CM717" s="86"/>
      <c r="CN717" s="86"/>
      <c r="CO717" s="86"/>
      <c r="CP717" s="86"/>
      <c r="CQ717" s="86"/>
      <c r="CR717" s="86">
        <f t="shared" si="464"/>
        <v>0</v>
      </c>
      <c r="CS717" s="86"/>
      <c r="CT717" s="86"/>
      <c r="CU717" s="86"/>
      <c r="CV717" s="86"/>
      <c r="CW717" s="86"/>
      <c r="CX717" s="86"/>
      <c r="CY717" s="86"/>
      <c r="CZ717" s="86"/>
      <c r="DA717" s="86"/>
      <c r="DB717" s="86"/>
      <c r="DC717" s="86"/>
      <c r="DD717" s="86"/>
      <c r="DE717" s="86"/>
      <c r="DF717" s="86"/>
      <c r="DG717" s="86"/>
      <c r="DH717" s="86"/>
      <c r="DI717" s="86"/>
      <c r="DJ717" s="86"/>
      <c r="DK717" s="86"/>
      <c r="DL717" s="86"/>
      <c r="DM717" s="86"/>
      <c r="DN717" s="86"/>
      <c r="DO717" s="86"/>
      <c r="DP717" s="86"/>
      <c r="DQ717" s="86"/>
      <c r="DR717" s="118"/>
      <c r="DS717" s="118"/>
      <c r="DT717" s="86"/>
      <c r="DU717" s="86"/>
      <c r="DV717" s="86"/>
      <c r="DW717" s="86"/>
      <c r="DX717" s="86"/>
      <c r="DY717" s="86"/>
      <c r="DZ717" s="86"/>
      <c r="EA717" s="86"/>
      <c r="EB717" s="86"/>
      <c r="EC717" s="86"/>
      <c r="ED717" s="86"/>
      <c r="EE717" s="47">
        <f t="shared" si="462"/>
        <v>0</v>
      </c>
      <c r="EF717" s="86"/>
      <c r="EG717" s="86"/>
      <c r="EH717" s="86"/>
      <c r="EI717" s="86"/>
      <c r="EJ717" s="86"/>
      <c r="EK717" s="86"/>
      <c r="EL717" s="90">
        <f t="shared" si="466"/>
        <v>0</v>
      </c>
      <c r="EM717" s="86"/>
      <c r="EN717" s="90">
        <f t="shared" si="467"/>
        <v>0</v>
      </c>
    </row>
    <row r="718" spans="1:144" ht="15" customHeight="1" x14ac:dyDescent="0.25">
      <c r="A718" s="86"/>
      <c r="B718" s="88">
        <v>94</v>
      </c>
      <c r="C718" s="86"/>
      <c r="D718" s="87"/>
      <c r="E718" s="86"/>
      <c r="F718" s="86"/>
      <c r="G718" s="86"/>
      <c r="H718" s="86"/>
      <c r="I718" s="86"/>
      <c r="J718" s="86"/>
      <c r="K718" s="86"/>
      <c r="L718" s="86"/>
      <c r="M718" s="86"/>
      <c r="N718" s="88"/>
      <c r="O718" s="88"/>
      <c r="P718" s="86"/>
      <c r="Q718" s="168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>
        <f t="shared" si="468"/>
        <v>0</v>
      </c>
      <c r="AO718" s="86">
        <f t="shared" si="469"/>
        <v>0</v>
      </c>
      <c r="AP718" s="86"/>
      <c r="AQ718" s="86"/>
      <c r="AR718" s="86"/>
      <c r="AS718" s="86"/>
      <c r="AT718" s="86"/>
      <c r="AU718" s="86"/>
      <c r="AV718" s="86"/>
      <c r="AW718" s="86"/>
      <c r="AX718" s="86"/>
      <c r="AY718" s="86"/>
      <c r="AZ718" s="86"/>
      <c r="BA718" s="86"/>
      <c r="BB718" s="86"/>
      <c r="BC718" s="86"/>
      <c r="BD718" s="86"/>
      <c r="BE718" s="86"/>
      <c r="BF718" s="86"/>
      <c r="BG718" s="86"/>
      <c r="BH718" s="86"/>
      <c r="BI718" s="86"/>
      <c r="BJ718" s="86"/>
      <c r="BK718" s="86"/>
      <c r="BL718" s="86"/>
      <c r="BM718" s="86"/>
      <c r="BN718" s="86"/>
      <c r="BO718" s="86"/>
      <c r="BP718" s="86"/>
      <c r="BQ718" s="86"/>
      <c r="BR718" s="86"/>
      <c r="BS718" s="86"/>
      <c r="BT718" s="86"/>
      <c r="BU718" s="86"/>
      <c r="BV718" s="86"/>
      <c r="BW718" s="86"/>
      <c r="BX718" s="86"/>
      <c r="BY718" s="86"/>
      <c r="BZ718" s="86"/>
      <c r="CA718" s="86"/>
      <c r="CB718" s="86"/>
      <c r="CC718" s="86"/>
      <c r="CD718" s="86"/>
      <c r="CE718" s="86"/>
      <c r="CF718" s="86"/>
      <c r="CG718" s="86"/>
      <c r="CH718" s="86"/>
      <c r="CI718" s="86"/>
      <c r="CJ718" s="86"/>
      <c r="CK718" s="86"/>
      <c r="CL718" s="86"/>
      <c r="CM718" s="86"/>
      <c r="CN718" s="86"/>
      <c r="CO718" s="86"/>
      <c r="CP718" s="86"/>
      <c r="CQ718" s="86"/>
      <c r="CR718" s="86">
        <f t="shared" si="464"/>
        <v>0</v>
      </c>
      <c r="CS718" s="86"/>
      <c r="CT718" s="86"/>
      <c r="CU718" s="86"/>
      <c r="CV718" s="86"/>
      <c r="CW718" s="86"/>
      <c r="CX718" s="86"/>
      <c r="CY718" s="86"/>
      <c r="CZ718" s="86"/>
      <c r="DA718" s="86"/>
      <c r="DB718" s="86"/>
      <c r="DC718" s="86"/>
      <c r="DD718" s="86"/>
      <c r="DE718" s="86"/>
      <c r="DF718" s="86"/>
      <c r="DG718" s="86"/>
      <c r="DH718" s="86"/>
      <c r="DI718" s="86"/>
      <c r="DJ718" s="86"/>
      <c r="DK718" s="86"/>
      <c r="DL718" s="86"/>
      <c r="DM718" s="86"/>
      <c r="DN718" s="86"/>
      <c r="DO718" s="86"/>
      <c r="DP718" s="86"/>
      <c r="DQ718" s="86"/>
      <c r="DR718" s="118"/>
      <c r="DS718" s="118"/>
      <c r="DT718" s="86"/>
      <c r="DU718" s="86"/>
      <c r="DV718" s="86"/>
      <c r="DW718" s="86"/>
      <c r="DX718" s="86"/>
      <c r="DY718" s="86"/>
      <c r="DZ718" s="86"/>
      <c r="EA718" s="86"/>
      <c r="EB718" s="86"/>
      <c r="EC718" s="86"/>
      <c r="ED718" s="86"/>
      <c r="EE718" s="47">
        <f t="shared" si="462"/>
        <v>0</v>
      </c>
      <c r="EF718" s="86"/>
      <c r="EG718" s="86"/>
      <c r="EH718" s="86"/>
      <c r="EI718" s="86"/>
      <c r="EJ718" s="86"/>
      <c r="EK718" s="86"/>
      <c r="EL718" s="90">
        <f t="shared" si="466"/>
        <v>0</v>
      </c>
      <c r="EM718" s="86"/>
      <c r="EN718" s="90">
        <f t="shared" si="467"/>
        <v>0</v>
      </c>
    </row>
    <row r="719" spans="1:144" ht="15" customHeight="1" x14ac:dyDescent="0.25">
      <c r="A719" s="86"/>
      <c r="B719" s="88">
        <v>95</v>
      </c>
      <c r="C719" s="86"/>
      <c r="D719" s="87"/>
      <c r="E719" s="86"/>
      <c r="F719" s="86"/>
      <c r="G719" s="86"/>
      <c r="H719" s="86"/>
      <c r="I719" s="86"/>
      <c r="J719" s="86"/>
      <c r="K719" s="86"/>
      <c r="L719" s="86"/>
      <c r="M719" s="86"/>
      <c r="N719" s="88"/>
      <c r="O719" s="88"/>
      <c r="P719" s="86"/>
      <c r="Q719" s="168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>
        <f t="shared" si="468"/>
        <v>0</v>
      </c>
      <c r="AO719" s="86">
        <f t="shared" si="469"/>
        <v>0</v>
      </c>
      <c r="AP719" s="86"/>
      <c r="AQ719" s="86"/>
      <c r="AR719" s="86"/>
      <c r="AS719" s="86"/>
      <c r="AT719" s="86"/>
      <c r="AU719" s="86"/>
      <c r="AV719" s="86"/>
      <c r="AW719" s="86"/>
      <c r="AX719" s="86"/>
      <c r="AY719" s="86"/>
      <c r="AZ719" s="86"/>
      <c r="BA719" s="86"/>
      <c r="BB719" s="86"/>
      <c r="BC719" s="86"/>
      <c r="BD719" s="86"/>
      <c r="BE719" s="86"/>
      <c r="BF719" s="86"/>
      <c r="BG719" s="86"/>
      <c r="BH719" s="86"/>
      <c r="BI719" s="86"/>
      <c r="BJ719" s="86"/>
      <c r="BK719" s="86"/>
      <c r="BL719" s="86"/>
      <c r="BM719" s="86"/>
      <c r="BN719" s="86"/>
      <c r="BO719" s="86"/>
      <c r="BP719" s="86"/>
      <c r="BQ719" s="86"/>
      <c r="BR719" s="86"/>
      <c r="BS719" s="86"/>
      <c r="BT719" s="86"/>
      <c r="BU719" s="86"/>
      <c r="BV719" s="86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  <c r="CO719" s="86"/>
      <c r="CP719" s="86"/>
      <c r="CQ719" s="86"/>
      <c r="CR719" s="86">
        <f t="shared" si="464"/>
        <v>0</v>
      </c>
      <c r="CS719" s="86"/>
      <c r="CT719" s="86"/>
      <c r="CU719" s="86"/>
      <c r="CV719" s="86"/>
      <c r="CW719" s="86"/>
      <c r="CX719" s="86"/>
      <c r="CY719" s="86"/>
      <c r="CZ719" s="86"/>
      <c r="DA719" s="86"/>
      <c r="DB719" s="86"/>
      <c r="DC719" s="86"/>
      <c r="DD719" s="86"/>
      <c r="DE719" s="86"/>
      <c r="DF719" s="86"/>
      <c r="DG719" s="86"/>
      <c r="DH719" s="86"/>
      <c r="DI719" s="86"/>
      <c r="DJ719" s="86"/>
      <c r="DK719" s="86"/>
      <c r="DL719" s="86"/>
      <c r="DM719" s="86"/>
      <c r="DN719" s="86"/>
      <c r="DO719" s="86"/>
      <c r="DP719" s="86"/>
      <c r="DQ719" s="86"/>
      <c r="DR719" s="118"/>
      <c r="DS719" s="118"/>
      <c r="DT719" s="86"/>
      <c r="DU719" s="86"/>
      <c r="DV719" s="86"/>
      <c r="DW719" s="86"/>
      <c r="DX719" s="86"/>
      <c r="DY719" s="86"/>
      <c r="DZ719" s="86"/>
      <c r="EA719" s="86"/>
      <c r="EB719" s="86"/>
      <c r="EC719" s="86"/>
      <c r="ED719" s="86"/>
      <c r="EE719" s="47">
        <f t="shared" si="462"/>
        <v>0</v>
      </c>
      <c r="EF719" s="86"/>
      <c r="EG719" s="86"/>
      <c r="EH719" s="86"/>
      <c r="EI719" s="86"/>
      <c r="EJ719" s="86"/>
      <c r="EK719" s="86"/>
      <c r="EL719" s="90">
        <f t="shared" si="466"/>
        <v>0</v>
      </c>
      <c r="EM719" s="86"/>
      <c r="EN719" s="90">
        <f t="shared" si="467"/>
        <v>0</v>
      </c>
    </row>
    <row r="720" spans="1:144" ht="15" customHeight="1" x14ac:dyDescent="0.25">
      <c r="A720" s="86"/>
      <c r="B720" s="88">
        <v>96</v>
      </c>
      <c r="C720" s="86"/>
      <c r="D720" s="87"/>
      <c r="E720" s="86"/>
      <c r="F720" s="86"/>
      <c r="G720" s="86"/>
      <c r="H720" s="86"/>
      <c r="I720" s="86"/>
      <c r="J720" s="86"/>
      <c r="K720" s="86"/>
      <c r="L720" s="86"/>
      <c r="M720" s="86"/>
      <c r="N720" s="88"/>
      <c r="O720" s="88"/>
      <c r="P720" s="86"/>
      <c r="Q720" s="168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>
        <f t="shared" si="468"/>
        <v>0</v>
      </c>
      <c r="AO720" s="86">
        <f t="shared" si="469"/>
        <v>0</v>
      </c>
      <c r="AP720" s="86"/>
      <c r="AQ720" s="86"/>
      <c r="AR720" s="86"/>
      <c r="AS720" s="86"/>
      <c r="AT720" s="86"/>
      <c r="AU720" s="86"/>
      <c r="AV720" s="86"/>
      <c r="AW720" s="86"/>
      <c r="AX720" s="86"/>
      <c r="AY720" s="86"/>
      <c r="AZ720" s="86"/>
      <c r="BA720" s="86"/>
      <c r="BB720" s="86"/>
      <c r="BC720" s="86"/>
      <c r="BD720" s="86"/>
      <c r="BE720" s="86"/>
      <c r="BF720" s="86"/>
      <c r="BG720" s="86"/>
      <c r="BH720" s="86"/>
      <c r="BI720" s="86"/>
      <c r="BJ720" s="86"/>
      <c r="BK720" s="86"/>
      <c r="BL720" s="86"/>
      <c r="BM720" s="86"/>
      <c r="BN720" s="86"/>
      <c r="BO720" s="86"/>
      <c r="BP720" s="86"/>
      <c r="BQ720" s="86"/>
      <c r="BR720" s="86"/>
      <c r="BS720" s="86"/>
      <c r="BT720" s="86"/>
      <c r="BU720" s="86"/>
      <c r="BV720" s="86"/>
      <c r="BW720" s="86"/>
      <c r="BX720" s="86"/>
      <c r="BY720" s="86"/>
      <c r="BZ720" s="86"/>
      <c r="CA720" s="86"/>
      <c r="CB720" s="86"/>
      <c r="CC720" s="86"/>
      <c r="CD720" s="86"/>
      <c r="CE720" s="86"/>
      <c r="CF720" s="86"/>
      <c r="CG720" s="86"/>
      <c r="CH720" s="86"/>
      <c r="CI720" s="86"/>
      <c r="CJ720" s="86"/>
      <c r="CK720" s="86"/>
      <c r="CL720" s="86"/>
      <c r="CM720" s="86"/>
      <c r="CN720" s="86"/>
      <c r="CO720" s="86"/>
      <c r="CP720" s="86"/>
      <c r="CQ720" s="86"/>
      <c r="CR720" s="86">
        <f t="shared" si="464"/>
        <v>0</v>
      </c>
      <c r="CS720" s="86"/>
      <c r="CT720" s="86"/>
      <c r="CU720" s="86"/>
      <c r="CV720" s="86"/>
      <c r="CW720" s="86"/>
      <c r="CX720" s="86"/>
      <c r="CY720" s="86"/>
      <c r="CZ720" s="86"/>
      <c r="DA720" s="86"/>
      <c r="DB720" s="86"/>
      <c r="DC720" s="86"/>
      <c r="DD720" s="86"/>
      <c r="DE720" s="86"/>
      <c r="DF720" s="86"/>
      <c r="DG720" s="86"/>
      <c r="DH720" s="86"/>
      <c r="DI720" s="86"/>
      <c r="DJ720" s="86"/>
      <c r="DK720" s="86"/>
      <c r="DL720" s="86"/>
      <c r="DM720" s="86"/>
      <c r="DN720" s="86"/>
      <c r="DO720" s="86"/>
      <c r="DP720" s="86"/>
      <c r="DQ720" s="86"/>
      <c r="DR720" s="118"/>
      <c r="DS720" s="118"/>
      <c r="DT720" s="86"/>
      <c r="DU720" s="86"/>
      <c r="DV720" s="86"/>
      <c r="DW720" s="86"/>
      <c r="DX720" s="86"/>
      <c r="DY720" s="86"/>
      <c r="DZ720" s="86"/>
      <c r="EA720" s="86"/>
      <c r="EB720" s="86"/>
      <c r="EC720" s="86"/>
      <c r="ED720" s="86"/>
      <c r="EE720" s="47">
        <f t="shared" si="462"/>
        <v>0</v>
      </c>
      <c r="EF720" s="86"/>
      <c r="EG720" s="86"/>
      <c r="EH720" s="86"/>
      <c r="EI720" s="86"/>
      <c r="EJ720" s="86"/>
      <c r="EK720" s="86"/>
      <c r="EL720" s="90">
        <f t="shared" si="466"/>
        <v>0</v>
      </c>
      <c r="EM720" s="86"/>
      <c r="EN720" s="90">
        <f t="shared" si="467"/>
        <v>0</v>
      </c>
    </row>
    <row r="721" spans="1:144" ht="15" customHeight="1" x14ac:dyDescent="0.25">
      <c r="A721" s="86"/>
      <c r="B721" s="88">
        <v>97</v>
      </c>
      <c r="C721" s="86"/>
      <c r="D721" s="87"/>
      <c r="E721" s="86"/>
      <c r="F721" s="86"/>
      <c r="G721" s="86"/>
      <c r="H721" s="86"/>
      <c r="I721" s="86"/>
      <c r="J721" s="86"/>
      <c r="K721" s="86"/>
      <c r="L721" s="86"/>
      <c r="M721" s="86"/>
      <c r="N721" s="88"/>
      <c r="O721" s="88"/>
      <c r="P721" s="86"/>
      <c r="Q721" s="168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>
        <f t="shared" si="468"/>
        <v>0</v>
      </c>
      <c r="AO721" s="86">
        <f t="shared" si="469"/>
        <v>0</v>
      </c>
      <c r="AP721" s="86"/>
      <c r="AQ721" s="86"/>
      <c r="AR721" s="86"/>
      <c r="AS721" s="86"/>
      <c r="AT721" s="86"/>
      <c r="AU721" s="86"/>
      <c r="AV721" s="86"/>
      <c r="AW721" s="86"/>
      <c r="AX721" s="86"/>
      <c r="AY721" s="86"/>
      <c r="AZ721" s="86"/>
      <c r="BA721" s="86"/>
      <c r="BB721" s="86"/>
      <c r="BC721" s="86"/>
      <c r="BD721" s="86"/>
      <c r="BE721" s="86"/>
      <c r="BF721" s="86"/>
      <c r="BG721" s="86"/>
      <c r="BH721" s="86"/>
      <c r="BI721" s="86"/>
      <c r="BJ721" s="86"/>
      <c r="BK721" s="86"/>
      <c r="BL721" s="86"/>
      <c r="BM721" s="86"/>
      <c r="BN721" s="86"/>
      <c r="BO721" s="86"/>
      <c r="BP721" s="86"/>
      <c r="BQ721" s="86"/>
      <c r="BR721" s="86"/>
      <c r="BS721" s="86"/>
      <c r="BT721" s="86"/>
      <c r="BU721" s="86"/>
      <c r="BV721" s="86"/>
      <c r="BW721" s="86"/>
      <c r="BX721" s="86"/>
      <c r="BY721" s="86"/>
      <c r="BZ721" s="86"/>
      <c r="CA721" s="86"/>
      <c r="CB721" s="86"/>
      <c r="CC721" s="86"/>
      <c r="CD721" s="86"/>
      <c r="CE721" s="86"/>
      <c r="CF721" s="86"/>
      <c r="CG721" s="86"/>
      <c r="CH721" s="86"/>
      <c r="CI721" s="86"/>
      <c r="CJ721" s="86"/>
      <c r="CK721" s="86"/>
      <c r="CL721" s="86"/>
      <c r="CM721" s="86"/>
      <c r="CN721" s="86"/>
      <c r="CO721" s="86"/>
      <c r="CP721" s="86"/>
      <c r="CQ721" s="86"/>
      <c r="CR721" s="86">
        <f t="shared" si="464"/>
        <v>0</v>
      </c>
      <c r="CS721" s="86"/>
      <c r="CT721" s="86"/>
      <c r="CU721" s="86"/>
      <c r="CV721" s="86"/>
      <c r="CW721" s="86"/>
      <c r="CX721" s="86"/>
      <c r="CY721" s="86"/>
      <c r="CZ721" s="86"/>
      <c r="DA721" s="86"/>
      <c r="DB721" s="86"/>
      <c r="DC721" s="86"/>
      <c r="DD721" s="86"/>
      <c r="DE721" s="86"/>
      <c r="DF721" s="86"/>
      <c r="DG721" s="86"/>
      <c r="DH721" s="86"/>
      <c r="DI721" s="86"/>
      <c r="DJ721" s="86"/>
      <c r="DK721" s="86"/>
      <c r="DL721" s="86"/>
      <c r="DM721" s="86"/>
      <c r="DN721" s="86"/>
      <c r="DO721" s="86"/>
      <c r="DP721" s="86"/>
      <c r="DQ721" s="86"/>
      <c r="DR721" s="118"/>
      <c r="DS721" s="118"/>
      <c r="DT721" s="86"/>
      <c r="DU721" s="86"/>
      <c r="DV721" s="86"/>
      <c r="DW721" s="86"/>
      <c r="DX721" s="86"/>
      <c r="DY721" s="86"/>
      <c r="DZ721" s="86"/>
      <c r="EA721" s="86"/>
      <c r="EB721" s="86"/>
      <c r="EC721" s="86"/>
      <c r="ED721" s="86"/>
      <c r="EE721" s="47">
        <f t="shared" si="462"/>
        <v>0</v>
      </c>
      <c r="EF721" s="86"/>
      <c r="EG721" s="86"/>
      <c r="EH721" s="86"/>
      <c r="EI721" s="86"/>
      <c r="EJ721" s="86"/>
      <c r="EK721" s="86"/>
      <c r="EL721" s="90">
        <f t="shared" si="466"/>
        <v>0</v>
      </c>
      <c r="EM721" s="86"/>
      <c r="EN721" s="90">
        <f t="shared" si="467"/>
        <v>0</v>
      </c>
    </row>
    <row r="722" spans="1:144" ht="15" customHeight="1" x14ac:dyDescent="0.25">
      <c r="A722" s="86"/>
      <c r="B722" s="88">
        <v>98</v>
      </c>
      <c r="C722" s="86"/>
      <c r="D722" s="87"/>
      <c r="E722" s="86"/>
      <c r="F722" s="86"/>
      <c r="G722" s="86"/>
      <c r="H722" s="86"/>
      <c r="I722" s="86"/>
      <c r="J722" s="86"/>
      <c r="K722" s="86"/>
      <c r="L722" s="86"/>
      <c r="M722" s="86"/>
      <c r="N722" s="88"/>
      <c r="O722" s="88"/>
      <c r="P722" s="86"/>
      <c r="Q722" s="168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>
        <f t="shared" si="468"/>
        <v>0</v>
      </c>
      <c r="AO722" s="86">
        <f t="shared" si="469"/>
        <v>0</v>
      </c>
      <c r="AP722" s="86"/>
      <c r="AQ722" s="86"/>
      <c r="AR722" s="86"/>
      <c r="AS722" s="86"/>
      <c r="AT722" s="86"/>
      <c r="AU722" s="86"/>
      <c r="AV722" s="86"/>
      <c r="AW722" s="86"/>
      <c r="AX722" s="86"/>
      <c r="AY722" s="86"/>
      <c r="AZ722" s="86"/>
      <c r="BA722" s="86"/>
      <c r="BB722" s="86"/>
      <c r="BC722" s="86"/>
      <c r="BD722" s="86"/>
      <c r="BE722" s="86"/>
      <c r="BF722" s="86"/>
      <c r="BG722" s="86"/>
      <c r="BH722" s="86"/>
      <c r="BI722" s="86"/>
      <c r="BJ722" s="86"/>
      <c r="BK722" s="86"/>
      <c r="BL722" s="86"/>
      <c r="BM722" s="86"/>
      <c r="BN722" s="86"/>
      <c r="BO722" s="86"/>
      <c r="BP722" s="86"/>
      <c r="BQ722" s="86"/>
      <c r="BR722" s="86"/>
      <c r="BS722" s="86"/>
      <c r="BT722" s="86"/>
      <c r="BU722" s="86"/>
      <c r="BV722" s="86"/>
      <c r="BW722" s="86"/>
      <c r="BX722" s="86"/>
      <c r="BY722" s="86"/>
      <c r="BZ722" s="86"/>
      <c r="CA722" s="86"/>
      <c r="CB722" s="86"/>
      <c r="CC722" s="86"/>
      <c r="CD722" s="86"/>
      <c r="CE722" s="86"/>
      <c r="CF722" s="86"/>
      <c r="CG722" s="86"/>
      <c r="CH722" s="86"/>
      <c r="CI722" s="86"/>
      <c r="CJ722" s="86"/>
      <c r="CK722" s="86"/>
      <c r="CL722" s="86"/>
      <c r="CM722" s="86"/>
      <c r="CN722" s="86"/>
      <c r="CO722" s="86"/>
      <c r="CP722" s="86"/>
      <c r="CQ722" s="86"/>
      <c r="CR722" s="86">
        <f t="shared" si="464"/>
        <v>0</v>
      </c>
      <c r="CS722" s="86"/>
      <c r="CT722" s="86"/>
      <c r="CU722" s="86"/>
      <c r="CV722" s="86"/>
      <c r="CW722" s="86"/>
      <c r="CX722" s="86"/>
      <c r="CY722" s="86"/>
      <c r="CZ722" s="86"/>
      <c r="DA722" s="86"/>
      <c r="DB722" s="86"/>
      <c r="DC722" s="86"/>
      <c r="DD722" s="86"/>
      <c r="DE722" s="86"/>
      <c r="DF722" s="86"/>
      <c r="DG722" s="86"/>
      <c r="DH722" s="86"/>
      <c r="DI722" s="86"/>
      <c r="DJ722" s="86"/>
      <c r="DK722" s="86"/>
      <c r="DL722" s="86"/>
      <c r="DM722" s="86"/>
      <c r="DN722" s="86"/>
      <c r="DO722" s="86"/>
      <c r="DP722" s="86"/>
      <c r="DQ722" s="86"/>
      <c r="DR722" s="118"/>
      <c r="DS722" s="118"/>
      <c r="DT722" s="86"/>
      <c r="DU722" s="86"/>
      <c r="DV722" s="86"/>
      <c r="DW722" s="86"/>
      <c r="DX722" s="86"/>
      <c r="DY722" s="86"/>
      <c r="DZ722" s="86"/>
      <c r="EA722" s="86"/>
      <c r="EB722" s="86"/>
      <c r="EC722" s="86"/>
      <c r="ED722" s="86"/>
      <c r="EE722" s="47">
        <f t="shared" si="462"/>
        <v>0</v>
      </c>
      <c r="EF722" s="86"/>
      <c r="EG722" s="86"/>
      <c r="EH722" s="86"/>
      <c r="EI722" s="86"/>
      <c r="EJ722" s="86"/>
      <c r="EK722" s="86"/>
      <c r="EL722" s="90">
        <f t="shared" si="466"/>
        <v>0</v>
      </c>
      <c r="EM722" s="86"/>
      <c r="EN722" s="90">
        <f t="shared" si="467"/>
        <v>0</v>
      </c>
    </row>
    <row r="723" spans="1:144" ht="15" customHeight="1" x14ac:dyDescent="0.25">
      <c r="A723" s="86"/>
      <c r="B723" s="88">
        <v>99</v>
      </c>
      <c r="C723" s="86"/>
      <c r="D723" s="87"/>
      <c r="E723" s="86"/>
      <c r="F723" s="86"/>
      <c r="G723" s="86"/>
      <c r="H723" s="86"/>
      <c r="I723" s="86"/>
      <c r="J723" s="86"/>
      <c r="K723" s="86"/>
      <c r="L723" s="86"/>
      <c r="M723" s="86"/>
      <c r="N723" s="88"/>
      <c r="O723" s="88"/>
      <c r="P723" s="86"/>
      <c r="Q723" s="168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>
        <f t="shared" si="468"/>
        <v>0</v>
      </c>
      <c r="AO723" s="86">
        <f t="shared" si="469"/>
        <v>0</v>
      </c>
      <c r="AP723" s="86"/>
      <c r="AQ723" s="86"/>
      <c r="AR723" s="86"/>
      <c r="AS723" s="86"/>
      <c r="AT723" s="86"/>
      <c r="AU723" s="86"/>
      <c r="AV723" s="86"/>
      <c r="AW723" s="86"/>
      <c r="AX723" s="86"/>
      <c r="AY723" s="86"/>
      <c r="AZ723" s="86"/>
      <c r="BA723" s="86"/>
      <c r="BB723" s="86"/>
      <c r="BC723" s="86"/>
      <c r="BD723" s="86"/>
      <c r="BE723" s="86"/>
      <c r="BF723" s="86"/>
      <c r="BG723" s="86"/>
      <c r="BH723" s="86"/>
      <c r="BI723" s="86"/>
      <c r="BJ723" s="86"/>
      <c r="BK723" s="86"/>
      <c r="BL723" s="86"/>
      <c r="BM723" s="86"/>
      <c r="BN723" s="86"/>
      <c r="BO723" s="86"/>
      <c r="BP723" s="86"/>
      <c r="BQ723" s="86"/>
      <c r="BR723" s="86"/>
      <c r="BS723" s="86"/>
      <c r="BT723" s="86"/>
      <c r="BU723" s="86"/>
      <c r="BV723" s="86"/>
      <c r="BW723" s="86"/>
      <c r="BX723" s="86"/>
      <c r="BY723" s="86"/>
      <c r="BZ723" s="86"/>
      <c r="CA723" s="86"/>
      <c r="CB723" s="86"/>
      <c r="CC723" s="86"/>
      <c r="CD723" s="86"/>
      <c r="CE723" s="86"/>
      <c r="CF723" s="86"/>
      <c r="CG723" s="86"/>
      <c r="CH723" s="86"/>
      <c r="CI723" s="86"/>
      <c r="CJ723" s="86"/>
      <c r="CK723" s="86"/>
      <c r="CL723" s="86"/>
      <c r="CM723" s="86"/>
      <c r="CN723" s="86"/>
      <c r="CO723" s="86"/>
      <c r="CP723" s="86"/>
      <c r="CQ723" s="86"/>
      <c r="CR723" s="86">
        <f t="shared" si="464"/>
        <v>0</v>
      </c>
      <c r="CS723" s="86"/>
      <c r="CT723" s="86"/>
      <c r="CU723" s="86"/>
      <c r="CV723" s="86"/>
      <c r="CW723" s="86"/>
      <c r="CX723" s="86"/>
      <c r="CY723" s="86"/>
      <c r="CZ723" s="86"/>
      <c r="DA723" s="86"/>
      <c r="DB723" s="86"/>
      <c r="DC723" s="86"/>
      <c r="DD723" s="86"/>
      <c r="DE723" s="86"/>
      <c r="DF723" s="86"/>
      <c r="DG723" s="86"/>
      <c r="DH723" s="86"/>
      <c r="DI723" s="86"/>
      <c r="DJ723" s="86"/>
      <c r="DK723" s="86"/>
      <c r="DL723" s="86"/>
      <c r="DM723" s="86"/>
      <c r="DN723" s="86"/>
      <c r="DO723" s="86"/>
      <c r="DP723" s="86"/>
      <c r="DQ723" s="86"/>
      <c r="DR723" s="118"/>
      <c r="DS723" s="118"/>
      <c r="DT723" s="86"/>
      <c r="DU723" s="86"/>
      <c r="DV723" s="86"/>
      <c r="DW723" s="86"/>
      <c r="DX723" s="86"/>
      <c r="DY723" s="86"/>
      <c r="DZ723" s="86"/>
      <c r="EA723" s="86"/>
      <c r="EB723" s="86"/>
      <c r="EC723" s="86"/>
      <c r="ED723" s="86"/>
      <c r="EE723" s="47">
        <f t="shared" si="462"/>
        <v>0</v>
      </c>
      <c r="EF723" s="86"/>
      <c r="EG723" s="86"/>
      <c r="EH723" s="86"/>
      <c r="EI723" s="86"/>
      <c r="EJ723" s="86"/>
      <c r="EK723" s="86"/>
      <c r="EL723" s="90">
        <f t="shared" si="466"/>
        <v>0</v>
      </c>
      <c r="EM723" s="86"/>
      <c r="EN723" s="90">
        <f t="shared" si="467"/>
        <v>0</v>
      </c>
    </row>
    <row r="724" spans="1:144" ht="15" customHeight="1" x14ac:dyDescent="0.25">
      <c r="A724" s="86"/>
      <c r="B724" s="88">
        <v>100</v>
      </c>
      <c r="C724" s="86"/>
      <c r="D724" s="87"/>
      <c r="E724" s="86"/>
      <c r="F724" s="86"/>
      <c r="G724" s="86"/>
      <c r="H724" s="86"/>
      <c r="I724" s="86"/>
      <c r="J724" s="86"/>
      <c r="K724" s="86"/>
      <c r="L724" s="86"/>
      <c r="M724" s="86"/>
      <c r="N724" s="88"/>
      <c r="O724" s="88"/>
      <c r="P724" s="86"/>
      <c r="Q724" s="168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>
        <f t="shared" si="468"/>
        <v>0</v>
      </c>
      <c r="AO724" s="86">
        <f t="shared" si="469"/>
        <v>0</v>
      </c>
      <c r="AP724" s="86"/>
      <c r="AQ724" s="86"/>
      <c r="AR724" s="86"/>
      <c r="AS724" s="86"/>
      <c r="AT724" s="86"/>
      <c r="AU724" s="86"/>
      <c r="AV724" s="86"/>
      <c r="AW724" s="86"/>
      <c r="AX724" s="86"/>
      <c r="AY724" s="86"/>
      <c r="AZ724" s="86"/>
      <c r="BA724" s="86"/>
      <c r="BB724" s="86"/>
      <c r="BC724" s="86"/>
      <c r="BD724" s="86"/>
      <c r="BE724" s="86"/>
      <c r="BF724" s="86"/>
      <c r="BG724" s="86"/>
      <c r="BH724" s="86"/>
      <c r="BI724" s="86"/>
      <c r="BJ724" s="86"/>
      <c r="BK724" s="86"/>
      <c r="BL724" s="86"/>
      <c r="BM724" s="86"/>
      <c r="BN724" s="86"/>
      <c r="BO724" s="86"/>
      <c r="BP724" s="86"/>
      <c r="BQ724" s="86"/>
      <c r="BR724" s="86"/>
      <c r="BS724" s="86"/>
      <c r="BT724" s="86"/>
      <c r="BU724" s="86"/>
      <c r="BV724" s="86"/>
      <c r="BW724" s="86"/>
      <c r="BX724" s="86"/>
      <c r="BY724" s="86"/>
      <c r="BZ724" s="86"/>
      <c r="CA724" s="86"/>
      <c r="CB724" s="86"/>
      <c r="CC724" s="86"/>
      <c r="CD724" s="86"/>
      <c r="CE724" s="86"/>
      <c r="CF724" s="86"/>
      <c r="CG724" s="86"/>
      <c r="CH724" s="86"/>
      <c r="CI724" s="86"/>
      <c r="CJ724" s="86"/>
      <c r="CK724" s="86"/>
      <c r="CL724" s="86"/>
      <c r="CM724" s="86"/>
      <c r="CN724" s="86"/>
      <c r="CO724" s="86"/>
      <c r="CP724" s="86"/>
      <c r="CQ724" s="86"/>
      <c r="CR724" s="86">
        <f t="shared" si="464"/>
        <v>0</v>
      </c>
      <c r="CS724" s="86"/>
      <c r="CT724" s="86"/>
      <c r="CU724" s="86"/>
      <c r="CV724" s="86"/>
      <c r="CW724" s="86"/>
      <c r="CX724" s="86"/>
      <c r="CY724" s="86"/>
      <c r="CZ724" s="86"/>
      <c r="DA724" s="86"/>
      <c r="DB724" s="86"/>
      <c r="DC724" s="86"/>
      <c r="DD724" s="86"/>
      <c r="DE724" s="86"/>
      <c r="DF724" s="86"/>
      <c r="DG724" s="86"/>
      <c r="DH724" s="86"/>
      <c r="DI724" s="86"/>
      <c r="DJ724" s="86"/>
      <c r="DK724" s="86"/>
      <c r="DL724" s="86"/>
      <c r="DM724" s="86"/>
      <c r="DN724" s="86"/>
      <c r="DO724" s="86"/>
      <c r="DP724" s="86"/>
      <c r="DQ724" s="86"/>
      <c r="DR724" s="118"/>
      <c r="DS724" s="118"/>
      <c r="DT724" s="86"/>
      <c r="DU724" s="86"/>
      <c r="DV724" s="86"/>
      <c r="DW724" s="86"/>
      <c r="DX724" s="86"/>
      <c r="DY724" s="86"/>
      <c r="DZ724" s="86"/>
      <c r="EA724" s="86"/>
      <c r="EB724" s="86"/>
      <c r="EC724" s="86"/>
      <c r="ED724" s="86"/>
      <c r="EE724" s="47">
        <f t="shared" ref="EE724:EE782" si="470">+AW724+BE724+BM724+CR724+CY724+DF724+DL724+DX724+DY724+DZ724+EB724+EC724</f>
        <v>0</v>
      </c>
      <c r="EF724" s="86"/>
      <c r="EG724" s="86"/>
      <c r="EH724" s="86"/>
      <c r="EI724" s="86"/>
      <c r="EJ724" s="86"/>
      <c r="EK724" s="86"/>
      <c r="EL724" s="90">
        <f t="shared" si="466"/>
        <v>0</v>
      </c>
      <c r="EM724" s="86"/>
      <c r="EN724" s="90">
        <f t="shared" si="467"/>
        <v>0</v>
      </c>
    </row>
    <row r="725" spans="1:144" ht="15" customHeight="1" x14ac:dyDescent="0.25">
      <c r="A725" s="86"/>
      <c r="B725" s="88">
        <v>101</v>
      </c>
      <c r="C725" s="86"/>
      <c r="D725" s="87"/>
      <c r="E725" s="86"/>
      <c r="F725" s="86"/>
      <c r="G725" s="86"/>
      <c r="H725" s="86"/>
      <c r="I725" s="86"/>
      <c r="J725" s="86"/>
      <c r="K725" s="86"/>
      <c r="L725" s="86"/>
      <c r="M725" s="86"/>
      <c r="N725" s="88"/>
      <c r="O725" s="88"/>
      <c r="P725" s="86"/>
      <c r="Q725" s="168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>
        <f t="shared" si="468"/>
        <v>0</v>
      </c>
      <c r="AO725" s="86">
        <f t="shared" si="469"/>
        <v>0</v>
      </c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 s="86"/>
      <c r="BH725" s="86"/>
      <c r="BI725" s="86"/>
      <c r="BJ725" s="86"/>
      <c r="BK725" s="86"/>
      <c r="BL725" s="86"/>
      <c r="BM725" s="86"/>
      <c r="BN725" s="86"/>
      <c r="BO725" s="86"/>
      <c r="BP725" s="86"/>
      <c r="BQ725" s="86"/>
      <c r="BR725" s="86"/>
      <c r="BS725" s="86"/>
      <c r="BT725" s="86"/>
      <c r="BU725" s="86"/>
      <c r="BV725" s="86"/>
      <c r="BW725" s="86"/>
      <c r="BX725" s="86"/>
      <c r="BY725" s="86"/>
      <c r="BZ725" s="86"/>
      <c r="CA725" s="86"/>
      <c r="CB725" s="86"/>
      <c r="CC725" s="86"/>
      <c r="CD725" s="86"/>
      <c r="CE725" s="86"/>
      <c r="CF725" s="86"/>
      <c r="CG725" s="86"/>
      <c r="CH725" s="86"/>
      <c r="CI725" s="86"/>
      <c r="CJ725" s="86"/>
      <c r="CK725" s="86"/>
      <c r="CL725" s="86"/>
      <c r="CM725" s="86"/>
      <c r="CN725" s="86"/>
      <c r="CO725" s="86"/>
      <c r="CP725" s="86"/>
      <c r="CQ725" s="86"/>
      <c r="CR725" s="86">
        <f t="shared" si="464"/>
        <v>0</v>
      </c>
      <c r="CS725" s="86"/>
      <c r="CT725" s="86"/>
      <c r="CU725" s="86"/>
      <c r="CV725" s="86"/>
      <c r="CW725" s="86"/>
      <c r="CX725" s="86"/>
      <c r="CY725" s="86"/>
      <c r="CZ725" s="86"/>
      <c r="DA725" s="86"/>
      <c r="DB725" s="86"/>
      <c r="DC725" s="86"/>
      <c r="DD725" s="86"/>
      <c r="DE725" s="86"/>
      <c r="DF725" s="86"/>
      <c r="DG725" s="86"/>
      <c r="DH725" s="86"/>
      <c r="DI725" s="86"/>
      <c r="DJ725" s="86"/>
      <c r="DK725" s="86"/>
      <c r="DL725" s="86"/>
      <c r="DM725" s="86"/>
      <c r="DN725" s="86"/>
      <c r="DO725" s="86"/>
      <c r="DP725" s="86"/>
      <c r="DQ725" s="86"/>
      <c r="DR725" s="118"/>
      <c r="DS725" s="118"/>
      <c r="DT725" s="86"/>
      <c r="DU725" s="86"/>
      <c r="DV725" s="86"/>
      <c r="DW725" s="86"/>
      <c r="DX725" s="86"/>
      <c r="DY725" s="86"/>
      <c r="DZ725" s="86"/>
      <c r="EA725" s="86"/>
      <c r="EB725" s="86"/>
      <c r="EC725" s="86"/>
      <c r="ED725" s="86"/>
      <c r="EE725" s="47">
        <f t="shared" si="470"/>
        <v>0</v>
      </c>
      <c r="EF725" s="86"/>
      <c r="EG725" s="86"/>
      <c r="EH725" s="86"/>
      <c r="EI725" s="86"/>
      <c r="EJ725" s="86"/>
      <c r="EK725" s="86"/>
      <c r="EL725" s="90">
        <f t="shared" si="466"/>
        <v>0</v>
      </c>
      <c r="EM725" s="86"/>
      <c r="EN725" s="90">
        <f t="shared" si="467"/>
        <v>0</v>
      </c>
    </row>
    <row r="726" spans="1:144" ht="15" customHeight="1" x14ac:dyDescent="0.25">
      <c r="A726" s="86"/>
      <c r="B726" s="88">
        <v>102</v>
      </c>
      <c r="C726" s="86"/>
      <c r="D726" s="87"/>
      <c r="E726" s="86"/>
      <c r="F726" s="86"/>
      <c r="G726" s="86"/>
      <c r="H726" s="86"/>
      <c r="I726" s="86"/>
      <c r="J726" s="86"/>
      <c r="K726" s="86"/>
      <c r="L726" s="86"/>
      <c r="M726" s="86"/>
      <c r="N726" s="88"/>
      <c r="O726" s="88"/>
      <c r="P726" s="86"/>
      <c r="Q726" s="168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>
        <f t="shared" si="468"/>
        <v>0</v>
      </c>
      <c r="AO726" s="86">
        <f t="shared" si="469"/>
        <v>0</v>
      </c>
      <c r="AP726" s="86"/>
      <c r="AQ726" s="86"/>
      <c r="AR726" s="86"/>
      <c r="AS726" s="86"/>
      <c r="AT726" s="86"/>
      <c r="AU726" s="86"/>
      <c r="AV726" s="86"/>
      <c r="AW726" s="86"/>
      <c r="AX726" s="86"/>
      <c r="AY726" s="86"/>
      <c r="AZ726" s="86"/>
      <c r="BA726" s="86"/>
      <c r="BB726" s="86"/>
      <c r="BC726" s="86"/>
      <c r="BD726" s="86"/>
      <c r="BE726" s="86"/>
      <c r="BF726" s="86"/>
      <c r="BG726" s="86"/>
      <c r="BH726" s="86"/>
      <c r="BI726" s="86"/>
      <c r="BJ726" s="86"/>
      <c r="BK726" s="86"/>
      <c r="BL726" s="86"/>
      <c r="BM726" s="86"/>
      <c r="BN726" s="86"/>
      <c r="BO726" s="86"/>
      <c r="BP726" s="86"/>
      <c r="BQ726" s="86"/>
      <c r="BR726" s="86"/>
      <c r="BS726" s="86"/>
      <c r="BT726" s="86"/>
      <c r="BU726" s="86"/>
      <c r="BV726" s="86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  <c r="CO726" s="86"/>
      <c r="CP726" s="86"/>
      <c r="CQ726" s="86"/>
      <c r="CR726" s="86">
        <f t="shared" si="464"/>
        <v>0</v>
      </c>
      <c r="CS726" s="86"/>
      <c r="CT726" s="86"/>
      <c r="CU726" s="86"/>
      <c r="CV726" s="86"/>
      <c r="CW726" s="86"/>
      <c r="CX726" s="86"/>
      <c r="CY726" s="86"/>
      <c r="CZ726" s="86"/>
      <c r="DA726" s="86"/>
      <c r="DB726" s="86"/>
      <c r="DC726" s="86"/>
      <c r="DD726" s="86"/>
      <c r="DE726" s="86"/>
      <c r="DF726" s="86"/>
      <c r="DG726" s="86"/>
      <c r="DH726" s="86"/>
      <c r="DI726" s="86"/>
      <c r="DJ726" s="86"/>
      <c r="DK726" s="86"/>
      <c r="DL726" s="86"/>
      <c r="DM726" s="86"/>
      <c r="DN726" s="86"/>
      <c r="DO726" s="86"/>
      <c r="DP726" s="86"/>
      <c r="DQ726" s="86"/>
      <c r="DR726" s="118"/>
      <c r="DS726" s="118"/>
      <c r="DT726" s="86"/>
      <c r="DU726" s="86"/>
      <c r="DV726" s="86"/>
      <c r="DW726" s="86"/>
      <c r="DX726" s="86"/>
      <c r="DY726" s="86"/>
      <c r="DZ726" s="86"/>
      <c r="EA726" s="86"/>
      <c r="EB726" s="86"/>
      <c r="EC726" s="86"/>
      <c r="ED726" s="86"/>
      <c r="EE726" s="47">
        <f t="shared" si="470"/>
        <v>0</v>
      </c>
      <c r="EF726" s="86"/>
      <c r="EG726" s="86"/>
      <c r="EH726" s="86"/>
      <c r="EI726" s="86"/>
      <c r="EJ726" s="86"/>
      <c r="EK726" s="86"/>
      <c r="EL726" s="90">
        <f t="shared" si="466"/>
        <v>0</v>
      </c>
      <c r="EM726" s="86"/>
      <c r="EN726" s="90">
        <f t="shared" si="467"/>
        <v>0</v>
      </c>
    </row>
    <row r="727" spans="1:144" ht="15" customHeight="1" x14ac:dyDescent="0.25">
      <c r="A727" s="86"/>
      <c r="B727" s="88">
        <v>103</v>
      </c>
      <c r="C727" s="86"/>
      <c r="D727" s="87"/>
      <c r="E727" s="86"/>
      <c r="F727" s="86"/>
      <c r="G727" s="86"/>
      <c r="H727" s="86"/>
      <c r="I727" s="86"/>
      <c r="J727" s="86"/>
      <c r="K727" s="86"/>
      <c r="L727" s="86"/>
      <c r="M727" s="86"/>
      <c r="N727" s="88"/>
      <c r="O727" s="88"/>
      <c r="P727" s="86"/>
      <c r="Q727" s="168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>
        <f t="shared" si="468"/>
        <v>0</v>
      </c>
      <c r="AO727" s="86">
        <f t="shared" si="469"/>
        <v>0</v>
      </c>
      <c r="AP727" s="86"/>
      <c r="AQ727" s="86"/>
      <c r="AR727" s="86"/>
      <c r="AS727" s="86"/>
      <c r="AT727" s="86"/>
      <c r="AU727" s="86"/>
      <c r="AV727" s="86"/>
      <c r="AW727" s="86"/>
      <c r="AX727" s="86"/>
      <c r="AY727" s="86"/>
      <c r="AZ727" s="86"/>
      <c r="BA727" s="86"/>
      <c r="BB727" s="86"/>
      <c r="BC727" s="86"/>
      <c r="BD727" s="86"/>
      <c r="BE727" s="86"/>
      <c r="BF727" s="86"/>
      <c r="BG727" s="86"/>
      <c r="BH727" s="86"/>
      <c r="BI727" s="86"/>
      <c r="BJ727" s="86"/>
      <c r="BK727" s="86"/>
      <c r="BL727" s="86"/>
      <c r="BM727" s="86"/>
      <c r="BN727" s="86"/>
      <c r="BO727" s="86"/>
      <c r="BP727" s="86"/>
      <c r="BQ727" s="86"/>
      <c r="BR727" s="86"/>
      <c r="BS727" s="86"/>
      <c r="BT727" s="86"/>
      <c r="BU727" s="86"/>
      <c r="BV727" s="86"/>
      <c r="BW727" s="86"/>
      <c r="BX727" s="86"/>
      <c r="BY727" s="86"/>
      <c r="BZ727" s="86"/>
      <c r="CA727" s="86"/>
      <c r="CB727" s="86"/>
      <c r="CC727" s="86"/>
      <c r="CD727" s="86"/>
      <c r="CE727" s="86"/>
      <c r="CF727" s="86"/>
      <c r="CG727" s="86"/>
      <c r="CH727" s="86"/>
      <c r="CI727" s="86"/>
      <c r="CJ727" s="86"/>
      <c r="CK727" s="86"/>
      <c r="CL727" s="86"/>
      <c r="CM727" s="86"/>
      <c r="CN727" s="86"/>
      <c r="CO727" s="86"/>
      <c r="CP727" s="86"/>
      <c r="CQ727" s="86"/>
      <c r="CR727" s="86">
        <f t="shared" si="464"/>
        <v>0</v>
      </c>
      <c r="CS727" s="86"/>
      <c r="CT727" s="86"/>
      <c r="CU727" s="86"/>
      <c r="CV727" s="86"/>
      <c r="CW727" s="86"/>
      <c r="CX727" s="86"/>
      <c r="CY727" s="86"/>
      <c r="CZ727" s="86"/>
      <c r="DA727" s="86"/>
      <c r="DB727" s="86"/>
      <c r="DC727" s="86"/>
      <c r="DD727" s="86"/>
      <c r="DE727" s="86"/>
      <c r="DF727" s="86"/>
      <c r="DG727" s="86"/>
      <c r="DH727" s="86"/>
      <c r="DI727" s="86"/>
      <c r="DJ727" s="86"/>
      <c r="DK727" s="86"/>
      <c r="DL727" s="86"/>
      <c r="DM727" s="86"/>
      <c r="DN727" s="86"/>
      <c r="DO727" s="86"/>
      <c r="DP727" s="86"/>
      <c r="DQ727" s="86"/>
      <c r="DR727" s="118"/>
      <c r="DS727" s="118"/>
      <c r="DT727" s="86"/>
      <c r="DU727" s="86"/>
      <c r="DV727" s="86"/>
      <c r="DW727" s="86"/>
      <c r="DX727" s="86"/>
      <c r="DY727" s="86"/>
      <c r="DZ727" s="86"/>
      <c r="EA727" s="86"/>
      <c r="EB727" s="86"/>
      <c r="EC727" s="86"/>
      <c r="ED727" s="86"/>
      <c r="EE727" s="47">
        <f t="shared" si="470"/>
        <v>0</v>
      </c>
      <c r="EF727" s="86"/>
      <c r="EG727" s="86"/>
      <c r="EH727" s="86"/>
      <c r="EI727" s="86"/>
      <c r="EJ727" s="86"/>
      <c r="EK727" s="86"/>
      <c r="EL727" s="90">
        <f t="shared" si="466"/>
        <v>0</v>
      </c>
      <c r="EM727" s="86"/>
      <c r="EN727" s="90">
        <f t="shared" si="467"/>
        <v>0</v>
      </c>
    </row>
    <row r="728" spans="1:144" ht="15" customHeight="1" x14ac:dyDescent="0.25">
      <c r="A728" s="86"/>
      <c r="B728" s="88">
        <v>104</v>
      </c>
      <c r="C728" s="86"/>
      <c r="D728" s="87"/>
      <c r="E728" s="86"/>
      <c r="F728" s="86"/>
      <c r="G728" s="86"/>
      <c r="H728" s="86"/>
      <c r="I728" s="86"/>
      <c r="J728" s="86"/>
      <c r="K728" s="86"/>
      <c r="L728" s="86"/>
      <c r="M728" s="86"/>
      <c r="N728" s="88"/>
      <c r="O728" s="88"/>
      <c r="P728" s="86"/>
      <c r="Q728" s="168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>
        <f t="shared" si="468"/>
        <v>0</v>
      </c>
      <c r="AO728" s="86">
        <f t="shared" si="469"/>
        <v>0</v>
      </c>
      <c r="AP728" s="86"/>
      <c r="AQ728" s="86"/>
      <c r="AR728" s="86"/>
      <c r="AS728" s="86"/>
      <c r="AT728" s="86"/>
      <c r="AU728" s="86"/>
      <c r="AV728" s="86"/>
      <c r="AW728" s="86"/>
      <c r="AX728" s="86"/>
      <c r="AY728" s="86"/>
      <c r="AZ728" s="86"/>
      <c r="BA728" s="86"/>
      <c r="BB728" s="86"/>
      <c r="BC728" s="86"/>
      <c r="BD728" s="86"/>
      <c r="BE728" s="86"/>
      <c r="BF728" s="86"/>
      <c r="BG728" s="86"/>
      <c r="BH728" s="86"/>
      <c r="BI728" s="86"/>
      <c r="BJ728" s="86"/>
      <c r="BK728" s="86"/>
      <c r="BL728" s="86"/>
      <c r="BM728" s="86"/>
      <c r="BN728" s="86"/>
      <c r="BO728" s="86"/>
      <c r="BP728" s="86"/>
      <c r="BQ728" s="86"/>
      <c r="BR728" s="86"/>
      <c r="BS728" s="86"/>
      <c r="BT728" s="86"/>
      <c r="BU728" s="86"/>
      <c r="BV728" s="86"/>
      <c r="BW728" s="86"/>
      <c r="BX728" s="86"/>
      <c r="BY728" s="86"/>
      <c r="BZ728" s="86"/>
      <c r="CA728" s="86"/>
      <c r="CB728" s="86"/>
      <c r="CC728" s="86"/>
      <c r="CD728" s="86"/>
      <c r="CE728" s="86"/>
      <c r="CF728" s="86"/>
      <c r="CG728" s="86"/>
      <c r="CH728" s="86"/>
      <c r="CI728" s="86"/>
      <c r="CJ728" s="86"/>
      <c r="CK728" s="86"/>
      <c r="CL728" s="86"/>
      <c r="CM728" s="86"/>
      <c r="CN728" s="86"/>
      <c r="CO728" s="86"/>
      <c r="CP728" s="86"/>
      <c r="CQ728" s="86"/>
      <c r="CR728" s="86">
        <f t="shared" si="464"/>
        <v>0</v>
      </c>
      <c r="CS728" s="86"/>
      <c r="CT728" s="86"/>
      <c r="CU728" s="86"/>
      <c r="CV728" s="86"/>
      <c r="CW728" s="86"/>
      <c r="CX728" s="86"/>
      <c r="CY728" s="86"/>
      <c r="CZ728" s="86"/>
      <c r="DA728" s="86"/>
      <c r="DB728" s="86"/>
      <c r="DC728" s="86"/>
      <c r="DD728" s="86"/>
      <c r="DE728" s="86"/>
      <c r="DF728" s="86"/>
      <c r="DG728" s="86"/>
      <c r="DH728" s="86"/>
      <c r="DI728" s="86"/>
      <c r="DJ728" s="86"/>
      <c r="DK728" s="86"/>
      <c r="DL728" s="86"/>
      <c r="DM728" s="86"/>
      <c r="DN728" s="86"/>
      <c r="DO728" s="86"/>
      <c r="DP728" s="86"/>
      <c r="DQ728" s="86"/>
      <c r="DR728" s="118"/>
      <c r="DS728" s="118"/>
      <c r="DT728" s="86"/>
      <c r="DU728" s="86"/>
      <c r="DV728" s="86"/>
      <c r="DW728" s="86"/>
      <c r="DX728" s="86"/>
      <c r="DY728" s="86"/>
      <c r="DZ728" s="86"/>
      <c r="EA728" s="86"/>
      <c r="EB728" s="86"/>
      <c r="EC728" s="86"/>
      <c r="ED728" s="86"/>
      <c r="EE728" s="47">
        <f t="shared" si="470"/>
        <v>0</v>
      </c>
      <c r="EF728" s="86"/>
      <c r="EG728" s="86"/>
      <c r="EH728" s="86"/>
      <c r="EI728" s="86"/>
      <c r="EJ728" s="86"/>
      <c r="EK728" s="86"/>
      <c r="EL728" s="90">
        <f t="shared" si="466"/>
        <v>0</v>
      </c>
      <c r="EM728" s="86"/>
      <c r="EN728" s="90">
        <f t="shared" si="467"/>
        <v>0</v>
      </c>
    </row>
    <row r="729" spans="1:144" ht="15" customHeight="1" x14ac:dyDescent="0.25">
      <c r="A729" s="86"/>
      <c r="B729" s="88">
        <v>105</v>
      </c>
      <c r="C729" s="86"/>
      <c r="D729" s="87"/>
      <c r="E729" s="86"/>
      <c r="F729" s="86"/>
      <c r="G729" s="86"/>
      <c r="H729" s="86"/>
      <c r="I729" s="86"/>
      <c r="J729" s="86"/>
      <c r="K729" s="86"/>
      <c r="L729" s="86"/>
      <c r="M729" s="86"/>
      <c r="N729" s="88"/>
      <c r="O729" s="88"/>
      <c r="P729" s="86"/>
      <c r="Q729" s="168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>
        <f t="shared" si="468"/>
        <v>0</v>
      </c>
      <c r="AO729" s="86">
        <f t="shared" si="469"/>
        <v>0</v>
      </c>
      <c r="AP729" s="86"/>
      <c r="AQ729" s="86"/>
      <c r="AR729" s="86"/>
      <c r="AS729" s="86"/>
      <c r="AT729" s="86"/>
      <c r="AU729" s="86"/>
      <c r="AV729" s="86"/>
      <c r="AW729" s="86"/>
      <c r="AX729" s="86"/>
      <c r="AY729" s="86"/>
      <c r="AZ729" s="86"/>
      <c r="BA729" s="86"/>
      <c r="BB729" s="86"/>
      <c r="BC729" s="86"/>
      <c r="BD729" s="86"/>
      <c r="BE729" s="86"/>
      <c r="BF729" s="86"/>
      <c r="BG729" s="86"/>
      <c r="BH729" s="86"/>
      <c r="BI729" s="86"/>
      <c r="BJ729" s="86"/>
      <c r="BK729" s="86"/>
      <c r="BL729" s="86"/>
      <c r="BM729" s="86"/>
      <c r="BN729" s="86"/>
      <c r="BO729" s="86"/>
      <c r="BP729" s="86"/>
      <c r="BQ729" s="86"/>
      <c r="BR729" s="86"/>
      <c r="BS729" s="86"/>
      <c r="BT729" s="86"/>
      <c r="BU729" s="86"/>
      <c r="BV729" s="86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  <c r="CO729" s="86"/>
      <c r="CP729" s="86"/>
      <c r="CQ729" s="86"/>
      <c r="CR729" s="86">
        <f t="shared" si="464"/>
        <v>0</v>
      </c>
      <c r="CS729" s="86"/>
      <c r="CT729" s="86"/>
      <c r="CU729" s="86"/>
      <c r="CV729" s="86"/>
      <c r="CW729" s="86"/>
      <c r="CX729" s="86"/>
      <c r="CY729" s="86"/>
      <c r="CZ729" s="86"/>
      <c r="DA729" s="86"/>
      <c r="DB729" s="86"/>
      <c r="DC729" s="86"/>
      <c r="DD729" s="86"/>
      <c r="DE729" s="86"/>
      <c r="DF729" s="86"/>
      <c r="DG729" s="86"/>
      <c r="DH729" s="86"/>
      <c r="DI729" s="86"/>
      <c r="DJ729" s="86"/>
      <c r="DK729" s="86"/>
      <c r="DL729" s="86"/>
      <c r="DM729" s="86"/>
      <c r="DN729" s="86"/>
      <c r="DO729" s="86"/>
      <c r="DP729" s="86"/>
      <c r="DQ729" s="86"/>
      <c r="DR729" s="118"/>
      <c r="DS729" s="118"/>
      <c r="DT729" s="86"/>
      <c r="DU729" s="86"/>
      <c r="DV729" s="86"/>
      <c r="DW729" s="86"/>
      <c r="DX729" s="86"/>
      <c r="DY729" s="86"/>
      <c r="DZ729" s="86"/>
      <c r="EA729" s="86"/>
      <c r="EB729" s="86"/>
      <c r="EC729" s="86"/>
      <c r="ED729" s="86"/>
      <c r="EE729" s="47">
        <f t="shared" si="470"/>
        <v>0</v>
      </c>
      <c r="EF729" s="86"/>
      <c r="EG729" s="86"/>
      <c r="EH729" s="86"/>
      <c r="EI729" s="86"/>
      <c r="EJ729" s="86"/>
      <c r="EK729" s="86"/>
      <c r="EL729" s="90">
        <f t="shared" si="466"/>
        <v>0</v>
      </c>
      <c r="EM729" s="86"/>
      <c r="EN729" s="90">
        <f t="shared" si="467"/>
        <v>0</v>
      </c>
    </row>
    <row r="730" spans="1:144" ht="15" customHeight="1" x14ac:dyDescent="0.25">
      <c r="A730" s="86"/>
      <c r="B730" s="88">
        <v>106</v>
      </c>
      <c r="C730" s="86"/>
      <c r="D730" s="87"/>
      <c r="E730" s="86"/>
      <c r="F730" s="86"/>
      <c r="G730" s="86"/>
      <c r="H730" s="86"/>
      <c r="I730" s="86"/>
      <c r="J730" s="86"/>
      <c r="K730" s="86"/>
      <c r="L730" s="86"/>
      <c r="M730" s="86"/>
      <c r="N730" s="88"/>
      <c r="O730" s="88"/>
      <c r="P730" s="86"/>
      <c r="Q730" s="168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>
        <f t="shared" si="468"/>
        <v>0</v>
      </c>
      <c r="AO730" s="86">
        <f t="shared" si="469"/>
        <v>0</v>
      </c>
      <c r="AP730" s="86"/>
      <c r="AQ730" s="86"/>
      <c r="AR730" s="86"/>
      <c r="AS730" s="86"/>
      <c r="AT730" s="86"/>
      <c r="AU730" s="86"/>
      <c r="AV730" s="86"/>
      <c r="AW730" s="86"/>
      <c r="AX730" s="86"/>
      <c r="AY730" s="86"/>
      <c r="AZ730" s="86"/>
      <c r="BA730" s="86"/>
      <c r="BB730" s="86"/>
      <c r="BC730" s="86"/>
      <c r="BD730" s="86"/>
      <c r="BE730" s="86"/>
      <c r="BF730" s="86"/>
      <c r="BG730" s="86"/>
      <c r="BH730" s="86"/>
      <c r="BI730" s="86"/>
      <c r="BJ730" s="86"/>
      <c r="BK730" s="86"/>
      <c r="BL730" s="86"/>
      <c r="BM730" s="86"/>
      <c r="BN730" s="86"/>
      <c r="BO730" s="86"/>
      <c r="BP730" s="86"/>
      <c r="BQ730" s="86"/>
      <c r="BR730" s="86"/>
      <c r="BS730" s="86"/>
      <c r="BT730" s="86"/>
      <c r="BU730" s="86"/>
      <c r="BV730" s="86"/>
      <c r="BW730" s="86"/>
      <c r="BX730" s="86"/>
      <c r="BY730" s="86"/>
      <c r="BZ730" s="86"/>
      <c r="CA730" s="86"/>
      <c r="CB730" s="86"/>
      <c r="CC730" s="86"/>
      <c r="CD730" s="86"/>
      <c r="CE730" s="86"/>
      <c r="CF730" s="86"/>
      <c r="CG730" s="86"/>
      <c r="CH730" s="86"/>
      <c r="CI730" s="86"/>
      <c r="CJ730" s="86"/>
      <c r="CK730" s="86"/>
      <c r="CL730" s="86"/>
      <c r="CM730" s="86"/>
      <c r="CN730" s="86"/>
      <c r="CO730" s="86"/>
      <c r="CP730" s="86"/>
      <c r="CQ730" s="86"/>
      <c r="CR730" s="86">
        <f t="shared" si="464"/>
        <v>0</v>
      </c>
      <c r="CS730" s="86"/>
      <c r="CT730" s="86"/>
      <c r="CU730" s="86"/>
      <c r="CV730" s="86"/>
      <c r="CW730" s="86"/>
      <c r="CX730" s="86"/>
      <c r="CY730" s="86"/>
      <c r="CZ730" s="86"/>
      <c r="DA730" s="86"/>
      <c r="DB730" s="86"/>
      <c r="DC730" s="86"/>
      <c r="DD730" s="86"/>
      <c r="DE730" s="86"/>
      <c r="DF730" s="86"/>
      <c r="DG730" s="86"/>
      <c r="DH730" s="86"/>
      <c r="DI730" s="86"/>
      <c r="DJ730" s="86"/>
      <c r="DK730" s="86"/>
      <c r="DL730" s="86"/>
      <c r="DM730" s="86"/>
      <c r="DN730" s="86"/>
      <c r="DO730" s="86"/>
      <c r="DP730" s="86"/>
      <c r="DQ730" s="86"/>
      <c r="DR730" s="118"/>
      <c r="DS730" s="118"/>
      <c r="DT730" s="86"/>
      <c r="DU730" s="86"/>
      <c r="DV730" s="86"/>
      <c r="DW730" s="86"/>
      <c r="DX730" s="86"/>
      <c r="DY730" s="86"/>
      <c r="DZ730" s="86"/>
      <c r="EA730" s="86"/>
      <c r="EB730" s="86"/>
      <c r="EC730" s="86"/>
      <c r="ED730" s="86"/>
      <c r="EE730" s="47">
        <f t="shared" si="470"/>
        <v>0</v>
      </c>
      <c r="EF730" s="86"/>
      <c r="EG730" s="86"/>
      <c r="EH730" s="86"/>
      <c r="EI730" s="86"/>
      <c r="EJ730" s="86"/>
      <c r="EK730" s="86"/>
      <c r="EL730" s="90">
        <f t="shared" si="466"/>
        <v>0</v>
      </c>
      <c r="EM730" s="86"/>
      <c r="EN730" s="90">
        <f t="shared" si="467"/>
        <v>0</v>
      </c>
    </row>
    <row r="731" spans="1:144" ht="15" customHeight="1" x14ac:dyDescent="0.25">
      <c r="A731" s="86"/>
      <c r="B731" s="88">
        <v>107</v>
      </c>
      <c r="C731" s="86"/>
      <c r="D731" s="87"/>
      <c r="E731" s="86"/>
      <c r="F731" s="86"/>
      <c r="G731" s="86"/>
      <c r="H731" s="86"/>
      <c r="I731" s="86"/>
      <c r="J731" s="86"/>
      <c r="K731" s="86"/>
      <c r="L731" s="86"/>
      <c r="M731" s="86"/>
      <c r="N731" s="88"/>
      <c r="O731" s="88"/>
      <c r="P731" s="86"/>
      <c r="Q731" s="168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>
        <f t="shared" si="468"/>
        <v>0</v>
      </c>
      <c r="AO731" s="86">
        <f t="shared" si="469"/>
        <v>0</v>
      </c>
      <c r="AP731" s="86"/>
      <c r="AQ731" s="86"/>
      <c r="AR731" s="86"/>
      <c r="AS731" s="86"/>
      <c r="AT731" s="86"/>
      <c r="AU731" s="86"/>
      <c r="AV731" s="86"/>
      <c r="AW731" s="86"/>
      <c r="AX731" s="86"/>
      <c r="AY731" s="86"/>
      <c r="AZ731" s="86"/>
      <c r="BA731" s="86"/>
      <c r="BB731" s="86"/>
      <c r="BC731" s="86"/>
      <c r="BD731" s="86"/>
      <c r="BE731" s="86"/>
      <c r="BF731" s="86"/>
      <c r="BG731" s="86"/>
      <c r="BH731" s="86"/>
      <c r="BI731" s="86"/>
      <c r="BJ731" s="86"/>
      <c r="BK731" s="86"/>
      <c r="BL731" s="86"/>
      <c r="BM731" s="86"/>
      <c r="BN731" s="86"/>
      <c r="BO731" s="86"/>
      <c r="BP731" s="86"/>
      <c r="BQ731" s="86"/>
      <c r="BR731" s="86"/>
      <c r="BS731" s="86"/>
      <c r="BT731" s="86"/>
      <c r="BU731" s="86"/>
      <c r="BV731" s="86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  <c r="CO731" s="86"/>
      <c r="CP731" s="86"/>
      <c r="CQ731" s="86"/>
      <c r="CR731" s="86">
        <f t="shared" si="464"/>
        <v>0</v>
      </c>
      <c r="CS731" s="86"/>
      <c r="CT731" s="86"/>
      <c r="CU731" s="86"/>
      <c r="CV731" s="86"/>
      <c r="CW731" s="86"/>
      <c r="CX731" s="86"/>
      <c r="CY731" s="86"/>
      <c r="CZ731" s="86"/>
      <c r="DA731" s="86"/>
      <c r="DB731" s="86"/>
      <c r="DC731" s="86"/>
      <c r="DD731" s="86"/>
      <c r="DE731" s="86"/>
      <c r="DF731" s="86"/>
      <c r="DG731" s="86"/>
      <c r="DH731" s="86"/>
      <c r="DI731" s="86"/>
      <c r="DJ731" s="86"/>
      <c r="DK731" s="86"/>
      <c r="DL731" s="86"/>
      <c r="DM731" s="86"/>
      <c r="DN731" s="86"/>
      <c r="DO731" s="86"/>
      <c r="DP731" s="86"/>
      <c r="DQ731" s="86"/>
      <c r="DR731" s="118"/>
      <c r="DS731" s="118"/>
      <c r="DT731" s="86"/>
      <c r="DU731" s="86"/>
      <c r="DV731" s="86"/>
      <c r="DW731" s="86"/>
      <c r="DX731" s="86"/>
      <c r="DY731" s="86"/>
      <c r="DZ731" s="86"/>
      <c r="EA731" s="86"/>
      <c r="EB731" s="86"/>
      <c r="EC731" s="86"/>
      <c r="ED731" s="86"/>
      <c r="EE731" s="47">
        <f t="shared" si="470"/>
        <v>0</v>
      </c>
      <c r="EF731" s="86"/>
      <c r="EG731" s="86"/>
      <c r="EH731" s="86"/>
      <c r="EI731" s="86"/>
      <c r="EJ731" s="86"/>
      <c r="EK731" s="86"/>
      <c r="EL731" s="90">
        <f t="shared" si="466"/>
        <v>0</v>
      </c>
      <c r="EM731" s="86"/>
      <c r="EN731" s="90">
        <f t="shared" si="467"/>
        <v>0</v>
      </c>
    </row>
    <row r="732" spans="1:144" ht="15" customHeight="1" x14ac:dyDescent="0.25">
      <c r="A732" s="86"/>
      <c r="B732" s="88">
        <v>108</v>
      </c>
      <c r="C732" s="86"/>
      <c r="D732" s="87"/>
      <c r="E732" s="86"/>
      <c r="F732" s="86"/>
      <c r="G732" s="86"/>
      <c r="H732" s="86"/>
      <c r="I732" s="86"/>
      <c r="J732" s="86"/>
      <c r="K732" s="86"/>
      <c r="L732" s="86"/>
      <c r="M732" s="86"/>
      <c r="N732" s="88"/>
      <c r="O732" s="88"/>
      <c r="P732" s="86"/>
      <c r="Q732" s="168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>
        <f t="shared" si="468"/>
        <v>0</v>
      </c>
      <c r="AO732" s="86">
        <f t="shared" si="469"/>
        <v>0</v>
      </c>
      <c r="AP732" s="86"/>
      <c r="AQ732" s="86"/>
      <c r="AR732" s="86"/>
      <c r="AS732" s="86"/>
      <c r="AT732" s="86"/>
      <c r="AU732" s="86"/>
      <c r="AV732" s="86"/>
      <c r="AW732" s="86"/>
      <c r="AX732" s="86"/>
      <c r="AY732" s="86"/>
      <c r="AZ732" s="86"/>
      <c r="BA732" s="86"/>
      <c r="BB732" s="86"/>
      <c r="BC732" s="86"/>
      <c r="BD732" s="86"/>
      <c r="BE732" s="86"/>
      <c r="BF732" s="86"/>
      <c r="BG732" s="86"/>
      <c r="BH732" s="86"/>
      <c r="BI732" s="86"/>
      <c r="BJ732" s="86"/>
      <c r="BK732" s="86"/>
      <c r="BL732" s="86"/>
      <c r="BM732" s="86"/>
      <c r="BN732" s="86"/>
      <c r="BO732" s="86"/>
      <c r="BP732" s="86"/>
      <c r="BQ732" s="86"/>
      <c r="BR732" s="86"/>
      <c r="BS732" s="86"/>
      <c r="BT732" s="86"/>
      <c r="BU732" s="86"/>
      <c r="BV732" s="86"/>
      <c r="BW732" s="86"/>
      <c r="BX732" s="86"/>
      <c r="BY732" s="86"/>
      <c r="BZ732" s="86"/>
      <c r="CA732" s="86"/>
      <c r="CB732" s="86"/>
      <c r="CC732" s="86"/>
      <c r="CD732" s="86"/>
      <c r="CE732" s="86"/>
      <c r="CF732" s="86"/>
      <c r="CG732" s="86"/>
      <c r="CH732" s="86"/>
      <c r="CI732" s="86"/>
      <c r="CJ732" s="86"/>
      <c r="CK732" s="86"/>
      <c r="CL732" s="86"/>
      <c r="CM732" s="86"/>
      <c r="CN732" s="86"/>
      <c r="CO732" s="86"/>
      <c r="CP732" s="86"/>
      <c r="CQ732" s="86"/>
      <c r="CR732" s="86">
        <f t="shared" si="464"/>
        <v>0</v>
      </c>
      <c r="CS732" s="86"/>
      <c r="CT732" s="86"/>
      <c r="CU732" s="86"/>
      <c r="CV732" s="86"/>
      <c r="CW732" s="86"/>
      <c r="CX732" s="86"/>
      <c r="CY732" s="86"/>
      <c r="CZ732" s="86"/>
      <c r="DA732" s="86"/>
      <c r="DB732" s="86"/>
      <c r="DC732" s="86"/>
      <c r="DD732" s="86"/>
      <c r="DE732" s="86"/>
      <c r="DF732" s="86"/>
      <c r="DG732" s="86"/>
      <c r="DH732" s="86"/>
      <c r="DI732" s="86"/>
      <c r="DJ732" s="86"/>
      <c r="DK732" s="86"/>
      <c r="DL732" s="86"/>
      <c r="DM732" s="86"/>
      <c r="DN732" s="86"/>
      <c r="DO732" s="86"/>
      <c r="DP732" s="86"/>
      <c r="DQ732" s="86"/>
      <c r="DR732" s="118"/>
      <c r="DS732" s="118"/>
      <c r="DT732" s="86"/>
      <c r="DU732" s="86"/>
      <c r="DV732" s="86"/>
      <c r="DW732" s="86"/>
      <c r="DX732" s="86"/>
      <c r="DY732" s="86"/>
      <c r="DZ732" s="86"/>
      <c r="EA732" s="86"/>
      <c r="EB732" s="86"/>
      <c r="EC732" s="86"/>
      <c r="ED732" s="86"/>
      <c r="EE732" s="47">
        <f t="shared" si="470"/>
        <v>0</v>
      </c>
      <c r="EF732" s="86"/>
      <c r="EG732" s="86"/>
      <c r="EH732" s="86"/>
      <c r="EI732" s="86"/>
      <c r="EJ732" s="86"/>
      <c r="EK732" s="86"/>
      <c r="EL732" s="90">
        <f t="shared" si="466"/>
        <v>0</v>
      </c>
      <c r="EM732" s="86"/>
      <c r="EN732" s="90">
        <f t="shared" si="467"/>
        <v>0</v>
      </c>
    </row>
    <row r="733" spans="1:144" ht="15" customHeight="1" x14ac:dyDescent="0.25">
      <c r="A733" s="86"/>
      <c r="B733" s="88">
        <v>109</v>
      </c>
      <c r="C733" s="86"/>
      <c r="D733" s="87"/>
      <c r="E733" s="86"/>
      <c r="F733" s="86"/>
      <c r="G733" s="86"/>
      <c r="H733" s="86"/>
      <c r="I733" s="86"/>
      <c r="J733" s="86"/>
      <c r="K733" s="86"/>
      <c r="L733" s="86"/>
      <c r="M733" s="86"/>
      <c r="N733" s="88"/>
      <c r="O733" s="88"/>
      <c r="P733" s="86"/>
      <c r="Q733" s="168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>
        <f t="shared" si="468"/>
        <v>0</v>
      </c>
      <c r="AO733" s="86">
        <f t="shared" si="469"/>
        <v>0</v>
      </c>
      <c r="AP733" s="86"/>
      <c r="AQ733" s="86"/>
      <c r="AR733" s="86"/>
      <c r="AS733" s="86"/>
      <c r="AT733" s="86"/>
      <c r="AU733" s="86"/>
      <c r="AV733" s="86"/>
      <c r="AW733" s="86"/>
      <c r="AX733" s="86"/>
      <c r="AY733" s="86"/>
      <c r="AZ733" s="86"/>
      <c r="BA733" s="86"/>
      <c r="BB733" s="86"/>
      <c r="BC733" s="86"/>
      <c r="BD733" s="86"/>
      <c r="BE733" s="86"/>
      <c r="BF733" s="86"/>
      <c r="BG733" s="86"/>
      <c r="BH733" s="86"/>
      <c r="BI733" s="86"/>
      <c r="BJ733" s="86"/>
      <c r="BK733" s="86"/>
      <c r="BL733" s="86"/>
      <c r="BM733" s="86"/>
      <c r="BN733" s="86"/>
      <c r="BO733" s="86"/>
      <c r="BP733" s="86"/>
      <c r="BQ733" s="86"/>
      <c r="BR733" s="86"/>
      <c r="BS733" s="86"/>
      <c r="BT733" s="86"/>
      <c r="BU733" s="86"/>
      <c r="BV733" s="86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  <c r="CO733" s="86"/>
      <c r="CP733" s="86"/>
      <c r="CQ733" s="86"/>
      <c r="CR733" s="86">
        <f t="shared" si="464"/>
        <v>0</v>
      </c>
      <c r="CS733" s="86"/>
      <c r="CT733" s="86"/>
      <c r="CU733" s="86"/>
      <c r="CV733" s="86"/>
      <c r="CW733" s="86"/>
      <c r="CX733" s="86"/>
      <c r="CY733" s="86"/>
      <c r="CZ733" s="86"/>
      <c r="DA733" s="86"/>
      <c r="DB733" s="86"/>
      <c r="DC733" s="86"/>
      <c r="DD733" s="86"/>
      <c r="DE733" s="86"/>
      <c r="DF733" s="86"/>
      <c r="DG733" s="86"/>
      <c r="DH733" s="86"/>
      <c r="DI733" s="86"/>
      <c r="DJ733" s="86"/>
      <c r="DK733" s="86"/>
      <c r="DL733" s="86"/>
      <c r="DM733" s="86"/>
      <c r="DN733" s="86"/>
      <c r="DO733" s="86"/>
      <c r="DP733" s="86"/>
      <c r="DQ733" s="86"/>
      <c r="DR733" s="118"/>
      <c r="DS733" s="118"/>
      <c r="DT733" s="86"/>
      <c r="DU733" s="86"/>
      <c r="DV733" s="86"/>
      <c r="DW733" s="86"/>
      <c r="DX733" s="86"/>
      <c r="DY733" s="86"/>
      <c r="DZ733" s="86"/>
      <c r="EA733" s="86"/>
      <c r="EB733" s="86"/>
      <c r="EC733" s="86"/>
      <c r="ED733" s="86"/>
      <c r="EE733" s="47">
        <f t="shared" si="470"/>
        <v>0</v>
      </c>
      <c r="EF733" s="86"/>
      <c r="EG733" s="86"/>
      <c r="EH733" s="86"/>
      <c r="EI733" s="86"/>
      <c r="EJ733" s="86"/>
      <c r="EK733" s="86"/>
      <c r="EL733" s="90">
        <f t="shared" si="466"/>
        <v>0</v>
      </c>
      <c r="EM733" s="86"/>
      <c r="EN733" s="90">
        <f t="shared" si="467"/>
        <v>0</v>
      </c>
    </row>
    <row r="734" spans="1:144" ht="15" customHeight="1" x14ac:dyDescent="0.25">
      <c r="A734" s="86"/>
      <c r="B734" s="88">
        <v>110</v>
      </c>
      <c r="C734" s="86"/>
      <c r="D734" s="87"/>
      <c r="E734" s="86"/>
      <c r="F734" s="86"/>
      <c r="G734" s="86"/>
      <c r="H734" s="86"/>
      <c r="I734" s="86"/>
      <c r="J734" s="86"/>
      <c r="K734" s="86"/>
      <c r="L734" s="86"/>
      <c r="M734" s="86"/>
      <c r="N734" s="88"/>
      <c r="O734" s="88"/>
      <c r="P734" s="86"/>
      <c r="Q734" s="168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>
        <f t="shared" si="468"/>
        <v>0</v>
      </c>
      <c r="AO734" s="86">
        <f t="shared" si="469"/>
        <v>0</v>
      </c>
      <c r="AP734" s="86"/>
      <c r="AQ734" s="86"/>
      <c r="AR734" s="86"/>
      <c r="AS734" s="86"/>
      <c r="AT734" s="86"/>
      <c r="AU734" s="86"/>
      <c r="AV734" s="86"/>
      <c r="AW734" s="86"/>
      <c r="AX734" s="86"/>
      <c r="AY734" s="86"/>
      <c r="AZ734" s="86"/>
      <c r="BA734" s="86"/>
      <c r="BB734" s="86"/>
      <c r="BC734" s="86"/>
      <c r="BD734" s="86"/>
      <c r="BE734" s="86"/>
      <c r="BF734" s="86"/>
      <c r="BG734" s="86"/>
      <c r="BH734" s="86"/>
      <c r="BI734" s="86"/>
      <c r="BJ734" s="86"/>
      <c r="BK734" s="86"/>
      <c r="BL734" s="86"/>
      <c r="BM734" s="86"/>
      <c r="BN734" s="86"/>
      <c r="BO734" s="86"/>
      <c r="BP734" s="86"/>
      <c r="BQ734" s="86"/>
      <c r="BR734" s="86"/>
      <c r="BS734" s="86"/>
      <c r="BT734" s="86"/>
      <c r="BU734" s="86"/>
      <c r="BV734" s="86"/>
      <c r="BW734" s="86"/>
      <c r="BX734" s="86"/>
      <c r="BY734" s="86"/>
      <c r="BZ734" s="86"/>
      <c r="CA734" s="86"/>
      <c r="CB734" s="86"/>
      <c r="CC734" s="86"/>
      <c r="CD734" s="86"/>
      <c r="CE734" s="86"/>
      <c r="CF734" s="86"/>
      <c r="CG734" s="86"/>
      <c r="CH734" s="86"/>
      <c r="CI734" s="86"/>
      <c r="CJ734" s="86"/>
      <c r="CK734" s="86"/>
      <c r="CL734" s="86"/>
      <c r="CM734" s="86"/>
      <c r="CN734" s="86"/>
      <c r="CO734" s="86"/>
      <c r="CP734" s="86"/>
      <c r="CQ734" s="86"/>
      <c r="CR734" s="86">
        <f t="shared" si="464"/>
        <v>0</v>
      </c>
      <c r="CS734" s="86"/>
      <c r="CT734" s="86"/>
      <c r="CU734" s="86"/>
      <c r="CV734" s="86"/>
      <c r="CW734" s="86"/>
      <c r="CX734" s="86"/>
      <c r="CY734" s="86"/>
      <c r="CZ734" s="86"/>
      <c r="DA734" s="86"/>
      <c r="DB734" s="86"/>
      <c r="DC734" s="86"/>
      <c r="DD734" s="86"/>
      <c r="DE734" s="86"/>
      <c r="DF734" s="86"/>
      <c r="DG734" s="86"/>
      <c r="DH734" s="86"/>
      <c r="DI734" s="86"/>
      <c r="DJ734" s="86"/>
      <c r="DK734" s="86"/>
      <c r="DL734" s="86"/>
      <c r="DM734" s="86"/>
      <c r="DN734" s="86"/>
      <c r="DO734" s="86"/>
      <c r="DP734" s="86"/>
      <c r="DQ734" s="86"/>
      <c r="DR734" s="118"/>
      <c r="DS734" s="118"/>
      <c r="DT734" s="86"/>
      <c r="DU734" s="86"/>
      <c r="DV734" s="86"/>
      <c r="DW734" s="86"/>
      <c r="DX734" s="86"/>
      <c r="DY734" s="86"/>
      <c r="DZ734" s="86"/>
      <c r="EA734" s="86"/>
      <c r="EB734" s="86"/>
      <c r="EC734" s="86"/>
      <c r="ED734" s="86"/>
      <c r="EE734" s="47">
        <f t="shared" si="470"/>
        <v>0</v>
      </c>
      <c r="EF734" s="86"/>
      <c r="EG734" s="86"/>
      <c r="EH734" s="86"/>
      <c r="EI734" s="86"/>
      <c r="EJ734" s="86"/>
      <c r="EK734" s="86"/>
      <c r="EL734" s="90">
        <f t="shared" si="466"/>
        <v>0</v>
      </c>
      <c r="EM734" s="86"/>
      <c r="EN734" s="90">
        <f t="shared" si="467"/>
        <v>0</v>
      </c>
    </row>
    <row r="735" spans="1:144" ht="15" customHeight="1" x14ac:dyDescent="0.25">
      <c r="A735" s="86"/>
      <c r="B735" s="88">
        <v>111</v>
      </c>
      <c r="C735" s="86"/>
      <c r="D735" s="87"/>
      <c r="E735" s="86"/>
      <c r="F735" s="86"/>
      <c r="G735" s="86"/>
      <c r="H735" s="86"/>
      <c r="I735" s="86"/>
      <c r="J735" s="86"/>
      <c r="K735" s="86"/>
      <c r="L735" s="86"/>
      <c r="M735" s="86"/>
      <c r="N735" s="88"/>
      <c r="O735" s="88"/>
      <c r="P735" s="86"/>
      <c r="Q735" s="168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>
        <f t="shared" si="468"/>
        <v>0</v>
      </c>
      <c r="AO735" s="86">
        <f t="shared" si="469"/>
        <v>0</v>
      </c>
      <c r="AP735" s="86"/>
      <c r="AQ735" s="86"/>
      <c r="AR735" s="86"/>
      <c r="AS735" s="86"/>
      <c r="AT735" s="86"/>
      <c r="AU735" s="86"/>
      <c r="AV735" s="86"/>
      <c r="AW735" s="86"/>
      <c r="AX735" s="86"/>
      <c r="AY735" s="86"/>
      <c r="AZ735" s="86"/>
      <c r="BA735" s="86"/>
      <c r="BB735" s="86"/>
      <c r="BC735" s="86"/>
      <c r="BD735" s="86"/>
      <c r="BE735" s="86"/>
      <c r="BF735" s="86"/>
      <c r="BG735" s="86"/>
      <c r="BH735" s="86"/>
      <c r="BI735" s="86"/>
      <c r="BJ735" s="86"/>
      <c r="BK735" s="86"/>
      <c r="BL735" s="86"/>
      <c r="BM735" s="86"/>
      <c r="BN735" s="86"/>
      <c r="BO735" s="86"/>
      <c r="BP735" s="86"/>
      <c r="BQ735" s="86"/>
      <c r="BR735" s="86"/>
      <c r="BS735" s="86"/>
      <c r="BT735" s="86"/>
      <c r="BU735" s="86"/>
      <c r="BV735" s="86"/>
      <c r="BW735" s="86"/>
      <c r="BX735" s="86"/>
      <c r="BY735" s="86"/>
      <c r="BZ735" s="86"/>
      <c r="CA735" s="86"/>
      <c r="CB735" s="86"/>
      <c r="CC735" s="86"/>
      <c r="CD735" s="86"/>
      <c r="CE735" s="86"/>
      <c r="CF735" s="86"/>
      <c r="CG735" s="86"/>
      <c r="CH735" s="86"/>
      <c r="CI735" s="86"/>
      <c r="CJ735" s="86"/>
      <c r="CK735" s="86"/>
      <c r="CL735" s="86"/>
      <c r="CM735" s="86"/>
      <c r="CN735" s="86"/>
      <c r="CO735" s="86"/>
      <c r="CP735" s="86"/>
      <c r="CQ735" s="86"/>
      <c r="CR735" s="86">
        <f t="shared" si="464"/>
        <v>0</v>
      </c>
      <c r="CS735" s="86"/>
      <c r="CT735" s="86"/>
      <c r="CU735" s="86"/>
      <c r="CV735" s="86"/>
      <c r="CW735" s="86"/>
      <c r="CX735" s="86"/>
      <c r="CY735" s="86"/>
      <c r="CZ735" s="86"/>
      <c r="DA735" s="86"/>
      <c r="DB735" s="86"/>
      <c r="DC735" s="86"/>
      <c r="DD735" s="86"/>
      <c r="DE735" s="86"/>
      <c r="DF735" s="86"/>
      <c r="DG735" s="86"/>
      <c r="DH735" s="86"/>
      <c r="DI735" s="86"/>
      <c r="DJ735" s="86"/>
      <c r="DK735" s="86"/>
      <c r="DL735" s="86"/>
      <c r="DM735" s="86"/>
      <c r="DN735" s="86"/>
      <c r="DO735" s="86"/>
      <c r="DP735" s="86"/>
      <c r="DQ735" s="86"/>
      <c r="DR735" s="118"/>
      <c r="DS735" s="118"/>
      <c r="DT735" s="86"/>
      <c r="DU735" s="86"/>
      <c r="DV735" s="86"/>
      <c r="DW735" s="86"/>
      <c r="DX735" s="86"/>
      <c r="DY735" s="86"/>
      <c r="DZ735" s="86"/>
      <c r="EA735" s="86"/>
      <c r="EB735" s="86"/>
      <c r="EC735" s="86"/>
      <c r="ED735" s="86"/>
      <c r="EE735" s="47">
        <f t="shared" si="470"/>
        <v>0</v>
      </c>
      <c r="EF735" s="86"/>
      <c r="EG735" s="86"/>
      <c r="EH735" s="86"/>
      <c r="EI735" s="86"/>
      <c r="EJ735" s="86"/>
      <c r="EK735" s="86"/>
      <c r="EL735" s="90">
        <f t="shared" si="466"/>
        <v>0</v>
      </c>
      <c r="EM735" s="86"/>
      <c r="EN735" s="90">
        <f t="shared" si="467"/>
        <v>0</v>
      </c>
    </row>
    <row r="736" spans="1:144" ht="15" customHeight="1" x14ac:dyDescent="0.25">
      <c r="A736" s="86"/>
      <c r="B736" s="88">
        <v>112</v>
      </c>
      <c r="C736" s="86"/>
      <c r="D736" s="87"/>
      <c r="E736" s="86"/>
      <c r="F736" s="86"/>
      <c r="G736" s="86"/>
      <c r="H736" s="86"/>
      <c r="I736" s="86"/>
      <c r="J736" s="86"/>
      <c r="K736" s="86"/>
      <c r="L736" s="86"/>
      <c r="M736" s="86"/>
      <c r="N736" s="88"/>
      <c r="O736" s="88"/>
      <c r="P736" s="86"/>
      <c r="Q736" s="168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>
        <f t="shared" si="468"/>
        <v>0</v>
      </c>
      <c r="AO736" s="86">
        <f t="shared" si="469"/>
        <v>0</v>
      </c>
      <c r="AP736" s="86"/>
      <c r="AQ736" s="86"/>
      <c r="AR736" s="86"/>
      <c r="AS736" s="86"/>
      <c r="AT736" s="86"/>
      <c r="AU736" s="86"/>
      <c r="AV736" s="86"/>
      <c r="AW736" s="86"/>
      <c r="AX736" s="86"/>
      <c r="AY736" s="86"/>
      <c r="AZ736" s="86"/>
      <c r="BA736" s="86"/>
      <c r="BB736" s="86"/>
      <c r="BC736" s="86"/>
      <c r="BD736" s="86"/>
      <c r="BE736" s="86"/>
      <c r="BF736" s="86"/>
      <c r="BG736" s="86"/>
      <c r="BH736" s="86"/>
      <c r="BI736" s="86"/>
      <c r="BJ736" s="86"/>
      <c r="BK736" s="86"/>
      <c r="BL736" s="86"/>
      <c r="BM736" s="86"/>
      <c r="BN736" s="86"/>
      <c r="BO736" s="86"/>
      <c r="BP736" s="86"/>
      <c r="BQ736" s="86"/>
      <c r="BR736" s="86"/>
      <c r="BS736" s="86"/>
      <c r="BT736" s="86"/>
      <c r="BU736" s="86"/>
      <c r="BV736" s="86"/>
      <c r="BW736" s="86"/>
      <c r="BX736" s="86"/>
      <c r="BY736" s="86"/>
      <c r="BZ736" s="86"/>
      <c r="CA736" s="86"/>
      <c r="CB736" s="86"/>
      <c r="CC736" s="86"/>
      <c r="CD736" s="86"/>
      <c r="CE736" s="86"/>
      <c r="CF736" s="86"/>
      <c r="CG736" s="86"/>
      <c r="CH736" s="86"/>
      <c r="CI736" s="86"/>
      <c r="CJ736" s="86"/>
      <c r="CK736" s="86"/>
      <c r="CL736" s="86"/>
      <c r="CM736" s="86"/>
      <c r="CN736" s="86"/>
      <c r="CO736" s="86"/>
      <c r="CP736" s="86"/>
      <c r="CQ736" s="86"/>
      <c r="CR736" s="86">
        <f t="shared" si="464"/>
        <v>0</v>
      </c>
      <c r="CS736" s="86"/>
      <c r="CT736" s="86"/>
      <c r="CU736" s="86"/>
      <c r="CV736" s="86"/>
      <c r="CW736" s="86"/>
      <c r="CX736" s="86"/>
      <c r="CY736" s="86"/>
      <c r="CZ736" s="86"/>
      <c r="DA736" s="86"/>
      <c r="DB736" s="86"/>
      <c r="DC736" s="86"/>
      <c r="DD736" s="86"/>
      <c r="DE736" s="86"/>
      <c r="DF736" s="86"/>
      <c r="DG736" s="86"/>
      <c r="DH736" s="86"/>
      <c r="DI736" s="86"/>
      <c r="DJ736" s="86"/>
      <c r="DK736" s="86"/>
      <c r="DL736" s="86"/>
      <c r="DM736" s="86"/>
      <c r="DN736" s="86"/>
      <c r="DO736" s="86"/>
      <c r="DP736" s="86"/>
      <c r="DQ736" s="86"/>
      <c r="DR736" s="118"/>
      <c r="DS736" s="118"/>
      <c r="DT736" s="86"/>
      <c r="DU736" s="86"/>
      <c r="DV736" s="86"/>
      <c r="DW736" s="86"/>
      <c r="DX736" s="86"/>
      <c r="DY736" s="86"/>
      <c r="DZ736" s="86"/>
      <c r="EA736" s="86"/>
      <c r="EB736" s="86"/>
      <c r="EC736" s="86"/>
      <c r="ED736" s="86"/>
      <c r="EE736" s="47">
        <f t="shared" si="470"/>
        <v>0</v>
      </c>
      <c r="EF736" s="86"/>
      <c r="EG736" s="86"/>
      <c r="EH736" s="86"/>
      <c r="EI736" s="86"/>
      <c r="EJ736" s="86"/>
      <c r="EK736" s="86"/>
      <c r="EL736" s="90">
        <f t="shared" si="466"/>
        <v>0</v>
      </c>
      <c r="EM736" s="86"/>
      <c r="EN736" s="90">
        <f t="shared" si="467"/>
        <v>0</v>
      </c>
    </row>
    <row r="737" spans="1:144" ht="15" customHeight="1" x14ac:dyDescent="0.25">
      <c r="A737" s="86"/>
      <c r="B737" s="88">
        <v>113</v>
      </c>
      <c r="C737" s="86"/>
      <c r="D737" s="87"/>
      <c r="E737" s="86"/>
      <c r="F737" s="86"/>
      <c r="G737" s="86"/>
      <c r="H737" s="86"/>
      <c r="I737" s="86"/>
      <c r="J737" s="86"/>
      <c r="K737" s="86"/>
      <c r="L737" s="86"/>
      <c r="M737" s="86"/>
      <c r="N737" s="88"/>
      <c r="O737" s="88"/>
      <c r="P737" s="86"/>
      <c r="Q737" s="168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>
        <f t="shared" si="468"/>
        <v>0</v>
      </c>
      <c r="AO737" s="86">
        <f t="shared" si="469"/>
        <v>0</v>
      </c>
      <c r="AP737" s="86"/>
      <c r="AQ737" s="86"/>
      <c r="AR737" s="86"/>
      <c r="AS737" s="86"/>
      <c r="AT737" s="86"/>
      <c r="AU737" s="86"/>
      <c r="AV737" s="86"/>
      <c r="AW737" s="86"/>
      <c r="AX737" s="86"/>
      <c r="AY737" s="86"/>
      <c r="AZ737" s="86"/>
      <c r="BA737" s="86"/>
      <c r="BB737" s="86"/>
      <c r="BC737" s="86"/>
      <c r="BD737" s="86"/>
      <c r="BE737" s="86"/>
      <c r="BF737" s="86"/>
      <c r="BG737" s="86"/>
      <c r="BH737" s="86"/>
      <c r="BI737" s="86"/>
      <c r="BJ737" s="86"/>
      <c r="BK737" s="86"/>
      <c r="BL737" s="86"/>
      <c r="BM737" s="86"/>
      <c r="BN737" s="86"/>
      <c r="BO737" s="86"/>
      <c r="BP737" s="86"/>
      <c r="BQ737" s="86"/>
      <c r="BR737" s="86"/>
      <c r="BS737" s="86"/>
      <c r="BT737" s="86"/>
      <c r="BU737" s="86"/>
      <c r="BV737" s="86"/>
      <c r="BW737" s="86"/>
      <c r="BX737" s="86"/>
      <c r="BY737" s="86"/>
      <c r="BZ737" s="86"/>
      <c r="CA737" s="86"/>
      <c r="CB737" s="86"/>
      <c r="CC737" s="86"/>
      <c r="CD737" s="86"/>
      <c r="CE737" s="86"/>
      <c r="CF737" s="86"/>
      <c r="CG737" s="86"/>
      <c r="CH737" s="86"/>
      <c r="CI737" s="86"/>
      <c r="CJ737" s="86"/>
      <c r="CK737" s="86"/>
      <c r="CL737" s="86"/>
      <c r="CM737" s="86"/>
      <c r="CN737" s="86"/>
      <c r="CO737" s="86"/>
      <c r="CP737" s="86"/>
      <c r="CQ737" s="86"/>
      <c r="CR737" s="86">
        <f t="shared" si="464"/>
        <v>0</v>
      </c>
      <c r="CS737" s="86"/>
      <c r="CT737" s="86"/>
      <c r="CU737" s="86"/>
      <c r="CV737" s="86"/>
      <c r="CW737" s="86"/>
      <c r="CX737" s="86"/>
      <c r="CY737" s="86"/>
      <c r="CZ737" s="86"/>
      <c r="DA737" s="86"/>
      <c r="DB737" s="86"/>
      <c r="DC737" s="86"/>
      <c r="DD737" s="86"/>
      <c r="DE737" s="86"/>
      <c r="DF737" s="86"/>
      <c r="DG737" s="86"/>
      <c r="DH737" s="86"/>
      <c r="DI737" s="86"/>
      <c r="DJ737" s="86"/>
      <c r="DK737" s="86"/>
      <c r="DL737" s="86"/>
      <c r="DM737" s="86"/>
      <c r="DN737" s="86"/>
      <c r="DO737" s="86"/>
      <c r="DP737" s="86"/>
      <c r="DQ737" s="86"/>
      <c r="DR737" s="118"/>
      <c r="DS737" s="118"/>
      <c r="DT737" s="86"/>
      <c r="DU737" s="86"/>
      <c r="DV737" s="86"/>
      <c r="DW737" s="86"/>
      <c r="DX737" s="86"/>
      <c r="DY737" s="86"/>
      <c r="DZ737" s="86"/>
      <c r="EA737" s="86"/>
      <c r="EB737" s="86"/>
      <c r="EC737" s="86"/>
      <c r="ED737" s="86"/>
      <c r="EE737" s="47">
        <f t="shared" si="470"/>
        <v>0</v>
      </c>
      <c r="EF737" s="86"/>
      <c r="EG737" s="86"/>
      <c r="EH737" s="86"/>
      <c r="EI737" s="86"/>
      <c r="EJ737" s="86"/>
      <c r="EK737" s="86"/>
      <c r="EL737" s="90">
        <f t="shared" si="466"/>
        <v>0</v>
      </c>
      <c r="EM737" s="86"/>
      <c r="EN737" s="90">
        <f t="shared" si="467"/>
        <v>0</v>
      </c>
    </row>
    <row r="738" spans="1:144" ht="15" customHeight="1" x14ac:dyDescent="0.25">
      <c r="A738" s="86"/>
      <c r="B738" s="88">
        <v>114</v>
      </c>
      <c r="C738" s="86"/>
      <c r="D738" s="87"/>
      <c r="E738" s="86"/>
      <c r="F738" s="86"/>
      <c r="G738" s="86"/>
      <c r="H738" s="86"/>
      <c r="I738" s="86"/>
      <c r="J738" s="86"/>
      <c r="K738" s="86"/>
      <c r="L738" s="86"/>
      <c r="M738" s="86"/>
      <c r="N738" s="88"/>
      <c r="O738" s="88"/>
      <c r="P738" s="86"/>
      <c r="Q738" s="168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>
        <f t="shared" si="468"/>
        <v>0</v>
      </c>
      <c r="AO738" s="86">
        <f t="shared" si="469"/>
        <v>0</v>
      </c>
      <c r="AP738" s="86"/>
      <c r="AQ738" s="86"/>
      <c r="AR738" s="86"/>
      <c r="AS738" s="86"/>
      <c r="AT738" s="86"/>
      <c r="AU738" s="86"/>
      <c r="AV738" s="86"/>
      <c r="AW738" s="86"/>
      <c r="AX738" s="86"/>
      <c r="AY738" s="86"/>
      <c r="AZ738" s="86"/>
      <c r="BA738" s="86"/>
      <c r="BB738" s="86"/>
      <c r="BC738" s="86"/>
      <c r="BD738" s="86"/>
      <c r="BE738" s="86"/>
      <c r="BF738" s="86"/>
      <c r="BG738" s="86"/>
      <c r="BH738" s="86"/>
      <c r="BI738" s="86"/>
      <c r="BJ738" s="86"/>
      <c r="BK738" s="86"/>
      <c r="BL738" s="86"/>
      <c r="BM738" s="86"/>
      <c r="BN738" s="86"/>
      <c r="BO738" s="86"/>
      <c r="BP738" s="86"/>
      <c r="BQ738" s="86"/>
      <c r="BR738" s="86"/>
      <c r="BS738" s="86"/>
      <c r="BT738" s="86"/>
      <c r="BU738" s="86"/>
      <c r="BV738" s="86"/>
      <c r="BW738" s="86"/>
      <c r="BX738" s="86"/>
      <c r="BY738" s="86"/>
      <c r="BZ738" s="86"/>
      <c r="CA738" s="86"/>
      <c r="CB738" s="86"/>
      <c r="CC738" s="86"/>
      <c r="CD738" s="86"/>
      <c r="CE738" s="86"/>
      <c r="CF738" s="86"/>
      <c r="CG738" s="86"/>
      <c r="CH738" s="86"/>
      <c r="CI738" s="86"/>
      <c r="CJ738" s="86"/>
      <c r="CK738" s="86"/>
      <c r="CL738" s="86"/>
      <c r="CM738" s="86"/>
      <c r="CN738" s="86"/>
      <c r="CO738" s="86"/>
      <c r="CP738" s="86"/>
      <c r="CQ738" s="86"/>
      <c r="CR738" s="86">
        <f t="shared" si="464"/>
        <v>0</v>
      </c>
      <c r="CS738" s="86"/>
      <c r="CT738" s="86"/>
      <c r="CU738" s="86"/>
      <c r="CV738" s="86"/>
      <c r="CW738" s="86"/>
      <c r="CX738" s="86"/>
      <c r="CY738" s="86"/>
      <c r="CZ738" s="86"/>
      <c r="DA738" s="86"/>
      <c r="DB738" s="86"/>
      <c r="DC738" s="86"/>
      <c r="DD738" s="86"/>
      <c r="DE738" s="86"/>
      <c r="DF738" s="86"/>
      <c r="DG738" s="86"/>
      <c r="DH738" s="86"/>
      <c r="DI738" s="86"/>
      <c r="DJ738" s="86"/>
      <c r="DK738" s="86"/>
      <c r="DL738" s="86"/>
      <c r="DM738" s="86"/>
      <c r="DN738" s="86"/>
      <c r="DO738" s="86"/>
      <c r="DP738" s="86"/>
      <c r="DQ738" s="86"/>
      <c r="DR738" s="118"/>
      <c r="DS738" s="118"/>
      <c r="DT738" s="86"/>
      <c r="DU738" s="86"/>
      <c r="DV738" s="86"/>
      <c r="DW738" s="86"/>
      <c r="DX738" s="86"/>
      <c r="DY738" s="86"/>
      <c r="DZ738" s="86"/>
      <c r="EA738" s="86"/>
      <c r="EB738" s="86"/>
      <c r="EC738" s="86"/>
      <c r="ED738" s="86"/>
      <c r="EE738" s="47">
        <f t="shared" si="470"/>
        <v>0</v>
      </c>
      <c r="EF738" s="86"/>
      <c r="EG738" s="86"/>
      <c r="EH738" s="86"/>
      <c r="EI738" s="86"/>
      <c r="EJ738" s="86"/>
      <c r="EK738" s="86"/>
      <c r="EL738" s="90">
        <f t="shared" si="466"/>
        <v>0</v>
      </c>
      <c r="EM738" s="86"/>
      <c r="EN738" s="90">
        <f t="shared" si="467"/>
        <v>0</v>
      </c>
    </row>
    <row r="739" spans="1:144" ht="15" customHeight="1" x14ac:dyDescent="0.25">
      <c r="A739" s="86"/>
      <c r="B739" s="88">
        <v>115</v>
      </c>
      <c r="C739" s="86"/>
      <c r="D739" s="87"/>
      <c r="E739" s="86"/>
      <c r="F739" s="86"/>
      <c r="G739" s="86"/>
      <c r="H739" s="86"/>
      <c r="I739" s="86"/>
      <c r="J739" s="86"/>
      <c r="K739" s="86"/>
      <c r="L739" s="86"/>
      <c r="M739" s="86"/>
      <c r="N739" s="88"/>
      <c r="O739" s="88"/>
      <c r="P739" s="86"/>
      <c r="Q739" s="168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>
        <f t="shared" si="468"/>
        <v>0</v>
      </c>
      <c r="AO739" s="86">
        <f t="shared" si="469"/>
        <v>0</v>
      </c>
      <c r="AP739" s="86"/>
      <c r="AQ739" s="86"/>
      <c r="AR739" s="86"/>
      <c r="AS739" s="86"/>
      <c r="AT739" s="86"/>
      <c r="AU739" s="86"/>
      <c r="AV739" s="86"/>
      <c r="AW739" s="86"/>
      <c r="AX739" s="86"/>
      <c r="AY739" s="86"/>
      <c r="AZ739" s="86"/>
      <c r="BA739" s="86"/>
      <c r="BB739" s="86"/>
      <c r="BC739" s="86"/>
      <c r="BD739" s="86"/>
      <c r="BE739" s="86"/>
      <c r="BF739" s="86"/>
      <c r="BG739" s="86"/>
      <c r="BH739" s="86"/>
      <c r="BI739" s="86"/>
      <c r="BJ739" s="86"/>
      <c r="BK739" s="86"/>
      <c r="BL739" s="86"/>
      <c r="BM739" s="86"/>
      <c r="BN739" s="86"/>
      <c r="BO739" s="86"/>
      <c r="BP739" s="86"/>
      <c r="BQ739" s="86"/>
      <c r="BR739" s="86"/>
      <c r="BS739" s="86"/>
      <c r="BT739" s="86"/>
      <c r="BU739" s="86"/>
      <c r="BV739" s="86"/>
      <c r="BW739" s="86"/>
      <c r="BX739" s="86"/>
      <c r="BY739" s="86"/>
      <c r="BZ739" s="86"/>
      <c r="CA739" s="86"/>
      <c r="CB739" s="86"/>
      <c r="CC739" s="86"/>
      <c r="CD739" s="86"/>
      <c r="CE739" s="86"/>
      <c r="CF739" s="86"/>
      <c r="CG739" s="86"/>
      <c r="CH739" s="86"/>
      <c r="CI739" s="86"/>
      <c r="CJ739" s="86"/>
      <c r="CK739" s="86"/>
      <c r="CL739" s="86"/>
      <c r="CM739" s="86"/>
      <c r="CN739" s="86"/>
      <c r="CO739" s="86"/>
      <c r="CP739" s="86"/>
      <c r="CQ739" s="86"/>
      <c r="CR739" s="86">
        <f t="shared" si="464"/>
        <v>0</v>
      </c>
      <c r="CS739" s="86"/>
      <c r="CT739" s="86"/>
      <c r="CU739" s="86"/>
      <c r="CV739" s="86"/>
      <c r="CW739" s="86"/>
      <c r="CX739" s="86"/>
      <c r="CY739" s="86"/>
      <c r="CZ739" s="86"/>
      <c r="DA739" s="86"/>
      <c r="DB739" s="86"/>
      <c r="DC739" s="86"/>
      <c r="DD739" s="86"/>
      <c r="DE739" s="86"/>
      <c r="DF739" s="86"/>
      <c r="DG739" s="86"/>
      <c r="DH739" s="86"/>
      <c r="DI739" s="86"/>
      <c r="DJ739" s="86"/>
      <c r="DK739" s="86"/>
      <c r="DL739" s="86"/>
      <c r="DM739" s="86"/>
      <c r="DN739" s="86"/>
      <c r="DO739" s="86"/>
      <c r="DP739" s="86"/>
      <c r="DQ739" s="86"/>
      <c r="DR739" s="118"/>
      <c r="DS739" s="118"/>
      <c r="DT739" s="86"/>
      <c r="DU739" s="86"/>
      <c r="DV739" s="86"/>
      <c r="DW739" s="86"/>
      <c r="DX739" s="86"/>
      <c r="DY739" s="86"/>
      <c r="DZ739" s="86"/>
      <c r="EA739" s="86"/>
      <c r="EB739" s="86"/>
      <c r="EC739" s="86"/>
      <c r="ED739" s="86"/>
      <c r="EE739" s="47">
        <f t="shared" si="470"/>
        <v>0</v>
      </c>
      <c r="EF739" s="86"/>
      <c r="EG739" s="86"/>
      <c r="EH739" s="86"/>
      <c r="EI739" s="86"/>
      <c r="EJ739" s="86"/>
      <c r="EK739" s="86"/>
      <c r="EL739" s="90">
        <f t="shared" si="466"/>
        <v>0</v>
      </c>
      <c r="EM739" s="86"/>
      <c r="EN739" s="90">
        <f t="shared" si="467"/>
        <v>0</v>
      </c>
    </row>
    <row r="740" spans="1:144" ht="15" customHeight="1" x14ac:dyDescent="0.25">
      <c r="A740" s="86"/>
      <c r="B740" s="88">
        <v>116</v>
      </c>
      <c r="C740" s="86"/>
      <c r="D740" s="87"/>
      <c r="E740" s="86"/>
      <c r="F740" s="86"/>
      <c r="G740" s="86"/>
      <c r="H740" s="86"/>
      <c r="I740" s="86"/>
      <c r="J740" s="86"/>
      <c r="K740" s="86"/>
      <c r="L740" s="86"/>
      <c r="M740" s="86"/>
      <c r="N740" s="88"/>
      <c r="O740" s="88"/>
      <c r="P740" s="86"/>
      <c r="Q740" s="168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>
        <f t="shared" si="468"/>
        <v>0</v>
      </c>
      <c r="AO740" s="86">
        <f t="shared" si="469"/>
        <v>0</v>
      </c>
      <c r="AP740" s="86"/>
      <c r="AQ740" s="86"/>
      <c r="AR740" s="86"/>
      <c r="AS740" s="86"/>
      <c r="AT740" s="86"/>
      <c r="AU740" s="86"/>
      <c r="AV740" s="86"/>
      <c r="AW740" s="86"/>
      <c r="AX740" s="86"/>
      <c r="AY740" s="86"/>
      <c r="AZ740" s="86"/>
      <c r="BA740" s="86"/>
      <c r="BB740" s="86"/>
      <c r="BC740" s="86"/>
      <c r="BD740" s="86"/>
      <c r="BE740" s="86"/>
      <c r="BF740" s="86"/>
      <c r="BG740" s="86"/>
      <c r="BH740" s="86"/>
      <c r="BI740" s="86"/>
      <c r="BJ740" s="86"/>
      <c r="BK740" s="86"/>
      <c r="BL740" s="86"/>
      <c r="BM740" s="86"/>
      <c r="BN740" s="86"/>
      <c r="BO740" s="86"/>
      <c r="BP740" s="86"/>
      <c r="BQ740" s="86"/>
      <c r="BR740" s="86"/>
      <c r="BS740" s="86"/>
      <c r="BT740" s="86"/>
      <c r="BU740" s="86"/>
      <c r="BV740" s="86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  <c r="CO740" s="86"/>
      <c r="CP740" s="86"/>
      <c r="CQ740" s="86"/>
      <c r="CR740" s="86">
        <f t="shared" si="464"/>
        <v>0</v>
      </c>
      <c r="CS740" s="86"/>
      <c r="CT740" s="86"/>
      <c r="CU740" s="86"/>
      <c r="CV740" s="86"/>
      <c r="CW740" s="86"/>
      <c r="CX740" s="86"/>
      <c r="CY740" s="86"/>
      <c r="CZ740" s="86"/>
      <c r="DA740" s="86"/>
      <c r="DB740" s="86"/>
      <c r="DC740" s="86"/>
      <c r="DD740" s="86"/>
      <c r="DE740" s="86"/>
      <c r="DF740" s="86"/>
      <c r="DG740" s="86"/>
      <c r="DH740" s="86"/>
      <c r="DI740" s="86"/>
      <c r="DJ740" s="86"/>
      <c r="DK740" s="86"/>
      <c r="DL740" s="86"/>
      <c r="DM740" s="86"/>
      <c r="DN740" s="86"/>
      <c r="DO740" s="86"/>
      <c r="DP740" s="86"/>
      <c r="DQ740" s="86"/>
      <c r="DR740" s="118"/>
      <c r="DS740" s="118"/>
      <c r="DT740" s="86"/>
      <c r="DU740" s="86"/>
      <c r="DV740" s="86"/>
      <c r="DW740" s="86"/>
      <c r="DX740" s="86"/>
      <c r="DY740" s="86"/>
      <c r="DZ740" s="86"/>
      <c r="EA740" s="86"/>
      <c r="EB740" s="86"/>
      <c r="EC740" s="86"/>
      <c r="ED740" s="86"/>
      <c r="EE740" s="47">
        <f t="shared" si="470"/>
        <v>0</v>
      </c>
      <c r="EF740" s="86"/>
      <c r="EG740" s="86"/>
      <c r="EH740" s="86"/>
      <c r="EI740" s="86"/>
      <c r="EJ740" s="86"/>
      <c r="EK740" s="86"/>
      <c r="EL740" s="90">
        <f t="shared" si="466"/>
        <v>0</v>
      </c>
      <c r="EM740" s="86"/>
      <c r="EN740" s="90">
        <f t="shared" si="467"/>
        <v>0</v>
      </c>
    </row>
    <row r="741" spans="1:144" ht="15" customHeight="1" x14ac:dyDescent="0.25">
      <c r="A741" s="86"/>
      <c r="B741" s="88">
        <v>117</v>
      </c>
      <c r="C741" s="86"/>
      <c r="D741" s="87"/>
      <c r="E741" s="86"/>
      <c r="F741" s="86"/>
      <c r="G741" s="86"/>
      <c r="H741" s="86"/>
      <c r="I741" s="86"/>
      <c r="J741" s="86"/>
      <c r="K741" s="86"/>
      <c r="L741" s="86"/>
      <c r="M741" s="86"/>
      <c r="N741" s="88"/>
      <c r="O741" s="88"/>
      <c r="P741" s="86"/>
      <c r="Q741" s="168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>
        <f t="shared" si="468"/>
        <v>0</v>
      </c>
      <c r="AO741" s="86"/>
      <c r="AP741" s="86"/>
      <c r="AQ741" s="86"/>
      <c r="AR741" s="86"/>
      <c r="AS741" s="86"/>
      <c r="AT741" s="86"/>
      <c r="AU741" s="86"/>
      <c r="AV741" s="86"/>
      <c r="AW741" s="86"/>
      <c r="AX741" s="86"/>
      <c r="AY741" s="86"/>
      <c r="AZ741" s="86"/>
      <c r="BA741" s="86"/>
      <c r="BB741" s="86"/>
      <c r="BC741" s="86"/>
      <c r="BD741" s="86"/>
      <c r="BE741" s="86"/>
      <c r="BF741" s="86"/>
      <c r="BG741" s="86"/>
      <c r="BH741" s="86"/>
      <c r="BI741" s="86"/>
      <c r="BJ741" s="86"/>
      <c r="BK741" s="86"/>
      <c r="BL741" s="86"/>
      <c r="BM741" s="86"/>
      <c r="BN741" s="86"/>
      <c r="BO741" s="86"/>
      <c r="BP741" s="86"/>
      <c r="BQ741" s="86"/>
      <c r="BR741" s="86"/>
      <c r="BS741" s="86"/>
      <c r="BT741" s="86"/>
      <c r="BU741" s="86"/>
      <c r="BV741" s="86"/>
      <c r="BW741" s="86"/>
      <c r="BX741" s="86"/>
      <c r="BY741" s="86"/>
      <c r="BZ741" s="86"/>
      <c r="CA741" s="86"/>
      <c r="CB741" s="86"/>
      <c r="CC741" s="86"/>
      <c r="CD741" s="86"/>
      <c r="CE741" s="86"/>
      <c r="CF741" s="86"/>
      <c r="CG741" s="86"/>
      <c r="CH741" s="86"/>
      <c r="CI741" s="86"/>
      <c r="CJ741" s="86"/>
      <c r="CK741" s="86"/>
      <c r="CL741" s="86"/>
      <c r="CM741" s="86"/>
      <c r="CN741" s="86"/>
      <c r="CO741" s="86"/>
      <c r="CP741" s="86"/>
      <c r="CQ741" s="86"/>
      <c r="CR741" s="86">
        <f t="shared" si="464"/>
        <v>0</v>
      </c>
      <c r="CS741" s="86"/>
      <c r="CT741" s="86"/>
      <c r="CU741" s="86"/>
      <c r="CV741" s="86"/>
      <c r="CW741" s="86"/>
      <c r="CX741" s="86"/>
      <c r="CY741" s="86"/>
      <c r="CZ741" s="86"/>
      <c r="DA741" s="86"/>
      <c r="DB741" s="86"/>
      <c r="DC741" s="86"/>
      <c r="DD741" s="86"/>
      <c r="DE741" s="86"/>
      <c r="DF741" s="86"/>
      <c r="DG741" s="86"/>
      <c r="DH741" s="86"/>
      <c r="DI741" s="86"/>
      <c r="DJ741" s="86"/>
      <c r="DK741" s="86"/>
      <c r="DL741" s="86"/>
      <c r="DM741" s="86"/>
      <c r="DN741" s="86"/>
      <c r="DO741" s="86"/>
      <c r="DP741" s="86"/>
      <c r="DQ741" s="86"/>
      <c r="DR741" s="118"/>
      <c r="DS741" s="118"/>
      <c r="DT741" s="86"/>
      <c r="DU741" s="86"/>
      <c r="DV741" s="86"/>
      <c r="DW741" s="86"/>
      <c r="DX741" s="86"/>
      <c r="DY741" s="86"/>
      <c r="DZ741" s="86"/>
      <c r="EA741" s="86"/>
      <c r="EB741" s="86"/>
      <c r="EC741" s="86"/>
      <c r="ED741" s="86"/>
      <c r="EE741" s="47">
        <f t="shared" si="470"/>
        <v>0</v>
      </c>
      <c r="EF741" s="86"/>
      <c r="EG741" s="86"/>
      <c r="EH741" s="86"/>
      <c r="EI741" s="86"/>
      <c r="EJ741" s="86"/>
      <c r="EK741" s="86"/>
      <c r="EL741" s="90">
        <f t="shared" si="466"/>
        <v>0</v>
      </c>
      <c r="EM741" s="86"/>
      <c r="EN741" s="90">
        <f t="shared" si="467"/>
        <v>0</v>
      </c>
    </row>
    <row r="742" spans="1:144" ht="15" customHeight="1" x14ac:dyDescent="0.25">
      <c r="A742" s="86"/>
      <c r="B742" s="88">
        <v>118</v>
      </c>
      <c r="C742" s="86"/>
      <c r="D742" s="87"/>
      <c r="E742" s="86"/>
      <c r="F742" s="86"/>
      <c r="G742" s="86"/>
      <c r="H742" s="86"/>
      <c r="I742" s="86"/>
      <c r="J742" s="86"/>
      <c r="K742" s="86"/>
      <c r="L742" s="86"/>
      <c r="M742" s="86"/>
      <c r="N742" s="88"/>
      <c r="O742" s="88"/>
      <c r="P742" s="86"/>
      <c r="Q742" s="168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>
        <f t="shared" si="468"/>
        <v>0</v>
      </c>
      <c r="AO742" s="86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>
        <f t="shared" si="464"/>
        <v>0</v>
      </c>
      <c r="CS742" s="86"/>
      <c r="CT742" s="86"/>
      <c r="CU742" s="86"/>
      <c r="CV742" s="86"/>
      <c r="CW742" s="86"/>
      <c r="CX742" s="86"/>
      <c r="CY742" s="86"/>
      <c r="CZ742" s="86"/>
      <c r="DA742" s="86"/>
      <c r="DB742" s="86"/>
      <c r="DC742" s="86"/>
      <c r="DD742" s="86"/>
      <c r="DE742" s="86"/>
      <c r="DF742" s="86"/>
      <c r="DG742" s="86"/>
      <c r="DH742" s="86"/>
      <c r="DI742" s="86"/>
      <c r="DJ742" s="86"/>
      <c r="DK742" s="86"/>
      <c r="DL742" s="86"/>
      <c r="DM742" s="86"/>
      <c r="DN742" s="86"/>
      <c r="DO742" s="86"/>
      <c r="DP742" s="86"/>
      <c r="DQ742" s="86"/>
      <c r="DR742" s="118"/>
      <c r="DS742" s="118"/>
      <c r="DT742" s="86"/>
      <c r="DU742" s="86"/>
      <c r="DV742" s="86"/>
      <c r="DW742" s="86"/>
      <c r="DX742" s="86"/>
      <c r="DY742" s="86"/>
      <c r="DZ742" s="86"/>
      <c r="EA742" s="86"/>
      <c r="EB742" s="86"/>
      <c r="EC742" s="86"/>
      <c r="ED742" s="86"/>
      <c r="EE742" s="47">
        <f t="shared" si="470"/>
        <v>0</v>
      </c>
      <c r="EF742" s="86"/>
      <c r="EG742" s="86"/>
      <c r="EH742" s="86"/>
      <c r="EI742" s="86"/>
      <c r="EJ742" s="86"/>
      <c r="EK742" s="86"/>
      <c r="EL742" s="90">
        <f t="shared" si="466"/>
        <v>0</v>
      </c>
      <c r="EM742" s="86"/>
      <c r="EN742" s="90">
        <f t="shared" si="467"/>
        <v>0</v>
      </c>
    </row>
    <row r="743" spans="1:144" ht="15" customHeight="1" x14ac:dyDescent="0.25">
      <c r="A743" s="86"/>
      <c r="B743" s="88">
        <v>119</v>
      </c>
      <c r="C743" s="86"/>
      <c r="D743" s="87"/>
      <c r="E743" s="86"/>
      <c r="F743" s="86"/>
      <c r="G743" s="86"/>
      <c r="H743" s="86"/>
      <c r="I743" s="86"/>
      <c r="J743" s="86"/>
      <c r="K743" s="86"/>
      <c r="L743" s="86"/>
      <c r="M743" s="86"/>
      <c r="N743" s="88"/>
      <c r="O743" s="88"/>
      <c r="P743" s="86"/>
      <c r="Q743" s="168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>
        <f t="shared" si="468"/>
        <v>0</v>
      </c>
      <c r="AO743" s="86"/>
      <c r="AP743" s="86"/>
      <c r="AQ743" s="86"/>
      <c r="AR743" s="86"/>
      <c r="AS743" s="86"/>
      <c r="AT743" s="86"/>
      <c r="AU743" s="86"/>
      <c r="AV743" s="86"/>
      <c r="AW743" s="86"/>
      <c r="AX743" s="86"/>
      <c r="AY743" s="86"/>
      <c r="AZ743" s="86"/>
      <c r="BA743" s="86"/>
      <c r="BB743" s="86"/>
      <c r="BC743" s="86"/>
      <c r="BD743" s="86"/>
      <c r="BE743" s="86"/>
      <c r="BF743" s="86"/>
      <c r="BG743" s="86"/>
      <c r="BH743" s="86"/>
      <c r="BI743" s="86"/>
      <c r="BJ743" s="86"/>
      <c r="BK743" s="86"/>
      <c r="BL743" s="86"/>
      <c r="BM743" s="86"/>
      <c r="BN743" s="86"/>
      <c r="BO743" s="86"/>
      <c r="BP743" s="86"/>
      <c r="BQ743" s="86"/>
      <c r="BR743" s="86"/>
      <c r="BS743" s="86"/>
      <c r="BT743" s="86"/>
      <c r="BU743" s="86"/>
      <c r="BV743" s="86"/>
      <c r="BW743" s="86"/>
      <c r="BX743" s="86"/>
      <c r="BY743" s="86"/>
      <c r="BZ743" s="86"/>
      <c r="CA743" s="86"/>
      <c r="CB743" s="86"/>
      <c r="CC743" s="86"/>
      <c r="CD743" s="86"/>
      <c r="CE743" s="86"/>
      <c r="CF743" s="86"/>
      <c r="CG743" s="86"/>
      <c r="CH743" s="86"/>
      <c r="CI743" s="86"/>
      <c r="CJ743" s="86"/>
      <c r="CK743" s="86"/>
      <c r="CL743" s="86"/>
      <c r="CM743" s="86"/>
      <c r="CN743" s="86"/>
      <c r="CO743" s="86"/>
      <c r="CP743" s="86"/>
      <c r="CQ743" s="86"/>
      <c r="CR743" s="86">
        <f t="shared" si="464"/>
        <v>0</v>
      </c>
      <c r="CS743" s="86"/>
      <c r="CT743" s="86"/>
      <c r="CU743" s="86"/>
      <c r="CV743" s="86"/>
      <c r="CW743" s="86"/>
      <c r="CX743" s="86"/>
      <c r="CY743" s="86"/>
      <c r="CZ743" s="86"/>
      <c r="DA743" s="86"/>
      <c r="DB743" s="86"/>
      <c r="DC743" s="86"/>
      <c r="DD743" s="86"/>
      <c r="DE743" s="86"/>
      <c r="DF743" s="86"/>
      <c r="DG743" s="86"/>
      <c r="DH743" s="86"/>
      <c r="DI743" s="86"/>
      <c r="DJ743" s="86"/>
      <c r="DK743" s="86"/>
      <c r="DL743" s="86"/>
      <c r="DM743" s="86"/>
      <c r="DN743" s="86"/>
      <c r="DO743" s="86"/>
      <c r="DP743" s="86"/>
      <c r="DQ743" s="86"/>
      <c r="DR743" s="118"/>
      <c r="DS743" s="118"/>
      <c r="DT743" s="86"/>
      <c r="DU743" s="86"/>
      <c r="DV743" s="86"/>
      <c r="DW743" s="86"/>
      <c r="DX743" s="86"/>
      <c r="DY743" s="86"/>
      <c r="DZ743" s="86"/>
      <c r="EA743" s="86"/>
      <c r="EB743" s="86"/>
      <c r="EC743" s="86"/>
      <c r="ED743" s="86"/>
      <c r="EE743" s="47">
        <f t="shared" si="470"/>
        <v>0</v>
      </c>
      <c r="EF743" s="86"/>
      <c r="EG743" s="86"/>
      <c r="EH743" s="86"/>
      <c r="EI743" s="86"/>
      <c r="EJ743" s="86"/>
      <c r="EK743" s="86"/>
      <c r="EL743" s="90">
        <f t="shared" si="466"/>
        <v>0</v>
      </c>
      <c r="EM743" s="86"/>
      <c r="EN743" s="90">
        <f t="shared" si="467"/>
        <v>0</v>
      </c>
    </row>
    <row r="744" spans="1:144" ht="15" customHeight="1" x14ac:dyDescent="0.25">
      <c r="A744" s="86"/>
      <c r="B744" s="88">
        <v>120</v>
      </c>
      <c r="C744" s="86"/>
      <c r="D744" s="87"/>
      <c r="E744" s="86"/>
      <c r="F744" s="86"/>
      <c r="G744" s="86"/>
      <c r="H744" s="86"/>
      <c r="I744" s="86"/>
      <c r="J744" s="86"/>
      <c r="K744" s="86"/>
      <c r="L744" s="86"/>
      <c r="M744" s="86"/>
      <c r="N744" s="88"/>
      <c r="O744" s="88"/>
      <c r="P744" s="86"/>
      <c r="Q744" s="168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>
        <f t="shared" si="468"/>
        <v>0</v>
      </c>
      <c r="AO744" s="86"/>
      <c r="AP744" s="86"/>
      <c r="AQ744" s="86"/>
      <c r="AR744" s="86"/>
      <c r="AS744" s="86"/>
      <c r="AT744" s="86"/>
      <c r="AU744" s="86"/>
      <c r="AV744" s="86"/>
      <c r="AW744" s="86"/>
      <c r="AX744" s="86"/>
      <c r="AY744" s="86"/>
      <c r="AZ744" s="86"/>
      <c r="BA744" s="86"/>
      <c r="BB744" s="86"/>
      <c r="BC744" s="86"/>
      <c r="BD744" s="86"/>
      <c r="BE744" s="86"/>
      <c r="BF744" s="86"/>
      <c r="BG744" s="86"/>
      <c r="BH744" s="86"/>
      <c r="BI744" s="86"/>
      <c r="BJ744" s="86"/>
      <c r="BK744" s="86"/>
      <c r="BL744" s="86"/>
      <c r="BM744" s="86"/>
      <c r="BN744" s="86"/>
      <c r="BO744" s="86"/>
      <c r="BP744" s="86"/>
      <c r="BQ744" s="86"/>
      <c r="BR744" s="86"/>
      <c r="BS744" s="86"/>
      <c r="BT744" s="86"/>
      <c r="BU744" s="86"/>
      <c r="BV744" s="86"/>
      <c r="BW744" s="86"/>
      <c r="BX744" s="86"/>
      <c r="BY744" s="86"/>
      <c r="BZ744" s="86"/>
      <c r="CA744" s="86"/>
      <c r="CB744" s="86"/>
      <c r="CC744" s="86"/>
      <c r="CD744" s="86"/>
      <c r="CE744" s="86"/>
      <c r="CF744" s="86"/>
      <c r="CG744" s="86"/>
      <c r="CH744" s="86"/>
      <c r="CI744" s="86"/>
      <c r="CJ744" s="86"/>
      <c r="CK744" s="86"/>
      <c r="CL744" s="86"/>
      <c r="CM744" s="86"/>
      <c r="CN744" s="86"/>
      <c r="CO744" s="86"/>
      <c r="CP744" s="86"/>
      <c r="CQ744" s="86"/>
      <c r="CR744" s="86">
        <f t="shared" si="464"/>
        <v>0</v>
      </c>
      <c r="CS744" s="86"/>
      <c r="CT744" s="86"/>
      <c r="CU744" s="86"/>
      <c r="CV744" s="86"/>
      <c r="CW744" s="86"/>
      <c r="CX744" s="86"/>
      <c r="CY744" s="86"/>
      <c r="CZ744" s="86"/>
      <c r="DA744" s="86"/>
      <c r="DB744" s="86"/>
      <c r="DC744" s="86"/>
      <c r="DD744" s="86"/>
      <c r="DE744" s="86"/>
      <c r="DF744" s="86"/>
      <c r="DG744" s="86"/>
      <c r="DH744" s="86"/>
      <c r="DI744" s="86"/>
      <c r="DJ744" s="86"/>
      <c r="DK744" s="86"/>
      <c r="DL744" s="86"/>
      <c r="DM744" s="86"/>
      <c r="DN744" s="86"/>
      <c r="DO744" s="86"/>
      <c r="DP744" s="86"/>
      <c r="DQ744" s="86"/>
      <c r="DR744" s="118"/>
      <c r="DS744" s="118"/>
      <c r="DT744" s="86"/>
      <c r="DU744" s="86"/>
      <c r="DV744" s="86"/>
      <c r="DW744" s="86"/>
      <c r="DX744" s="86"/>
      <c r="DY744" s="86"/>
      <c r="DZ744" s="86"/>
      <c r="EA744" s="86"/>
      <c r="EB744" s="86"/>
      <c r="EC744" s="86"/>
      <c r="ED744" s="86"/>
      <c r="EE744" s="47">
        <f t="shared" si="470"/>
        <v>0</v>
      </c>
      <c r="EF744" s="86"/>
      <c r="EG744" s="86"/>
      <c r="EH744" s="86"/>
      <c r="EI744" s="86"/>
      <c r="EJ744" s="86"/>
      <c r="EK744" s="86"/>
      <c r="EL744" s="90">
        <f t="shared" si="466"/>
        <v>0</v>
      </c>
      <c r="EM744" s="86"/>
      <c r="EN744" s="90">
        <f t="shared" si="467"/>
        <v>0</v>
      </c>
    </row>
    <row r="745" spans="1:144" ht="15" customHeight="1" x14ac:dyDescent="0.25">
      <c r="A745" s="86"/>
      <c r="B745" s="88">
        <v>121</v>
      </c>
      <c r="C745" s="86"/>
      <c r="D745" s="87"/>
      <c r="E745" s="86"/>
      <c r="F745" s="86"/>
      <c r="G745" s="86"/>
      <c r="H745" s="86"/>
      <c r="I745" s="86"/>
      <c r="J745" s="86"/>
      <c r="K745" s="86"/>
      <c r="L745" s="86"/>
      <c r="M745" s="86"/>
      <c r="N745" s="88"/>
      <c r="O745" s="88"/>
      <c r="P745" s="86"/>
      <c r="Q745" s="168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>
        <f t="shared" si="468"/>
        <v>0</v>
      </c>
      <c r="AO745" s="86"/>
      <c r="AP745" s="86"/>
      <c r="AQ745" s="86"/>
      <c r="AR745" s="86"/>
      <c r="AS745" s="86"/>
      <c r="AT745" s="86"/>
      <c r="AU745" s="86"/>
      <c r="AV745" s="86"/>
      <c r="AW745" s="86"/>
      <c r="AX745" s="86"/>
      <c r="AY745" s="86"/>
      <c r="AZ745" s="86"/>
      <c r="BA745" s="86"/>
      <c r="BB745" s="86"/>
      <c r="BC745" s="86"/>
      <c r="BD745" s="86"/>
      <c r="BE745" s="86"/>
      <c r="BF745" s="86"/>
      <c r="BG745" s="86"/>
      <c r="BH745" s="86"/>
      <c r="BI745" s="86"/>
      <c r="BJ745" s="86"/>
      <c r="BK745" s="86"/>
      <c r="BL745" s="86"/>
      <c r="BM745" s="86"/>
      <c r="BN745" s="86"/>
      <c r="BO745" s="86"/>
      <c r="BP745" s="86"/>
      <c r="BQ745" s="86"/>
      <c r="BR745" s="86"/>
      <c r="BS745" s="86"/>
      <c r="BT745" s="86"/>
      <c r="BU745" s="86"/>
      <c r="BV745" s="86"/>
      <c r="BW745" s="86"/>
      <c r="BX745" s="86"/>
      <c r="BY745" s="86"/>
      <c r="BZ745" s="86"/>
      <c r="CA745" s="86"/>
      <c r="CB745" s="86"/>
      <c r="CC745" s="86"/>
      <c r="CD745" s="86"/>
      <c r="CE745" s="86"/>
      <c r="CF745" s="86"/>
      <c r="CG745" s="86"/>
      <c r="CH745" s="86"/>
      <c r="CI745" s="86"/>
      <c r="CJ745" s="86"/>
      <c r="CK745" s="86"/>
      <c r="CL745" s="86"/>
      <c r="CM745" s="86"/>
      <c r="CN745" s="86"/>
      <c r="CO745" s="86"/>
      <c r="CP745" s="86"/>
      <c r="CQ745" s="86"/>
      <c r="CR745" s="86">
        <f t="shared" si="464"/>
        <v>0</v>
      </c>
      <c r="CS745" s="86"/>
      <c r="CT745" s="86"/>
      <c r="CU745" s="86"/>
      <c r="CV745" s="86"/>
      <c r="CW745" s="86"/>
      <c r="CX745" s="86"/>
      <c r="CY745" s="86"/>
      <c r="CZ745" s="86"/>
      <c r="DA745" s="86"/>
      <c r="DB745" s="86"/>
      <c r="DC745" s="86"/>
      <c r="DD745" s="86"/>
      <c r="DE745" s="86"/>
      <c r="DF745" s="86"/>
      <c r="DG745" s="86"/>
      <c r="DH745" s="86"/>
      <c r="DI745" s="86"/>
      <c r="DJ745" s="86"/>
      <c r="DK745" s="86"/>
      <c r="DL745" s="86"/>
      <c r="DM745" s="86"/>
      <c r="DN745" s="86"/>
      <c r="DO745" s="86"/>
      <c r="DP745" s="86"/>
      <c r="DQ745" s="86"/>
      <c r="DR745" s="118"/>
      <c r="DS745" s="118"/>
      <c r="DT745" s="86"/>
      <c r="DU745" s="86"/>
      <c r="DV745" s="86"/>
      <c r="DW745" s="86"/>
      <c r="DX745" s="86"/>
      <c r="DY745" s="86"/>
      <c r="DZ745" s="86"/>
      <c r="EA745" s="86"/>
      <c r="EB745" s="86"/>
      <c r="EC745" s="86"/>
      <c r="ED745" s="86"/>
      <c r="EE745" s="47">
        <f t="shared" si="470"/>
        <v>0</v>
      </c>
      <c r="EF745" s="86"/>
      <c r="EG745" s="86"/>
      <c r="EH745" s="86"/>
      <c r="EI745" s="86"/>
      <c r="EJ745" s="86"/>
      <c r="EK745" s="86"/>
      <c r="EL745" s="90">
        <f t="shared" si="466"/>
        <v>0</v>
      </c>
      <c r="EM745" s="86"/>
      <c r="EN745" s="90">
        <f t="shared" si="467"/>
        <v>0</v>
      </c>
    </row>
    <row r="746" spans="1:144" ht="15" customHeight="1" x14ac:dyDescent="0.25">
      <c r="A746" s="86"/>
      <c r="B746" s="88">
        <v>122</v>
      </c>
      <c r="C746" s="86"/>
      <c r="D746" s="87"/>
      <c r="E746" s="86"/>
      <c r="F746" s="86"/>
      <c r="G746" s="86"/>
      <c r="H746" s="86"/>
      <c r="I746" s="86"/>
      <c r="J746" s="86"/>
      <c r="K746" s="86"/>
      <c r="L746" s="86"/>
      <c r="M746" s="86"/>
      <c r="N746" s="88"/>
      <c r="O746" s="88"/>
      <c r="P746" s="86"/>
      <c r="Q746" s="168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>
        <f t="shared" si="468"/>
        <v>0</v>
      </c>
      <c r="AO746" s="86"/>
      <c r="AP746" s="86"/>
      <c r="AQ746" s="86"/>
      <c r="AR746" s="86"/>
      <c r="AS746" s="86"/>
      <c r="AT746" s="86"/>
      <c r="AU746" s="86"/>
      <c r="AV746" s="86"/>
      <c r="AW746" s="86"/>
      <c r="AX746" s="86"/>
      <c r="AY746" s="86"/>
      <c r="AZ746" s="86"/>
      <c r="BA746" s="86"/>
      <c r="BB746" s="86"/>
      <c r="BC746" s="86"/>
      <c r="BD746" s="86"/>
      <c r="BE746" s="86"/>
      <c r="BF746" s="86"/>
      <c r="BG746" s="86"/>
      <c r="BH746" s="86"/>
      <c r="BI746" s="86"/>
      <c r="BJ746" s="86"/>
      <c r="BK746" s="86"/>
      <c r="BL746" s="86"/>
      <c r="BM746" s="86"/>
      <c r="BN746" s="86"/>
      <c r="BO746" s="86"/>
      <c r="BP746" s="86"/>
      <c r="BQ746" s="86"/>
      <c r="BR746" s="86"/>
      <c r="BS746" s="86"/>
      <c r="BT746" s="86"/>
      <c r="BU746" s="86"/>
      <c r="BV746" s="86"/>
      <c r="BW746" s="86"/>
      <c r="BX746" s="86"/>
      <c r="BY746" s="86"/>
      <c r="BZ746" s="86"/>
      <c r="CA746" s="86"/>
      <c r="CB746" s="86"/>
      <c r="CC746" s="86"/>
      <c r="CD746" s="86"/>
      <c r="CE746" s="86"/>
      <c r="CF746" s="86"/>
      <c r="CG746" s="86"/>
      <c r="CH746" s="86"/>
      <c r="CI746" s="86"/>
      <c r="CJ746" s="86"/>
      <c r="CK746" s="86"/>
      <c r="CL746" s="86"/>
      <c r="CM746" s="86"/>
      <c r="CN746" s="86"/>
      <c r="CO746" s="86"/>
      <c r="CP746" s="86"/>
      <c r="CQ746" s="86"/>
      <c r="CR746" s="86">
        <f t="shared" si="464"/>
        <v>0</v>
      </c>
      <c r="CS746" s="86"/>
      <c r="CT746" s="86"/>
      <c r="CU746" s="86"/>
      <c r="CV746" s="86"/>
      <c r="CW746" s="86"/>
      <c r="CX746" s="86"/>
      <c r="CY746" s="86"/>
      <c r="CZ746" s="86"/>
      <c r="DA746" s="86"/>
      <c r="DB746" s="86"/>
      <c r="DC746" s="86"/>
      <c r="DD746" s="86"/>
      <c r="DE746" s="86"/>
      <c r="DF746" s="86"/>
      <c r="DG746" s="86"/>
      <c r="DH746" s="86"/>
      <c r="DI746" s="86"/>
      <c r="DJ746" s="86"/>
      <c r="DK746" s="86"/>
      <c r="DL746" s="86"/>
      <c r="DM746" s="86"/>
      <c r="DN746" s="86"/>
      <c r="DO746" s="86"/>
      <c r="DP746" s="86"/>
      <c r="DQ746" s="86"/>
      <c r="DR746" s="118"/>
      <c r="DS746" s="118"/>
      <c r="DT746" s="86"/>
      <c r="DU746" s="86"/>
      <c r="DV746" s="86"/>
      <c r="DW746" s="86"/>
      <c r="DX746" s="86"/>
      <c r="DY746" s="86"/>
      <c r="DZ746" s="86"/>
      <c r="EA746" s="86"/>
      <c r="EB746" s="86"/>
      <c r="EC746" s="86"/>
      <c r="ED746" s="86"/>
      <c r="EE746" s="47">
        <f t="shared" si="470"/>
        <v>0</v>
      </c>
      <c r="EF746" s="86"/>
      <c r="EG746" s="86"/>
      <c r="EH746" s="86"/>
      <c r="EI746" s="86"/>
      <c r="EJ746" s="86"/>
      <c r="EK746" s="86"/>
      <c r="EL746" s="90">
        <f t="shared" si="466"/>
        <v>0</v>
      </c>
      <c r="EM746" s="86"/>
      <c r="EN746" s="90">
        <f t="shared" si="467"/>
        <v>0</v>
      </c>
    </row>
    <row r="747" spans="1:144" ht="15" customHeight="1" x14ac:dyDescent="0.25">
      <c r="A747" s="86"/>
      <c r="B747" s="88">
        <v>123</v>
      </c>
      <c r="C747" s="86"/>
      <c r="D747" s="87"/>
      <c r="E747" s="86"/>
      <c r="F747" s="86"/>
      <c r="G747" s="86"/>
      <c r="H747" s="86"/>
      <c r="I747" s="86"/>
      <c r="J747" s="86"/>
      <c r="K747" s="86"/>
      <c r="L747" s="86"/>
      <c r="M747" s="86"/>
      <c r="N747" s="88"/>
      <c r="O747" s="88"/>
      <c r="P747" s="86"/>
      <c r="Q747" s="168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>
        <f t="shared" si="468"/>
        <v>0</v>
      </c>
      <c r="AO747" s="86"/>
      <c r="AP747" s="86"/>
      <c r="AQ747" s="86"/>
      <c r="AR747" s="86"/>
      <c r="AS747" s="86"/>
      <c r="AT747" s="86"/>
      <c r="AU747" s="86"/>
      <c r="AV747" s="86"/>
      <c r="AW747" s="86"/>
      <c r="AX747" s="86"/>
      <c r="AY747" s="86"/>
      <c r="AZ747" s="86"/>
      <c r="BA747" s="86"/>
      <c r="BB747" s="86"/>
      <c r="BC747" s="86"/>
      <c r="BD747" s="86"/>
      <c r="BE747" s="86"/>
      <c r="BF747" s="86"/>
      <c r="BG747" s="86"/>
      <c r="BH747" s="86"/>
      <c r="BI747" s="86"/>
      <c r="BJ747" s="86"/>
      <c r="BK747" s="86"/>
      <c r="BL747" s="86"/>
      <c r="BM747" s="86"/>
      <c r="BN747" s="86"/>
      <c r="BO747" s="86"/>
      <c r="BP747" s="86"/>
      <c r="BQ747" s="86"/>
      <c r="BR747" s="86"/>
      <c r="BS747" s="86"/>
      <c r="BT747" s="86"/>
      <c r="BU747" s="86"/>
      <c r="BV747" s="86"/>
      <c r="BW747" s="86"/>
      <c r="BX747" s="86"/>
      <c r="BY747" s="86"/>
      <c r="BZ747" s="86"/>
      <c r="CA747" s="86"/>
      <c r="CB747" s="86"/>
      <c r="CC747" s="86"/>
      <c r="CD747" s="86"/>
      <c r="CE747" s="86"/>
      <c r="CF747" s="86"/>
      <c r="CG747" s="86"/>
      <c r="CH747" s="86"/>
      <c r="CI747" s="86"/>
      <c r="CJ747" s="86"/>
      <c r="CK747" s="86"/>
      <c r="CL747" s="86"/>
      <c r="CM747" s="86"/>
      <c r="CN747" s="86"/>
      <c r="CO747" s="86"/>
      <c r="CP747" s="86"/>
      <c r="CQ747" s="86"/>
      <c r="CR747" s="86">
        <f t="shared" si="464"/>
        <v>0</v>
      </c>
      <c r="CS747" s="86"/>
      <c r="CT747" s="86"/>
      <c r="CU747" s="86"/>
      <c r="CV747" s="86"/>
      <c r="CW747" s="86"/>
      <c r="CX747" s="86"/>
      <c r="CY747" s="86"/>
      <c r="CZ747" s="86"/>
      <c r="DA747" s="86"/>
      <c r="DB747" s="86"/>
      <c r="DC747" s="86"/>
      <c r="DD747" s="86"/>
      <c r="DE747" s="86"/>
      <c r="DF747" s="86"/>
      <c r="DG747" s="86"/>
      <c r="DH747" s="86"/>
      <c r="DI747" s="86"/>
      <c r="DJ747" s="86"/>
      <c r="DK747" s="86"/>
      <c r="DL747" s="86"/>
      <c r="DM747" s="86"/>
      <c r="DN747" s="86"/>
      <c r="DO747" s="86"/>
      <c r="DP747" s="86"/>
      <c r="DQ747" s="86"/>
      <c r="DR747" s="118"/>
      <c r="DS747" s="118"/>
      <c r="DT747" s="86"/>
      <c r="DU747" s="86"/>
      <c r="DV747" s="86"/>
      <c r="DW747" s="86"/>
      <c r="DX747" s="86"/>
      <c r="DY747" s="86"/>
      <c r="DZ747" s="86"/>
      <c r="EA747" s="86"/>
      <c r="EB747" s="86"/>
      <c r="EC747" s="86"/>
      <c r="ED747" s="86"/>
      <c r="EE747" s="47">
        <f t="shared" si="470"/>
        <v>0</v>
      </c>
      <c r="EF747" s="86"/>
      <c r="EG747" s="86"/>
      <c r="EH747" s="86"/>
      <c r="EI747" s="86"/>
      <c r="EJ747" s="86"/>
      <c r="EK747" s="86"/>
      <c r="EL747" s="90">
        <f t="shared" si="466"/>
        <v>0</v>
      </c>
      <c r="EM747" s="86"/>
      <c r="EN747" s="90">
        <f t="shared" si="467"/>
        <v>0</v>
      </c>
    </row>
    <row r="748" spans="1:144" ht="15" customHeight="1" x14ac:dyDescent="0.25">
      <c r="A748" s="86"/>
      <c r="B748" s="88">
        <v>124</v>
      </c>
      <c r="C748" s="86"/>
      <c r="D748" s="87"/>
      <c r="E748" s="86"/>
      <c r="F748" s="86"/>
      <c r="G748" s="86"/>
      <c r="H748" s="86"/>
      <c r="I748" s="86"/>
      <c r="J748" s="86"/>
      <c r="K748" s="86"/>
      <c r="L748" s="86"/>
      <c r="M748" s="86"/>
      <c r="N748" s="88"/>
      <c r="O748" s="88"/>
      <c r="P748" s="86"/>
      <c r="Q748" s="168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>
        <f t="shared" si="468"/>
        <v>0</v>
      </c>
      <c r="AO748" s="86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H748" s="86"/>
      <c r="BI748" s="86"/>
      <c r="BJ748" s="86"/>
      <c r="BK748" s="86"/>
      <c r="BL748" s="86"/>
      <c r="BM748" s="86"/>
      <c r="BN748" s="86"/>
      <c r="BO748" s="86"/>
      <c r="BP748" s="86"/>
      <c r="BQ748" s="86"/>
      <c r="BR748" s="86"/>
      <c r="BS748" s="86"/>
      <c r="BT748" s="86"/>
      <c r="BU748" s="86"/>
      <c r="BV748" s="86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>
        <f t="shared" si="464"/>
        <v>0</v>
      </c>
      <c r="CS748" s="86"/>
      <c r="CT748" s="86"/>
      <c r="CU748" s="86"/>
      <c r="CV748" s="86"/>
      <c r="CW748" s="86"/>
      <c r="CX748" s="86"/>
      <c r="CY748" s="86"/>
      <c r="CZ748" s="86"/>
      <c r="DA748" s="86"/>
      <c r="DB748" s="86"/>
      <c r="DC748" s="86"/>
      <c r="DD748" s="86"/>
      <c r="DE748" s="86"/>
      <c r="DF748" s="86"/>
      <c r="DG748" s="86"/>
      <c r="DH748" s="86"/>
      <c r="DI748" s="86"/>
      <c r="DJ748" s="86"/>
      <c r="DK748" s="86"/>
      <c r="DL748" s="86"/>
      <c r="DM748" s="86"/>
      <c r="DN748" s="86"/>
      <c r="DO748" s="86"/>
      <c r="DP748" s="86"/>
      <c r="DQ748" s="86"/>
      <c r="DR748" s="118"/>
      <c r="DS748" s="118"/>
      <c r="DT748" s="86"/>
      <c r="DU748" s="86"/>
      <c r="DV748" s="86"/>
      <c r="DW748" s="86"/>
      <c r="DX748" s="86"/>
      <c r="DY748" s="86"/>
      <c r="DZ748" s="86"/>
      <c r="EA748" s="86"/>
      <c r="EB748" s="86"/>
      <c r="EC748" s="86"/>
      <c r="ED748" s="86"/>
      <c r="EE748" s="47">
        <f t="shared" si="470"/>
        <v>0</v>
      </c>
      <c r="EF748" s="86"/>
      <c r="EG748" s="86"/>
      <c r="EH748" s="86"/>
      <c r="EI748" s="86"/>
      <c r="EJ748" s="86"/>
      <c r="EK748" s="86"/>
      <c r="EL748" s="90">
        <f t="shared" si="466"/>
        <v>0</v>
      </c>
      <c r="EM748" s="86"/>
      <c r="EN748" s="90">
        <f t="shared" si="467"/>
        <v>0</v>
      </c>
    </row>
    <row r="749" spans="1:144" ht="15" customHeight="1" x14ac:dyDescent="0.25">
      <c r="A749" s="86"/>
      <c r="B749" s="88">
        <v>125</v>
      </c>
      <c r="C749" s="86"/>
      <c r="D749" s="87"/>
      <c r="E749" s="86"/>
      <c r="F749" s="86"/>
      <c r="G749" s="86"/>
      <c r="H749" s="86"/>
      <c r="I749" s="86"/>
      <c r="J749" s="86"/>
      <c r="K749" s="86"/>
      <c r="L749" s="86"/>
      <c r="M749" s="86"/>
      <c r="N749" s="88"/>
      <c r="O749" s="88"/>
      <c r="P749" s="86"/>
      <c r="Q749" s="168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>
        <f t="shared" si="468"/>
        <v>0</v>
      </c>
      <c r="AO749" s="86"/>
      <c r="AP749" s="86"/>
      <c r="AQ749" s="86"/>
      <c r="AR749" s="86"/>
      <c r="AS749" s="86"/>
      <c r="AT749" s="86"/>
      <c r="AU749" s="86"/>
      <c r="AV749" s="86"/>
      <c r="AW749" s="86"/>
      <c r="AX749" s="86"/>
      <c r="AY749" s="86"/>
      <c r="AZ749" s="86"/>
      <c r="BA749" s="86"/>
      <c r="BB749" s="86"/>
      <c r="BC749" s="86"/>
      <c r="BD749" s="86"/>
      <c r="BE749" s="86"/>
      <c r="BF749" s="86"/>
      <c r="BG749" s="86"/>
      <c r="BH749" s="86"/>
      <c r="BI749" s="86"/>
      <c r="BJ749" s="86"/>
      <c r="BK749" s="86"/>
      <c r="BL749" s="86"/>
      <c r="BM749" s="86"/>
      <c r="BN749" s="86"/>
      <c r="BO749" s="86"/>
      <c r="BP749" s="86"/>
      <c r="BQ749" s="86"/>
      <c r="BR749" s="86"/>
      <c r="BS749" s="86"/>
      <c r="BT749" s="86"/>
      <c r="BU749" s="86"/>
      <c r="BV749" s="86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  <c r="CO749" s="86"/>
      <c r="CP749" s="86"/>
      <c r="CQ749" s="86"/>
      <c r="CR749" s="86">
        <f t="shared" si="464"/>
        <v>0</v>
      </c>
      <c r="CS749" s="86"/>
      <c r="CT749" s="86"/>
      <c r="CU749" s="86"/>
      <c r="CV749" s="86"/>
      <c r="CW749" s="86"/>
      <c r="CX749" s="86"/>
      <c r="CY749" s="86"/>
      <c r="CZ749" s="86"/>
      <c r="DA749" s="86"/>
      <c r="DB749" s="86"/>
      <c r="DC749" s="86"/>
      <c r="DD749" s="86"/>
      <c r="DE749" s="86"/>
      <c r="DF749" s="86"/>
      <c r="DG749" s="86"/>
      <c r="DH749" s="86"/>
      <c r="DI749" s="86"/>
      <c r="DJ749" s="86"/>
      <c r="DK749" s="86"/>
      <c r="DL749" s="86"/>
      <c r="DM749" s="86"/>
      <c r="DN749" s="86"/>
      <c r="DO749" s="86"/>
      <c r="DP749" s="86"/>
      <c r="DQ749" s="86"/>
      <c r="DR749" s="118"/>
      <c r="DS749" s="118"/>
      <c r="DT749" s="86"/>
      <c r="DU749" s="86"/>
      <c r="DV749" s="86"/>
      <c r="DW749" s="86"/>
      <c r="DX749" s="86"/>
      <c r="DY749" s="86"/>
      <c r="DZ749" s="86"/>
      <c r="EA749" s="86"/>
      <c r="EB749" s="86"/>
      <c r="EC749" s="86"/>
      <c r="ED749" s="86"/>
      <c r="EE749" s="47">
        <f t="shared" si="470"/>
        <v>0</v>
      </c>
      <c r="EF749" s="86"/>
      <c r="EG749" s="86"/>
      <c r="EH749" s="86"/>
      <c r="EI749" s="86"/>
      <c r="EJ749" s="86"/>
      <c r="EK749" s="86"/>
      <c r="EL749" s="90">
        <f t="shared" si="466"/>
        <v>0</v>
      </c>
      <c r="EM749" s="86"/>
      <c r="EN749" s="90">
        <f t="shared" si="467"/>
        <v>0</v>
      </c>
    </row>
    <row r="750" spans="1:144" ht="15" customHeight="1" x14ac:dyDescent="0.25">
      <c r="A750" s="86"/>
      <c r="B750" s="88">
        <v>126</v>
      </c>
      <c r="C750" s="86"/>
      <c r="D750" s="87"/>
      <c r="E750" s="86"/>
      <c r="F750" s="86"/>
      <c r="G750" s="86"/>
      <c r="H750" s="86"/>
      <c r="I750" s="86"/>
      <c r="J750" s="86"/>
      <c r="K750" s="86"/>
      <c r="L750" s="86"/>
      <c r="M750" s="86"/>
      <c r="N750" s="88"/>
      <c r="O750" s="88"/>
      <c r="P750" s="86"/>
      <c r="Q750" s="168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>
        <f t="shared" si="468"/>
        <v>0</v>
      </c>
      <c r="AO750" s="86"/>
      <c r="AP750" s="86"/>
      <c r="AQ750" s="86"/>
      <c r="AR750" s="86"/>
      <c r="AS750" s="86"/>
      <c r="AT750" s="86"/>
      <c r="AU750" s="86"/>
      <c r="AV750" s="86"/>
      <c r="AW750" s="86"/>
      <c r="AX750" s="86"/>
      <c r="AY750" s="86"/>
      <c r="AZ750" s="86"/>
      <c r="BA750" s="86"/>
      <c r="BB750" s="86"/>
      <c r="BC750" s="86"/>
      <c r="BD750" s="86"/>
      <c r="BE750" s="86"/>
      <c r="BF750" s="86"/>
      <c r="BG750" s="86"/>
      <c r="BH750" s="86"/>
      <c r="BI750" s="86"/>
      <c r="BJ750" s="86"/>
      <c r="BK750" s="86"/>
      <c r="BL750" s="86"/>
      <c r="BM750" s="86"/>
      <c r="BN750" s="86"/>
      <c r="BO750" s="86"/>
      <c r="BP750" s="86"/>
      <c r="BQ750" s="86"/>
      <c r="BR750" s="86"/>
      <c r="BS750" s="86"/>
      <c r="BT750" s="86"/>
      <c r="BU750" s="86"/>
      <c r="BV750" s="86"/>
      <c r="BW750" s="86"/>
      <c r="BX750" s="86"/>
      <c r="BY750" s="86"/>
      <c r="BZ750" s="86"/>
      <c r="CA750" s="86"/>
      <c r="CB750" s="86"/>
      <c r="CC750" s="86"/>
      <c r="CD750" s="86"/>
      <c r="CE750" s="86"/>
      <c r="CF750" s="86"/>
      <c r="CG750" s="86"/>
      <c r="CH750" s="86"/>
      <c r="CI750" s="86"/>
      <c r="CJ750" s="86"/>
      <c r="CK750" s="86"/>
      <c r="CL750" s="86"/>
      <c r="CM750" s="86"/>
      <c r="CN750" s="86"/>
      <c r="CO750" s="86"/>
      <c r="CP750" s="86"/>
      <c r="CQ750" s="86"/>
      <c r="CR750" s="86">
        <f t="shared" si="464"/>
        <v>0</v>
      </c>
      <c r="CS750" s="86"/>
      <c r="CT750" s="86"/>
      <c r="CU750" s="86"/>
      <c r="CV750" s="86"/>
      <c r="CW750" s="86"/>
      <c r="CX750" s="86"/>
      <c r="CY750" s="86"/>
      <c r="CZ750" s="86"/>
      <c r="DA750" s="86"/>
      <c r="DB750" s="86"/>
      <c r="DC750" s="86"/>
      <c r="DD750" s="86"/>
      <c r="DE750" s="86"/>
      <c r="DF750" s="86"/>
      <c r="DG750" s="86"/>
      <c r="DH750" s="86"/>
      <c r="DI750" s="86"/>
      <c r="DJ750" s="86"/>
      <c r="DK750" s="86"/>
      <c r="DL750" s="86"/>
      <c r="DM750" s="86"/>
      <c r="DN750" s="86"/>
      <c r="DO750" s="86"/>
      <c r="DP750" s="86"/>
      <c r="DQ750" s="86"/>
      <c r="DR750" s="118"/>
      <c r="DS750" s="118"/>
      <c r="DT750" s="86"/>
      <c r="DU750" s="86"/>
      <c r="DV750" s="86"/>
      <c r="DW750" s="86"/>
      <c r="DX750" s="86"/>
      <c r="DY750" s="86"/>
      <c r="DZ750" s="86"/>
      <c r="EA750" s="86"/>
      <c r="EB750" s="86"/>
      <c r="EC750" s="86"/>
      <c r="ED750" s="86"/>
      <c r="EE750" s="47">
        <f t="shared" si="470"/>
        <v>0</v>
      </c>
      <c r="EF750" s="86"/>
      <c r="EG750" s="86"/>
      <c r="EH750" s="86"/>
      <c r="EI750" s="86"/>
      <c r="EJ750" s="86"/>
      <c r="EK750" s="86"/>
      <c r="EL750" s="90">
        <f t="shared" si="466"/>
        <v>0</v>
      </c>
      <c r="EM750" s="86"/>
      <c r="EN750" s="90">
        <f t="shared" si="467"/>
        <v>0</v>
      </c>
    </row>
    <row r="751" spans="1:144" ht="15" customHeight="1" x14ac:dyDescent="0.25">
      <c r="A751" s="86"/>
      <c r="B751" s="88">
        <v>127</v>
      </c>
      <c r="C751" s="86"/>
      <c r="D751" s="87"/>
      <c r="E751" s="86"/>
      <c r="F751" s="86"/>
      <c r="G751" s="86"/>
      <c r="H751" s="86"/>
      <c r="I751" s="86"/>
      <c r="J751" s="86"/>
      <c r="K751" s="86"/>
      <c r="L751" s="86"/>
      <c r="M751" s="86"/>
      <c r="N751" s="88"/>
      <c r="O751" s="88"/>
      <c r="P751" s="86"/>
      <c r="Q751" s="168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>
        <f t="shared" si="468"/>
        <v>0</v>
      </c>
      <c r="AO751" s="86"/>
      <c r="AP751" s="86"/>
      <c r="AQ751" s="86"/>
      <c r="AR751" s="86"/>
      <c r="AS751" s="86"/>
      <c r="AT751" s="86"/>
      <c r="AU751" s="86"/>
      <c r="AV751" s="86"/>
      <c r="AW751" s="86"/>
      <c r="AX751" s="86"/>
      <c r="AY751" s="86"/>
      <c r="AZ751" s="86"/>
      <c r="BA751" s="86"/>
      <c r="BB751" s="86"/>
      <c r="BC751" s="86"/>
      <c r="BD751" s="86"/>
      <c r="BE751" s="86"/>
      <c r="BF751" s="86"/>
      <c r="BG751" s="86"/>
      <c r="BH751" s="86"/>
      <c r="BI751" s="86"/>
      <c r="BJ751" s="86"/>
      <c r="BK751" s="86"/>
      <c r="BL751" s="86"/>
      <c r="BM751" s="86"/>
      <c r="BN751" s="86"/>
      <c r="BO751" s="86"/>
      <c r="BP751" s="86"/>
      <c r="BQ751" s="86"/>
      <c r="BR751" s="86"/>
      <c r="BS751" s="86"/>
      <c r="BT751" s="86"/>
      <c r="BU751" s="86"/>
      <c r="BV751" s="86"/>
      <c r="BW751" s="86"/>
      <c r="BX751" s="86"/>
      <c r="BY751" s="86"/>
      <c r="BZ751" s="86"/>
      <c r="CA751" s="86"/>
      <c r="CB751" s="86"/>
      <c r="CC751" s="86"/>
      <c r="CD751" s="86"/>
      <c r="CE751" s="86"/>
      <c r="CF751" s="86"/>
      <c r="CG751" s="86"/>
      <c r="CH751" s="86"/>
      <c r="CI751" s="86"/>
      <c r="CJ751" s="86"/>
      <c r="CK751" s="86"/>
      <c r="CL751" s="86"/>
      <c r="CM751" s="86"/>
      <c r="CN751" s="86"/>
      <c r="CO751" s="86"/>
      <c r="CP751" s="86"/>
      <c r="CQ751" s="86"/>
      <c r="CR751" s="86">
        <f t="shared" si="464"/>
        <v>0</v>
      </c>
      <c r="CS751" s="86"/>
      <c r="CT751" s="86"/>
      <c r="CU751" s="86"/>
      <c r="CV751" s="86"/>
      <c r="CW751" s="86"/>
      <c r="CX751" s="86"/>
      <c r="CY751" s="86"/>
      <c r="CZ751" s="86"/>
      <c r="DA751" s="86"/>
      <c r="DB751" s="86"/>
      <c r="DC751" s="86"/>
      <c r="DD751" s="86"/>
      <c r="DE751" s="86"/>
      <c r="DF751" s="86"/>
      <c r="DG751" s="86"/>
      <c r="DH751" s="86"/>
      <c r="DI751" s="86"/>
      <c r="DJ751" s="86"/>
      <c r="DK751" s="86"/>
      <c r="DL751" s="86"/>
      <c r="DM751" s="86"/>
      <c r="DN751" s="86"/>
      <c r="DO751" s="86"/>
      <c r="DP751" s="86"/>
      <c r="DQ751" s="86"/>
      <c r="DR751" s="118"/>
      <c r="DS751" s="118"/>
      <c r="DT751" s="86"/>
      <c r="DU751" s="86"/>
      <c r="DV751" s="86"/>
      <c r="DW751" s="86"/>
      <c r="DX751" s="86"/>
      <c r="DY751" s="86"/>
      <c r="DZ751" s="86"/>
      <c r="EA751" s="86"/>
      <c r="EB751" s="86"/>
      <c r="EC751" s="86"/>
      <c r="ED751" s="86"/>
      <c r="EE751" s="47">
        <f t="shared" si="470"/>
        <v>0</v>
      </c>
      <c r="EF751" s="86"/>
      <c r="EG751" s="86"/>
      <c r="EH751" s="86"/>
      <c r="EI751" s="86"/>
      <c r="EJ751" s="86"/>
      <c r="EK751" s="86"/>
      <c r="EL751" s="90">
        <f t="shared" si="466"/>
        <v>0</v>
      </c>
      <c r="EM751" s="86"/>
      <c r="EN751" s="90">
        <f t="shared" si="467"/>
        <v>0</v>
      </c>
    </row>
    <row r="752" spans="1:144" ht="15" customHeight="1" x14ac:dyDescent="0.25">
      <c r="A752" s="86"/>
      <c r="B752" s="88">
        <v>128</v>
      </c>
      <c r="C752" s="86"/>
      <c r="D752" s="87"/>
      <c r="E752" s="86"/>
      <c r="F752" s="86"/>
      <c r="G752" s="86"/>
      <c r="H752" s="86"/>
      <c r="I752" s="86"/>
      <c r="J752" s="86"/>
      <c r="K752" s="86"/>
      <c r="L752" s="86"/>
      <c r="M752" s="86"/>
      <c r="N752" s="88"/>
      <c r="O752" s="88"/>
      <c r="P752" s="86"/>
      <c r="Q752" s="168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>
        <f t="shared" si="468"/>
        <v>0</v>
      </c>
      <c r="AO752" s="86"/>
      <c r="AP752" s="86"/>
      <c r="AQ752" s="86"/>
      <c r="AR752" s="86"/>
      <c r="AS752" s="86"/>
      <c r="AT752" s="86"/>
      <c r="AU752" s="86"/>
      <c r="AV752" s="86"/>
      <c r="AW752" s="86"/>
      <c r="AX752" s="86"/>
      <c r="AY752" s="86"/>
      <c r="AZ752" s="86"/>
      <c r="BA752" s="86"/>
      <c r="BB752" s="86"/>
      <c r="BC752" s="86"/>
      <c r="BD752" s="86"/>
      <c r="BE752" s="86"/>
      <c r="BF752" s="86"/>
      <c r="BG752" s="86"/>
      <c r="BH752" s="86"/>
      <c r="BI752" s="86"/>
      <c r="BJ752" s="86"/>
      <c r="BK752" s="86"/>
      <c r="BL752" s="86"/>
      <c r="BM752" s="86"/>
      <c r="BN752" s="86"/>
      <c r="BO752" s="86"/>
      <c r="BP752" s="86"/>
      <c r="BQ752" s="86"/>
      <c r="BR752" s="86"/>
      <c r="BS752" s="86"/>
      <c r="BT752" s="86"/>
      <c r="BU752" s="86"/>
      <c r="BV752" s="86"/>
      <c r="BW752" s="86"/>
      <c r="BX752" s="86"/>
      <c r="BY752" s="86"/>
      <c r="BZ752" s="86"/>
      <c r="CA752" s="86"/>
      <c r="CB752" s="86"/>
      <c r="CC752" s="86"/>
      <c r="CD752" s="86"/>
      <c r="CE752" s="86"/>
      <c r="CF752" s="86"/>
      <c r="CG752" s="86"/>
      <c r="CH752" s="86"/>
      <c r="CI752" s="86"/>
      <c r="CJ752" s="86"/>
      <c r="CK752" s="86"/>
      <c r="CL752" s="86"/>
      <c r="CM752" s="86"/>
      <c r="CN752" s="86"/>
      <c r="CO752" s="86"/>
      <c r="CP752" s="86"/>
      <c r="CQ752" s="86"/>
      <c r="CR752" s="86">
        <f t="shared" si="464"/>
        <v>0</v>
      </c>
      <c r="CS752" s="86"/>
      <c r="CT752" s="86"/>
      <c r="CU752" s="86"/>
      <c r="CV752" s="86"/>
      <c r="CW752" s="86"/>
      <c r="CX752" s="86"/>
      <c r="CY752" s="86"/>
      <c r="CZ752" s="86"/>
      <c r="DA752" s="86"/>
      <c r="DB752" s="86"/>
      <c r="DC752" s="86"/>
      <c r="DD752" s="86"/>
      <c r="DE752" s="86"/>
      <c r="DF752" s="86"/>
      <c r="DG752" s="86"/>
      <c r="DH752" s="86"/>
      <c r="DI752" s="86"/>
      <c r="DJ752" s="86"/>
      <c r="DK752" s="86"/>
      <c r="DL752" s="86"/>
      <c r="DM752" s="86"/>
      <c r="DN752" s="86"/>
      <c r="DO752" s="86"/>
      <c r="DP752" s="86"/>
      <c r="DQ752" s="86"/>
      <c r="DR752" s="118"/>
      <c r="DS752" s="118"/>
      <c r="DT752" s="86"/>
      <c r="DU752" s="86"/>
      <c r="DV752" s="86"/>
      <c r="DW752" s="86"/>
      <c r="DX752" s="86"/>
      <c r="DY752" s="86"/>
      <c r="DZ752" s="86"/>
      <c r="EA752" s="86"/>
      <c r="EB752" s="86"/>
      <c r="EC752" s="86"/>
      <c r="ED752" s="86"/>
      <c r="EE752" s="47">
        <f t="shared" si="470"/>
        <v>0</v>
      </c>
      <c r="EF752" s="86"/>
      <c r="EG752" s="86"/>
      <c r="EH752" s="86"/>
      <c r="EI752" s="86"/>
      <c r="EJ752" s="86"/>
      <c r="EK752" s="86"/>
      <c r="EL752" s="90">
        <f t="shared" si="466"/>
        <v>0</v>
      </c>
      <c r="EM752" s="86"/>
      <c r="EN752" s="90">
        <f t="shared" si="467"/>
        <v>0</v>
      </c>
    </row>
    <row r="753" spans="1:144" ht="15" customHeight="1" x14ac:dyDescent="0.25">
      <c r="A753" s="86"/>
      <c r="B753" s="88">
        <v>129</v>
      </c>
      <c r="C753" s="86"/>
      <c r="D753" s="87"/>
      <c r="E753" s="86"/>
      <c r="F753" s="86"/>
      <c r="G753" s="86"/>
      <c r="H753" s="86"/>
      <c r="I753" s="86"/>
      <c r="J753" s="86"/>
      <c r="K753" s="86"/>
      <c r="L753" s="86"/>
      <c r="M753" s="86"/>
      <c r="N753" s="88"/>
      <c r="O753" s="88"/>
      <c r="P753" s="86"/>
      <c r="Q753" s="168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>
        <f t="shared" si="468"/>
        <v>0</v>
      </c>
      <c r="AO753" s="86"/>
      <c r="AP753" s="86"/>
      <c r="AQ753" s="86"/>
      <c r="AR753" s="86"/>
      <c r="AS753" s="86"/>
      <c r="AT753" s="86"/>
      <c r="AU753" s="86"/>
      <c r="AV753" s="86"/>
      <c r="AW753" s="86"/>
      <c r="AX753" s="86"/>
      <c r="AY753" s="86"/>
      <c r="AZ753" s="86"/>
      <c r="BA753" s="86"/>
      <c r="BB753" s="86"/>
      <c r="BC753" s="86"/>
      <c r="BD753" s="86"/>
      <c r="BE753" s="86"/>
      <c r="BF753" s="86"/>
      <c r="BG753" s="86"/>
      <c r="BH753" s="86"/>
      <c r="BI753" s="86"/>
      <c r="BJ753" s="86"/>
      <c r="BK753" s="86"/>
      <c r="BL753" s="86"/>
      <c r="BM753" s="86"/>
      <c r="BN753" s="86"/>
      <c r="BO753" s="86"/>
      <c r="BP753" s="86"/>
      <c r="BQ753" s="86"/>
      <c r="BR753" s="86"/>
      <c r="BS753" s="86"/>
      <c r="BT753" s="86"/>
      <c r="BU753" s="86"/>
      <c r="BV753" s="86"/>
      <c r="BW753" s="86"/>
      <c r="BX753" s="86"/>
      <c r="BY753" s="86"/>
      <c r="BZ753" s="86"/>
      <c r="CA753" s="86"/>
      <c r="CB753" s="86"/>
      <c r="CC753" s="86"/>
      <c r="CD753" s="86"/>
      <c r="CE753" s="86"/>
      <c r="CF753" s="86"/>
      <c r="CG753" s="86"/>
      <c r="CH753" s="86"/>
      <c r="CI753" s="86"/>
      <c r="CJ753" s="86"/>
      <c r="CK753" s="86"/>
      <c r="CL753" s="86"/>
      <c r="CM753" s="86"/>
      <c r="CN753" s="86"/>
      <c r="CO753" s="86"/>
      <c r="CP753" s="86"/>
      <c r="CQ753" s="86"/>
      <c r="CR753" s="86">
        <f t="shared" si="464"/>
        <v>0</v>
      </c>
      <c r="CS753" s="86"/>
      <c r="CT753" s="86"/>
      <c r="CU753" s="86"/>
      <c r="CV753" s="86"/>
      <c r="CW753" s="86"/>
      <c r="CX753" s="86"/>
      <c r="CY753" s="86"/>
      <c r="CZ753" s="86"/>
      <c r="DA753" s="86"/>
      <c r="DB753" s="86"/>
      <c r="DC753" s="86"/>
      <c r="DD753" s="86"/>
      <c r="DE753" s="86"/>
      <c r="DF753" s="86"/>
      <c r="DG753" s="86"/>
      <c r="DH753" s="86"/>
      <c r="DI753" s="86"/>
      <c r="DJ753" s="86"/>
      <c r="DK753" s="86"/>
      <c r="DL753" s="86"/>
      <c r="DM753" s="86"/>
      <c r="DN753" s="86"/>
      <c r="DO753" s="86"/>
      <c r="DP753" s="86"/>
      <c r="DQ753" s="86"/>
      <c r="DR753" s="118"/>
      <c r="DS753" s="118"/>
      <c r="DT753" s="86"/>
      <c r="DU753" s="86"/>
      <c r="DV753" s="86"/>
      <c r="DW753" s="86"/>
      <c r="DX753" s="86"/>
      <c r="DY753" s="86"/>
      <c r="DZ753" s="86"/>
      <c r="EA753" s="86"/>
      <c r="EB753" s="86"/>
      <c r="EC753" s="86"/>
      <c r="ED753" s="86"/>
      <c r="EE753" s="47">
        <f t="shared" si="470"/>
        <v>0</v>
      </c>
      <c r="EF753" s="86"/>
      <c r="EG753" s="86"/>
      <c r="EH753" s="86"/>
      <c r="EI753" s="86"/>
      <c r="EJ753" s="86"/>
      <c r="EK753" s="86"/>
      <c r="EL753" s="90">
        <f t="shared" si="466"/>
        <v>0</v>
      </c>
      <c r="EM753" s="86"/>
      <c r="EN753" s="90">
        <f t="shared" si="467"/>
        <v>0</v>
      </c>
    </row>
    <row r="754" spans="1:144" ht="15" customHeight="1" x14ac:dyDescent="0.25">
      <c r="A754" s="86"/>
      <c r="B754" s="88">
        <v>130</v>
      </c>
      <c r="C754" s="86"/>
      <c r="D754" s="87"/>
      <c r="E754" s="86"/>
      <c r="F754" s="86"/>
      <c r="G754" s="86"/>
      <c r="H754" s="86"/>
      <c r="I754" s="86"/>
      <c r="J754" s="86"/>
      <c r="K754" s="86"/>
      <c r="L754" s="86"/>
      <c r="M754" s="86"/>
      <c r="N754" s="88"/>
      <c r="O754" s="88"/>
      <c r="P754" s="86"/>
      <c r="Q754" s="168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>
        <f t="shared" si="468"/>
        <v>0</v>
      </c>
      <c r="AO754" s="86"/>
      <c r="AP754" s="86"/>
      <c r="AQ754" s="86"/>
      <c r="AR754" s="86"/>
      <c r="AS754" s="86"/>
      <c r="AT754" s="86"/>
      <c r="AU754" s="86"/>
      <c r="AV754" s="86"/>
      <c r="AW754" s="86"/>
      <c r="AX754" s="86"/>
      <c r="AY754" s="86"/>
      <c r="AZ754" s="86"/>
      <c r="BA754" s="86"/>
      <c r="BB754" s="86"/>
      <c r="BC754" s="86"/>
      <c r="BD754" s="86"/>
      <c r="BE754" s="86"/>
      <c r="BF754" s="86"/>
      <c r="BG754" s="86"/>
      <c r="BH754" s="86"/>
      <c r="BI754" s="86"/>
      <c r="BJ754" s="86"/>
      <c r="BK754" s="86"/>
      <c r="BL754" s="86"/>
      <c r="BM754" s="86"/>
      <c r="BN754" s="86"/>
      <c r="BO754" s="86"/>
      <c r="BP754" s="86"/>
      <c r="BQ754" s="86"/>
      <c r="BR754" s="86"/>
      <c r="BS754" s="86"/>
      <c r="BT754" s="86"/>
      <c r="BU754" s="86"/>
      <c r="BV754" s="86"/>
      <c r="BW754" s="86"/>
      <c r="BX754" s="86"/>
      <c r="BY754" s="86"/>
      <c r="BZ754" s="86"/>
      <c r="CA754" s="86"/>
      <c r="CB754" s="86"/>
      <c r="CC754" s="86"/>
      <c r="CD754" s="86"/>
      <c r="CE754" s="86"/>
      <c r="CF754" s="86"/>
      <c r="CG754" s="86"/>
      <c r="CH754" s="86"/>
      <c r="CI754" s="86"/>
      <c r="CJ754" s="86"/>
      <c r="CK754" s="86"/>
      <c r="CL754" s="86"/>
      <c r="CM754" s="86"/>
      <c r="CN754" s="86"/>
      <c r="CO754" s="86"/>
      <c r="CP754" s="86"/>
      <c r="CQ754" s="86"/>
      <c r="CR754" s="86">
        <f t="shared" si="464"/>
        <v>0</v>
      </c>
      <c r="CS754" s="86"/>
      <c r="CT754" s="86"/>
      <c r="CU754" s="86"/>
      <c r="CV754" s="86"/>
      <c r="CW754" s="86"/>
      <c r="CX754" s="86"/>
      <c r="CY754" s="86"/>
      <c r="CZ754" s="86"/>
      <c r="DA754" s="86"/>
      <c r="DB754" s="86"/>
      <c r="DC754" s="86"/>
      <c r="DD754" s="86"/>
      <c r="DE754" s="86"/>
      <c r="DF754" s="86"/>
      <c r="DG754" s="86"/>
      <c r="DH754" s="86"/>
      <c r="DI754" s="86"/>
      <c r="DJ754" s="86"/>
      <c r="DK754" s="86"/>
      <c r="DL754" s="86"/>
      <c r="DM754" s="86"/>
      <c r="DN754" s="86"/>
      <c r="DO754" s="86"/>
      <c r="DP754" s="86"/>
      <c r="DQ754" s="86"/>
      <c r="DR754" s="118"/>
      <c r="DS754" s="118"/>
      <c r="DT754" s="86"/>
      <c r="DU754" s="86"/>
      <c r="DV754" s="86"/>
      <c r="DW754" s="86"/>
      <c r="DX754" s="86"/>
      <c r="DY754" s="86"/>
      <c r="DZ754" s="86"/>
      <c r="EA754" s="86"/>
      <c r="EB754" s="86"/>
      <c r="EC754" s="86"/>
      <c r="ED754" s="86"/>
      <c r="EE754" s="47">
        <f t="shared" si="470"/>
        <v>0</v>
      </c>
      <c r="EF754" s="86"/>
      <c r="EG754" s="86"/>
      <c r="EH754" s="86"/>
      <c r="EI754" s="86"/>
      <c r="EJ754" s="86"/>
      <c r="EK754" s="86"/>
      <c r="EL754" s="90">
        <f t="shared" si="466"/>
        <v>0</v>
      </c>
      <c r="EM754" s="86"/>
      <c r="EN754" s="90">
        <f t="shared" si="467"/>
        <v>0</v>
      </c>
    </row>
    <row r="755" spans="1:144" ht="15" customHeight="1" x14ac:dyDescent="0.25">
      <c r="A755" s="86"/>
      <c r="B755" s="88">
        <v>131</v>
      </c>
      <c r="C755" s="86"/>
      <c r="D755" s="87"/>
      <c r="E755" s="86"/>
      <c r="F755" s="86"/>
      <c r="G755" s="86"/>
      <c r="H755" s="86"/>
      <c r="I755" s="86"/>
      <c r="J755" s="86"/>
      <c r="K755" s="86"/>
      <c r="L755" s="86"/>
      <c r="M755" s="86"/>
      <c r="N755" s="88"/>
      <c r="O755" s="88"/>
      <c r="P755" s="86"/>
      <c r="Q755" s="168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>
        <f t="shared" si="468"/>
        <v>0</v>
      </c>
      <c r="AO755" s="86"/>
      <c r="AP755" s="86"/>
      <c r="AQ755" s="86"/>
      <c r="AR755" s="86"/>
      <c r="AS755" s="86"/>
      <c r="AT755" s="86"/>
      <c r="AU755" s="86"/>
      <c r="AV755" s="86"/>
      <c r="AW755" s="86"/>
      <c r="AX755" s="86"/>
      <c r="AY755" s="86"/>
      <c r="AZ755" s="86"/>
      <c r="BA755" s="86"/>
      <c r="BB755" s="86"/>
      <c r="BC755" s="86"/>
      <c r="BD755" s="86"/>
      <c r="BE755" s="86"/>
      <c r="BF755" s="86"/>
      <c r="BG755" s="86"/>
      <c r="BH755" s="86"/>
      <c r="BI755" s="86"/>
      <c r="BJ755" s="86"/>
      <c r="BK755" s="86"/>
      <c r="BL755" s="86"/>
      <c r="BM755" s="86"/>
      <c r="BN755" s="86"/>
      <c r="BO755" s="86"/>
      <c r="BP755" s="86"/>
      <c r="BQ755" s="86"/>
      <c r="BR755" s="86"/>
      <c r="BS755" s="86"/>
      <c r="BT755" s="86"/>
      <c r="BU755" s="86"/>
      <c r="BV755" s="86"/>
      <c r="BW755" s="86"/>
      <c r="BX755" s="86"/>
      <c r="BY755" s="86"/>
      <c r="BZ755" s="86"/>
      <c r="CA755" s="86"/>
      <c r="CB755" s="86"/>
      <c r="CC755" s="86"/>
      <c r="CD755" s="86"/>
      <c r="CE755" s="86"/>
      <c r="CF755" s="86"/>
      <c r="CG755" s="86"/>
      <c r="CH755" s="86"/>
      <c r="CI755" s="86"/>
      <c r="CJ755" s="86"/>
      <c r="CK755" s="86"/>
      <c r="CL755" s="86"/>
      <c r="CM755" s="86"/>
      <c r="CN755" s="86"/>
      <c r="CO755" s="86"/>
      <c r="CP755" s="86"/>
      <c r="CQ755" s="86"/>
      <c r="CR755" s="86">
        <f t="shared" si="464"/>
        <v>0</v>
      </c>
      <c r="CS755" s="86"/>
      <c r="CT755" s="86"/>
      <c r="CU755" s="86"/>
      <c r="CV755" s="86"/>
      <c r="CW755" s="86"/>
      <c r="CX755" s="86"/>
      <c r="CY755" s="86"/>
      <c r="CZ755" s="86"/>
      <c r="DA755" s="86"/>
      <c r="DB755" s="86"/>
      <c r="DC755" s="86"/>
      <c r="DD755" s="86"/>
      <c r="DE755" s="86"/>
      <c r="DF755" s="86"/>
      <c r="DG755" s="86"/>
      <c r="DH755" s="86"/>
      <c r="DI755" s="86"/>
      <c r="DJ755" s="86"/>
      <c r="DK755" s="86"/>
      <c r="DL755" s="86"/>
      <c r="DM755" s="86"/>
      <c r="DN755" s="86"/>
      <c r="DO755" s="86"/>
      <c r="DP755" s="86"/>
      <c r="DQ755" s="86"/>
      <c r="DR755" s="118"/>
      <c r="DS755" s="118"/>
      <c r="DT755" s="86"/>
      <c r="DU755" s="86"/>
      <c r="DV755" s="86"/>
      <c r="DW755" s="86"/>
      <c r="DX755" s="86"/>
      <c r="DY755" s="86"/>
      <c r="DZ755" s="86"/>
      <c r="EA755" s="86"/>
      <c r="EB755" s="86"/>
      <c r="EC755" s="86"/>
      <c r="ED755" s="86"/>
      <c r="EE755" s="47">
        <f t="shared" si="470"/>
        <v>0</v>
      </c>
      <c r="EF755" s="86"/>
      <c r="EG755" s="86"/>
      <c r="EH755" s="86"/>
      <c r="EI755" s="86"/>
      <c r="EJ755" s="86"/>
      <c r="EK755" s="86"/>
      <c r="EL755" s="90">
        <f t="shared" si="466"/>
        <v>0</v>
      </c>
      <c r="EM755" s="86"/>
      <c r="EN755" s="90">
        <f t="shared" si="467"/>
        <v>0</v>
      </c>
    </row>
    <row r="756" spans="1:144" ht="15" customHeight="1" x14ac:dyDescent="0.25">
      <c r="A756" s="86"/>
      <c r="B756" s="88">
        <v>132</v>
      </c>
      <c r="C756" s="86"/>
      <c r="D756" s="87"/>
      <c r="E756" s="86"/>
      <c r="F756" s="86"/>
      <c r="G756" s="86"/>
      <c r="H756" s="86"/>
      <c r="I756" s="86"/>
      <c r="J756" s="86"/>
      <c r="K756" s="86"/>
      <c r="L756" s="86"/>
      <c r="M756" s="86"/>
      <c r="N756" s="88"/>
      <c r="O756" s="88"/>
      <c r="P756" s="86"/>
      <c r="Q756" s="168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AS756" s="86"/>
      <c r="AT756" s="86"/>
      <c r="AU756" s="86"/>
      <c r="AV756" s="86"/>
      <c r="AW756" s="86"/>
      <c r="AX756" s="86"/>
      <c r="AY756" s="86"/>
      <c r="AZ756" s="86"/>
      <c r="BA756" s="86"/>
      <c r="BB756" s="86"/>
      <c r="BC756" s="86"/>
      <c r="BD756" s="86"/>
      <c r="BE756" s="86"/>
      <c r="BF756" s="86"/>
      <c r="BG756" s="86"/>
      <c r="BH756" s="86"/>
      <c r="BI756" s="86"/>
      <c r="BJ756" s="86"/>
      <c r="BK756" s="86"/>
      <c r="BL756" s="86"/>
      <c r="BM756" s="86"/>
      <c r="BN756" s="86"/>
      <c r="BO756" s="86"/>
      <c r="BP756" s="86"/>
      <c r="BQ756" s="86"/>
      <c r="BR756" s="86"/>
      <c r="BS756" s="86"/>
      <c r="BT756" s="86"/>
      <c r="BU756" s="86"/>
      <c r="BV756" s="86"/>
      <c r="BW756" s="86"/>
      <c r="BX756" s="86"/>
      <c r="BY756" s="86"/>
      <c r="BZ756" s="86"/>
      <c r="CA756" s="86"/>
      <c r="CB756" s="86"/>
      <c r="CC756" s="86"/>
      <c r="CD756" s="86"/>
      <c r="CE756" s="86"/>
      <c r="CF756" s="86"/>
      <c r="CG756" s="86"/>
      <c r="CH756" s="86"/>
      <c r="CI756" s="86"/>
      <c r="CJ756" s="86"/>
      <c r="CK756" s="86"/>
      <c r="CL756" s="86"/>
      <c r="CM756" s="86"/>
      <c r="CN756" s="86"/>
      <c r="CO756" s="86"/>
      <c r="CP756" s="86"/>
      <c r="CQ756" s="86"/>
      <c r="CR756" s="86">
        <f t="shared" si="464"/>
        <v>0</v>
      </c>
      <c r="CS756" s="86"/>
      <c r="CT756" s="86"/>
      <c r="CU756" s="86"/>
      <c r="CV756" s="86"/>
      <c r="CW756" s="86"/>
      <c r="CX756" s="86"/>
      <c r="CY756" s="86"/>
      <c r="CZ756" s="86"/>
      <c r="DA756" s="86"/>
      <c r="DB756" s="86"/>
      <c r="DC756" s="86"/>
      <c r="DD756" s="86"/>
      <c r="DE756" s="86"/>
      <c r="DF756" s="86"/>
      <c r="DG756" s="86"/>
      <c r="DH756" s="86"/>
      <c r="DI756" s="86"/>
      <c r="DJ756" s="86"/>
      <c r="DK756" s="86"/>
      <c r="DL756" s="86"/>
      <c r="DM756" s="86"/>
      <c r="DN756" s="86"/>
      <c r="DO756" s="86"/>
      <c r="DP756" s="86"/>
      <c r="DQ756" s="86"/>
      <c r="DR756" s="118"/>
      <c r="DS756" s="118"/>
      <c r="DT756" s="86"/>
      <c r="DU756" s="86"/>
      <c r="DV756" s="86"/>
      <c r="DW756" s="86"/>
      <c r="DX756" s="86"/>
      <c r="DY756" s="86"/>
      <c r="DZ756" s="86"/>
      <c r="EA756" s="86"/>
      <c r="EB756" s="86"/>
      <c r="EC756" s="86"/>
      <c r="ED756" s="86"/>
      <c r="EE756" s="47">
        <f t="shared" si="470"/>
        <v>0</v>
      </c>
      <c r="EF756" s="86"/>
      <c r="EG756" s="86"/>
      <c r="EH756" s="86"/>
      <c r="EI756" s="86"/>
      <c r="EJ756" s="86"/>
      <c r="EK756" s="86"/>
      <c r="EL756" s="90">
        <f t="shared" si="466"/>
        <v>0</v>
      </c>
      <c r="EM756" s="86"/>
      <c r="EN756" s="90">
        <f t="shared" si="467"/>
        <v>0</v>
      </c>
    </row>
    <row r="757" spans="1:144" ht="15" customHeight="1" x14ac:dyDescent="0.25">
      <c r="A757" s="86"/>
      <c r="B757" s="88">
        <v>133</v>
      </c>
      <c r="C757" s="86"/>
      <c r="D757" s="87"/>
      <c r="E757" s="86"/>
      <c r="F757" s="86"/>
      <c r="G757" s="86"/>
      <c r="H757" s="86"/>
      <c r="I757" s="86"/>
      <c r="J757" s="86"/>
      <c r="K757" s="86"/>
      <c r="L757" s="86"/>
      <c r="M757" s="86"/>
      <c r="N757" s="88"/>
      <c r="O757" s="88"/>
      <c r="P757" s="86"/>
      <c r="Q757" s="168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AS757" s="86"/>
      <c r="AT757" s="86"/>
      <c r="AU757" s="86"/>
      <c r="AV757" s="86"/>
      <c r="AW757" s="86"/>
      <c r="AX757" s="86"/>
      <c r="AY757" s="86"/>
      <c r="AZ757" s="86"/>
      <c r="BA757" s="86"/>
      <c r="BB757" s="86"/>
      <c r="BC757" s="86"/>
      <c r="BD757" s="86"/>
      <c r="BE757" s="86"/>
      <c r="BF757" s="86"/>
      <c r="BG757" s="86"/>
      <c r="BH757" s="86"/>
      <c r="BI757" s="86"/>
      <c r="BJ757" s="86"/>
      <c r="BK757" s="86"/>
      <c r="BL757" s="86"/>
      <c r="BM757" s="86"/>
      <c r="BN757" s="86"/>
      <c r="BO757" s="86"/>
      <c r="BP757" s="86"/>
      <c r="BQ757" s="86"/>
      <c r="BR757" s="86"/>
      <c r="BS757" s="86"/>
      <c r="BT757" s="86"/>
      <c r="BU757" s="86"/>
      <c r="BV757" s="86"/>
      <c r="BW757" s="86"/>
      <c r="BX757" s="86"/>
      <c r="BY757" s="86"/>
      <c r="BZ757" s="86"/>
      <c r="CA757" s="86"/>
      <c r="CB757" s="86"/>
      <c r="CC757" s="86"/>
      <c r="CD757" s="86"/>
      <c r="CE757" s="86"/>
      <c r="CF757" s="86"/>
      <c r="CG757" s="86"/>
      <c r="CH757" s="86"/>
      <c r="CI757" s="86"/>
      <c r="CJ757" s="86"/>
      <c r="CK757" s="86"/>
      <c r="CL757" s="86"/>
      <c r="CM757" s="86"/>
      <c r="CN757" s="86"/>
      <c r="CO757" s="86"/>
      <c r="CP757" s="86"/>
      <c r="CQ757" s="86"/>
      <c r="CR757" s="86">
        <f t="shared" si="464"/>
        <v>0</v>
      </c>
      <c r="CS757" s="86"/>
      <c r="CT757" s="86"/>
      <c r="CU757" s="86"/>
      <c r="CV757" s="86"/>
      <c r="CW757" s="86"/>
      <c r="CX757" s="86"/>
      <c r="CY757" s="86"/>
      <c r="CZ757" s="86"/>
      <c r="DA757" s="86"/>
      <c r="DB757" s="86"/>
      <c r="DC757" s="86"/>
      <c r="DD757" s="86"/>
      <c r="DE757" s="86"/>
      <c r="DF757" s="86"/>
      <c r="DG757" s="86"/>
      <c r="DH757" s="86"/>
      <c r="DI757" s="86"/>
      <c r="DJ757" s="86"/>
      <c r="DK757" s="86"/>
      <c r="DL757" s="86"/>
      <c r="DM757" s="86"/>
      <c r="DN757" s="86"/>
      <c r="DO757" s="86"/>
      <c r="DP757" s="86"/>
      <c r="DQ757" s="86"/>
      <c r="DR757" s="118"/>
      <c r="DS757" s="118"/>
      <c r="DT757" s="86"/>
      <c r="DU757" s="86"/>
      <c r="DV757" s="86"/>
      <c r="DW757" s="86"/>
      <c r="DX757" s="86"/>
      <c r="DY757" s="86"/>
      <c r="DZ757" s="86"/>
      <c r="EA757" s="86"/>
      <c r="EB757" s="86"/>
      <c r="EC757" s="86"/>
      <c r="ED757" s="86"/>
      <c r="EE757" s="47">
        <f t="shared" si="470"/>
        <v>0</v>
      </c>
      <c r="EF757" s="86"/>
      <c r="EG757" s="86"/>
      <c r="EH757" s="86"/>
      <c r="EI757" s="86"/>
      <c r="EJ757" s="86"/>
      <c r="EK757" s="86"/>
      <c r="EL757" s="90">
        <f t="shared" ref="EL757:EL765" si="471">+AO757-EE757-EK757</f>
        <v>0</v>
      </c>
      <c r="EM757" s="86"/>
      <c r="EN757" s="90">
        <f t="shared" ref="EN757:EN803" si="472">EL757+EM757</f>
        <v>0</v>
      </c>
    </row>
    <row r="758" spans="1:144" ht="15" customHeight="1" x14ac:dyDescent="0.25">
      <c r="A758" s="86"/>
      <c r="B758" s="88">
        <v>134</v>
      </c>
      <c r="C758" s="86"/>
      <c r="D758" s="87"/>
      <c r="E758" s="86"/>
      <c r="F758" s="86"/>
      <c r="G758" s="86"/>
      <c r="H758" s="86"/>
      <c r="I758" s="86"/>
      <c r="J758" s="86"/>
      <c r="K758" s="86"/>
      <c r="L758" s="86"/>
      <c r="M758" s="86"/>
      <c r="N758" s="88"/>
      <c r="O758" s="88"/>
      <c r="P758" s="86"/>
      <c r="Q758" s="168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AS758" s="86"/>
      <c r="AT758" s="86"/>
      <c r="AU758" s="86"/>
      <c r="AV758" s="86"/>
      <c r="AW758" s="86"/>
      <c r="AX758" s="86"/>
      <c r="AY758" s="86"/>
      <c r="AZ758" s="86"/>
      <c r="BA758" s="86"/>
      <c r="BB758" s="86"/>
      <c r="BC758" s="86"/>
      <c r="BD758" s="86"/>
      <c r="BE758" s="86"/>
      <c r="BF758" s="86"/>
      <c r="BG758" s="86"/>
      <c r="BH758" s="86"/>
      <c r="BI758" s="86"/>
      <c r="BJ758" s="86"/>
      <c r="BK758" s="86"/>
      <c r="BL758" s="86"/>
      <c r="BM758" s="86"/>
      <c r="BN758" s="86"/>
      <c r="BO758" s="86"/>
      <c r="BP758" s="86"/>
      <c r="BQ758" s="86"/>
      <c r="BR758" s="86"/>
      <c r="BS758" s="86"/>
      <c r="BT758" s="86"/>
      <c r="BU758" s="86"/>
      <c r="BV758" s="86"/>
      <c r="BW758" s="86"/>
      <c r="BX758" s="86"/>
      <c r="BY758" s="86"/>
      <c r="BZ758" s="86"/>
      <c r="CA758" s="86"/>
      <c r="CB758" s="86"/>
      <c r="CC758" s="86"/>
      <c r="CD758" s="86"/>
      <c r="CE758" s="86"/>
      <c r="CF758" s="86"/>
      <c r="CG758" s="86"/>
      <c r="CH758" s="86"/>
      <c r="CI758" s="86"/>
      <c r="CJ758" s="86"/>
      <c r="CK758" s="86"/>
      <c r="CL758" s="86"/>
      <c r="CM758" s="86"/>
      <c r="CN758" s="86"/>
      <c r="CO758" s="86"/>
      <c r="CP758" s="86"/>
      <c r="CQ758" s="86"/>
      <c r="CR758" s="86">
        <f t="shared" si="464"/>
        <v>0</v>
      </c>
      <c r="CS758" s="86"/>
      <c r="CT758" s="86"/>
      <c r="CU758" s="86"/>
      <c r="CV758" s="86"/>
      <c r="CW758" s="86"/>
      <c r="CX758" s="86"/>
      <c r="CY758" s="86"/>
      <c r="CZ758" s="86"/>
      <c r="DA758" s="86"/>
      <c r="DB758" s="86"/>
      <c r="DC758" s="86"/>
      <c r="DD758" s="86"/>
      <c r="DE758" s="86"/>
      <c r="DF758" s="86"/>
      <c r="DG758" s="86"/>
      <c r="DH758" s="86"/>
      <c r="DI758" s="86"/>
      <c r="DJ758" s="86"/>
      <c r="DK758" s="86"/>
      <c r="DL758" s="86"/>
      <c r="DM758" s="86"/>
      <c r="DN758" s="86"/>
      <c r="DO758" s="86"/>
      <c r="DP758" s="86"/>
      <c r="DQ758" s="86"/>
      <c r="DR758" s="118"/>
      <c r="DS758" s="118"/>
      <c r="DT758" s="86"/>
      <c r="DU758" s="86"/>
      <c r="DV758" s="86"/>
      <c r="DW758" s="86"/>
      <c r="DX758" s="86"/>
      <c r="DY758" s="86"/>
      <c r="DZ758" s="86"/>
      <c r="EA758" s="86"/>
      <c r="EB758" s="86"/>
      <c r="EC758" s="86"/>
      <c r="ED758" s="86"/>
      <c r="EE758" s="47">
        <f t="shared" si="470"/>
        <v>0</v>
      </c>
      <c r="EF758" s="86"/>
      <c r="EG758" s="86"/>
      <c r="EH758" s="86"/>
      <c r="EI758" s="86"/>
      <c r="EJ758" s="86"/>
      <c r="EK758" s="86"/>
      <c r="EL758" s="90">
        <f t="shared" si="471"/>
        <v>0</v>
      </c>
      <c r="EM758" s="86"/>
      <c r="EN758" s="90">
        <f t="shared" si="472"/>
        <v>0</v>
      </c>
    </row>
    <row r="759" spans="1:144" ht="15" customHeight="1" x14ac:dyDescent="0.25">
      <c r="A759" s="86"/>
      <c r="B759" s="88">
        <v>135</v>
      </c>
      <c r="C759" s="86"/>
      <c r="D759" s="87"/>
      <c r="E759" s="86"/>
      <c r="F759" s="86"/>
      <c r="G759" s="86"/>
      <c r="H759" s="86"/>
      <c r="I759" s="86"/>
      <c r="J759" s="86"/>
      <c r="K759" s="86"/>
      <c r="L759" s="86"/>
      <c r="M759" s="86"/>
      <c r="N759" s="88"/>
      <c r="O759" s="88"/>
      <c r="P759" s="86"/>
      <c r="Q759" s="168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AS759" s="86"/>
      <c r="AT759" s="86"/>
      <c r="AU759" s="86"/>
      <c r="AV759" s="86"/>
      <c r="AW759" s="86"/>
      <c r="AX759" s="86"/>
      <c r="AY759" s="86"/>
      <c r="AZ759" s="86"/>
      <c r="BA759" s="86"/>
      <c r="BB759" s="86"/>
      <c r="BC759" s="86"/>
      <c r="BD759" s="86"/>
      <c r="BE759" s="86"/>
      <c r="BF759" s="86"/>
      <c r="BG759" s="86"/>
      <c r="BH759" s="86"/>
      <c r="BI759" s="86"/>
      <c r="BJ759" s="86"/>
      <c r="BK759" s="86"/>
      <c r="BL759" s="86"/>
      <c r="BM759" s="86"/>
      <c r="BN759" s="86"/>
      <c r="BO759" s="86"/>
      <c r="BP759" s="86"/>
      <c r="BQ759" s="86"/>
      <c r="BR759" s="86"/>
      <c r="BS759" s="86"/>
      <c r="BT759" s="86"/>
      <c r="BU759" s="86"/>
      <c r="BV759" s="86"/>
      <c r="BW759" s="86"/>
      <c r="BX759" s="86"/>
      <c r="BY759" s="86"/>
      <c r="BZ759" s="86"/>
      <c r="CA759" s="86"/>
      <c r="CB759" s="86"/>
      <c r="CC759" s="86"/>
      <c r="CD759" s="86"/>
      <c r="CE759" s="86"/>
      <c r="CF759" s="86"/>
      <c r="CG759" s="86"/>
      <c r="CH759" s="86"/>
      <c r="CI759" s="86"/>
      <c r="CJ759" s="86"/>
      <c r="CK759" s="86"/>
      <c r="CL759" s="86"/>
      <c r="CM759" s="86"/>
      <c r="CN759" s="86"/>
      <c r="CO759" s="86"/>
      <c r="CP759" s="86"/>
      <c r="CQ759" s="86"/>
      <c r="CR759" s="86">
        <f t="shared" si="464"/>
        <v>0</v>
      </c>
      <c r="CS759" s="86"/>
      <c r="CT759" s="86"/>
      <c r="CU759" s="86"/>
      <c r="CV759" s="86"/>
      <c r="CW759" s="86"/>
      <c r="CX759" s="86"/>
      <c r="CY759" s="86"/>
      <c r="CZ759" s="86"/>
      <c r="DA759" s="86"/>
      <c r="DB759" s="86"/>
      <c r="DC759" s="86"/>
      <c r="DD759" s="86"/>
      <c r="DE759" s="86"/>
      <c r="DF759" s="86"/>
      <c r="DG759" s="86"/>
      <c r="DH759" s="86"/>
      <c r="DI759" s="86"/>
      <c r="DJ759" s="86"/>
      <c r="DK759" s="86"/>
      <c r="DL759" s="86"/>
      <c r="DM759" s="86"/>
      <c r="DN759" s="86"/>
      <c r="DO759" s="86"/>
      <c r="DP759" s="86"/>
      <c r="DQ759" s="86"/>
      <c r="DR759" s="118"/>
      <c r="DS759" s="118"/>
      <c r="DT759" s="86"/>
      <c r="DU759" s="86"/>
      <c r="DV759" s="86"/>
      <c r="DW759" s="86"/>
      <c r="DX759" s="86"/>
      <c r="DY759" s="86"/>
      <c r="DZ759" s="86"/>
      <c r="EA759" s="86"/>
      <c r="EB759" s="86"/>
      <c r="EC759" s="86"/>
      <c r="ED759" s="86"/>
      <c r="EE759" s="47">
        <f t="shared" si="470"/>
        <v>0</v>
      </c>
      <c r="EF759" s="86"/>
      <c r="EG759" s="86"/>
      <c r="EH759" s="86"/>
      <c r="EI759" s="86"/>
      <c r="EJ759" s="86"/>
      <c r="EK759" s="86"/>
      <c r="EL759" s="90">
        <f t="shared" si="471"/>
        <v>0</v>
      </c>
      <c r="EM759" s="86"/>
      <c r="EN759" s="90">
        <f t="shared" si="472"/>
        <v>0</v>
      </c>
    </row>
    <row r="760" spans="1:144" ht="15" customHeight="1" x14ac:dyDescent="0.25">
      <c r="A760" s="86"/>
      <c r="B760" s="88">
        <v>136</v>
      </c>
      <c r="C760" s="86"/>
      <c r="D760" s="87"/>
      <c r="E760" s="86"/>
      <c r="F760" s="86"/>
      <c r="G760" s="86"/>
      <c r="H760" s="86"/>
      <c r="I760" s="86"/>
      <c r="J760" s="86"/>
      <c r="K760" s="86"/>
      <c r="L760" s="86"/>
      <c r="M760" s="86"/>
      <c r="N760" s="88"/>
      <c r="O760" s="88"/>
      <c r="P760" s="86"/>
      <c r="Q760" s="168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AS760" s="86"/>
      <c r="AT760" s="86"/>
      <c r="AU760" s="86"/>
      <c r="AV760" s="86"/>
      <c r="AW760" s="86"/>
      <c r="AX760" s="86"/>
      <c r="AY760" s="86"/>
      <c r="AZ760" s="86"/>
      <c r="BA760" s="86"/>
      <c r="BB760" s="86"/>
      <c r="BC760" s="86"/>
      <c r="BD760" s="86"/>
      <c r="BE760" s="86"/>
      <c r="BF760" s="86"/>
      <c r="BG760" s="86"/>
      <c r="BH760" s="86"/>
      <c r="BI760" s="86"/>
      <c r="BJ760" s="86"/>
      <c r="BK760" s="86"/>
      <c r="BL760" s="86"/>
      <c r="BM760" s="86"/>
      <c r="BN760" s="86"/>
      <c r="BO760" s="86"/>
      <c r="BP760" s="86"/>
      <c r="BQ760" s="86"/>
      <c r="BR760" s="86"/>
      <c r="BS760" s="86"/>
      <c r="BT760" s="86"/>
      <c r="BU760" s="86"/>
      <c r="BV760" s="86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86"/>
      <c r="CQ760" s="86"/>
      <c r="CR760" s="86">
        <f t="shared" si="464"/>
        <v>0</v>
      </c>
      <c r="CS760" s="86"/>
      <c r="CT760" s="86"/>
      <c r="CU760" s="86"/>
      <c r="CV760" s="86"/>
      <c r="CW760" s="86"/>
      <c r="CX760" s="86"/>
      <c r="CY760" s="86"/>
      <c r="CZ760" s="86"/>
      <c r="DA760" s="86"/>
      <c r="DB760" s="86"/>
      <c r="DC760" s="86"/>
      <c r="DD760" s="86"/>
      <c r="DE760" s="86"/>
      <c r="DF760" s="86"/>
      <c r="DG760" s="86"/>
      <c r="DH760" s="86"/>
      <c r="DI760" s="86"/>
      <c r="DJ760" s="86"/>
      <c r="DK760" s="86"/>
      <c r="DL760" s="86"/>
      <c r="DM760" s="86"/>
      <c r="DN760" s="86"/>
      <c r="DO760" s="86"/>
      <c r="DP760" s="86"/>
      <c r="DQ760" s="86"/>
      <c r="DR760" s="118"/>
      <c r="DS760" s="118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47">
        <f t="shared" si="470"/>
        <v>0</v>
      </c>
      <c r="EF760" s="86"/>
      <c r="EG760" s="86"/>
      <c r="EH760" s="86"/>
      <c r="EI760" s="86"/>
      <c r="EJ760" s="86"/>
      <c r="EK760" s="86"/>
      <c r="EL760" s="90">
        <f t="shared" si="471"/>
        <v>0</v>
      </c>
      <c r="EM760" s="86"/>
      <c r="EN760" s="90">
        <f t="shared" si="472"/>
        <v>0</v>
      </c>
    </row>
    <row r="761" spans="1:144" ht="15" customHeight="1" x14ac:dyDescent="0.25">
      <c r="A761" s="86"/>
      <c r="B761" s="88">
        <v>137</v>
      </c>
      <c r="C761" s="86"/>
      <c r="D761" s="87"/>
      <c r="E761" s="86"/>
      <c r="F761" s="86"/>
      <c r="G761" s="86"/>
      <c r="H761" s="86"/>
      <c r="I761" s="86"/>
      <c r="J761" s="86"/>
      <c r="K761" s="86"/>
      <c r="L761" s="86"/>
      <c r="M761" s="86"/>
      <c r="N761" s="88"/>
      <c r="O761" s="88"/>
      <c r="P761" s="86"/>
      <c r="Q761" s="168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AS761" s="86"/>
      <c r="AT761" s="86"/>
      <c r="AU761" s="86"/>
      <c r="AV761" s="86"/>
      <c r="AW761" s="86"/>
      <c r="AX761" s="86"/>
      <c r="AY761" s="86"/>
      <c r="AZ761" s="86"/>
      <c r="BA761" s="86"/>
      <c r="BB761" s="86"/>
      <c r="BC761" s="86"/>
      <c r="BD761" s="86"/>
      <c r="BE761" s="86"/>
      <c r="BF761" s="86"/>
      <c r="BG761" s="86"/>
      <c r="BH761" s="86"/>
      <c r="BI761" s="86"/>
      <c r="BJ761" s="86"/>
      <c r="BK761" s="86"/>
      <c r="BL761" s="86"/>
      <c r="BM761" s="86"/>
      <c r="BN761" s="86"/>
      <c r="BO761" s="86"/>
      <c r="BP761" s="86"/>
      <c r="BQ761" s="86"/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86"/>
      <c r="CQ761" s="86"/>
      <c r="CR761" s="86">
        <f t="shared" si="464"/>
        <v>0</v>
      </c>
      <c r="CS761" s="86"/>
      <c r="CT761" s="86"/>
      <c r="CU761" s="86"/>
      <c r="CV761" s="86"/>
      <c r="CW761" s="86"/>
      <c r="CX761" s="86"/>
      <c r="CY761" s="86"/>
      <c r="CZ761" s="86"/>
      <c r="DA761" s="86"/>
      <c r="DB761" s="86"/>
      <c r="DC761" s="86"/>
      <c r="DD761" s="86"/>
      <c r="DE761" s="86"/>
      <c r="DF761" s="86"/>
      <c r="DG761" s="86"/>
      <c r="DH761" s="86"/>
      <c r="DI761" s="86"/>
      <c r="DJ761" s="86"/>
      <c r="DK761" s="86"/>
      <c r="DL761" s="86"/>
      <c r="DM761" s="86"/>
      <c r="DN761" s="86"/>
      <c r="DO761" s="86"/>
      <c r="DP761" s="86"/>
      <c r="DQ761" s="86"/>
      <c r="DR761" s="118"/>
      <c r="DS761" s="118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>
        <f t="shared" si="470"/>
        <v>0</v>
      </c>
      <c r="EF761" s="86"/>
      <c r="EG761" s="86"/>
      <c r="EH761" s="86"/>
      <c r="EI761" s="86"/>
      <c r="EJ761" s="86"/>
      <c r="EK761" s="86"/>
      <c r="EL761" s="90">
        <f t="shared" si="471"/>
        <v>0</v>
      </c>
      <c r="EM761" s="86"/>
      <c r="EN761" s="90">
        <f t="shared" si="472"/>
        <v>0</v>
      </c>
    </row>
    <row r="762" spans="1:144" ht="15" customHeight="1" x14ac:dyDescent="0.25">
      <c r="A762" s="86"/>
      <c r="B762" s="88">
        <v>138</v>
      </c>
      <c r="C762" s="86"/>
      <c r="D762" s="87"/>
      <c r="E762" s="86"/>
      <c r="F762" s="86"/>
      <c r="G762" s="86"/>
      <c r="H762" s="86"/>
      <c r="I762" s="86"/>
      <c r="J762" s="86"/>
      <c r="K762" s="86"/>
      <c r="L762" s="86"/>
      <c r="M762" s="86"/>
      <c r="N762" s="88"/>
      <c r="O762" s="88"/>
      <c r="P762" s="86"/>
      <c r="Q762" s="168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AS762" s="86"/>
      <c r="AT762" s="86"/>
      <c r="AU762" s="86"/>
      <c r="AV762" s="86"/>
      <c r="AW762" s="86"/>
      <c r="AX762" s="86"/>
      <c r="AY762" s="86"/>
      <c r="AZ762" s="86"/>
      <c r="BA762" s="86"/>
      <c r="BB762" s="86"/>
      <c r="BC762" s="86"/>
      <c r="BD762" s="86"/>
      <c r="BE762" s="86"/>
      <c r="BF762" s="86"/>
      <c r="BG762" s="86"/>
      <c r="BH762" s="86"/>
      <c r="BI762" s="86"/>
      <c r="BJ762" s="86"/>
      <c r="BK762" s="86"/>
      <c r="BL762" s="86"/>
      <c r="BM762" s="86"/>
      <c r="BN762" s="86"/>
      <c r="BO762" s="86"/>
      <c r="BP762" s="86"/>
      <c r="BQ762" s="86"/>
      <c r="BR762" s="86"/>
      <c r="BS762" s="86"/>
      <c r="BT762" s="86"/>
      <c r="BU762" s="86"/>
      <c r="BV762" s="86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86"/>
      <c r="CQ762" s="86"/>
      <c r="CR762" s="86">
        <f t="shared" si="464"/>
        <v>0</v>
      </c>
      <c r="CS762" s="86"/>
      <c r="CT762" s="86"/>
      <c r="CU762" s="86"/>
      <c r="CV762" s="86"/>
      <c r="CW762" s="86"/>
      <c r="CX762" s="86"/>
      <c r="CY762" s="86"/>
      <c r="CZ762" s="86"/>
      <c r="DA762" s="86"/>
      <c r="DB762" s="86"/>
      <c r="DC762" s="86"/>
      <c r="DD762" s="86"/>
      <c r="DE762" s="86"/>
      <c r="DF762" s="86"/>
      <c r="DG762" s="86"/>
      <c r="DH762" s="86"/>
      <c r="DI762" s="86"/>
      <c r="DJ762" s="86"/>
      <c r="DK762" s="86"/>
      <c r="DL762" s="86"/>
      <c r="DM762" s="86"/>
      <c r="DN762" s="86"/>
      <c r="DO762" s="86"/>
      <c r="DP762" s="86"/>
      <c r="DQ762" s="86"/>
      <c r="DR762" s="118"/>
      <c r="DS762" s="118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>
        <f t="shared" si="470"/>
        <v>0</v>
      </c>
      <c r="EF762" s="86"/>
      <c r="EG762" s="86"/>
      <c r="EH762" s="86"/>
      <c r="EI762" s="86"/>
      <c r="EJ762" s="86"/>
      <c r="EK762" s="86"/>
      <c r="EL762" s="90">
        <f t="shared" si="471"/>
        <v>0</v>
      </c>
      <c r="EM762" s="86"/>
      <c r="EN762" s="90">
        <f t="shared" si="472"/>
        <v>0</v>
      </c>
    </row>
    <row r="763" spans="1:144" ht="15" customHeight="1" x14ac:dyDescent="0.25">
      <c r="A763" s="86"/>
      <c r="B763" s="88">
        <v>139</v>
      </c>
      <c r="C763" s="86"/>
      <c r="D763" s="87"/>
      <c r="E763" s="86"/>
      <c r="F763" s="86"/>
      <c r="G763" s="86"/>
      <c r="H763" s="86"/>
      <c r="I763" s="86"/>
      <c r="J763" s="86"/>
      <c r="K763" s="86"/>
      <c r="L763" s="86"/>
      <c r="M763" s="86"/>
      <c r="N763" s="88"/>
      <c r="O763" s="88"/>
      <c r="P763" s="86"/>
      <c r="Q763" s="168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 s="86"/>
      <c r="BH763" s="86"/>
      <c r="BI763" s="86"/>
      <c r="BJ763" s="86"/>
      <c r="BK763" s="86"/>
      <c r="BL763" s="86"/>
      <c r="BM763" s="86"/>
      <c r="BN763" s="86"/>
      <c r="BO763" s="86"/>
      <c r="BP763" s="86"/>
      <c r="BQ763" s="86"/>
      <c r="BR763" s="86"/>
      <c r="BS763" s="86"/>
      <c r="BT763" s="86"/>
      <c r="BU763" s="86"/>
      <c r="BV763" s="86"/>
      <c r="BW763" s="86"/>
      <c r="BX763" s="86"/>
      <c r="BY763" s="86"/>
      <c r="BZ763" s="86"/>
      <c r="CA763" s="86"/>
      <c r="CB763" s="86"/>
      <c r="CC763" s="86"/>
      <c r="CD763" s="86"/>
      <c r="CE763" s="86"/>
      <c r="CF763" s="86"/>
      <c r="CG763" s="86"/>
      <c r="CH763" s="86"/>
      <c r="CI763" s="86"/>
      <c r="CJ763" s="86"/>
      <c r="CK763" s="86"/>
      <c r="CL763" s="86"/>
      <c r="CM763" s="86"/>
      <c r="CN763" s="86"/>
      <c r="CO763" s="86"/>
      <c r="CP763" s="86"/>
      <c r="CQ763" s="86"/>
      <c r="CR763" s="86">
        <f t="shared" si="464"/>
        <v>0</v>
      </c>
      <c r="CS763" s="86"/>
      <c r="CT763" s="86"/>
      <c r="CU763" s="86"/>
      <c r="CV763" s="86"/>
      <c r="CW763" s="86"/>
      <c r="CX763" s="86"/>
      <c r="CY763" s="86"/>
      <c r="CZ763" s="86"/>
      <c r="DA763" s="86"/>
      <c r="DB763" s="86"/>
      <c r="DC763" s="86"/>
      <c r="DD763" s="86"/>
      <c r="DE763" s="86"/>
      <c r="DF763" s="86"/>
      <c r="DG763" s="86"/>
      <c r="DH763" s="86"/>
      <c r="DI763" s="86"/>
      <c r="DJ763" s="86"/>
      <c r="DK763" s="86"/>
      <c r="DL763" s="86"/>
      <c r="DM763" s="86"/>
      <c r="DN763" s="86"/>
      <c r="DO763" s="86"/>
      <c r="DP763" s="86"/>
      <c r="DQ763" s="86"/>
      <c r="DR763" s="118"/>
      <c r="DS763" s="118"/>
      <c r="DT763" s="86"/>
      <c r="DU763" s="86"/>
      <c r="DV763" s="86"/>
      <c r="DW763" s="86"/>
      <c r="DX763" s="86"/>
      <c r="DY763" s="86"/>
      <c r="DZ763" s="86"/>
      <c r="EA763" s="86"/>
      <c r="EB763" s="86"/>
      <c r="EC763" s="86"/>
      <c r="ED763" s="86"/>
      <c r="EE763" s="86">
        <f t="shared" si="470"/>
        <v>0</v>
      </c>
      <c r="EF763" s="86"/>
      <c r="EG763" s="86"/>
      <c r="EH763" s="86"/>
      <c r="EI763" s="86"/>
      <c r="EJ763" s="86"/>
      <c r="EK763" s="86"/>
      <c r="EL763" s="90">
        <f t="shared" si="471"/>
        <v>0</v>
      </c>
      <c r="EM763" s="86"/>
      <c r="EN763" s="90">
        <f t="shared" si="472"/>
        <v>0</v>
      </c>
    </row>
    <row r="764" spans="1:144" ht="15" customHeight="1" x14ac:dyDescent="0.25">
      <c r="A764" s="86"/>
      <c r="B764" s="88">
        <v>140</v>
      </c>
      <c r="C764" s="86"/>
      <c r="D764" s="87"/>
      <c r="E764" s="86"/>
      <c r="F764" s="86"/>
      <c r="G764" s="86"/>
      <c r="H764" s="86"/>
      <c r="I764" s="86"/>
      <c r="J764" s="86"/>
      <c r="K764" s="86"/>
      <c r="L764" s="86"/>
      <c r="M764" s="86"/>
      <c r="N764" s="88"/>
      <c r="O764" s="88"/>
      <c r="P764" s="86"/>
      <c r="Q764" s="168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AS764" s="86"/>
      <c r="AT764" s="86"/>
      <c r="AU764" s="86"/>
      <c r="AV764" s="86"/>
      <c r="AW764" s="86"/>
      <c r="AX764" s="86"/>
      <c r="AY764" s="86"/>
      <c r="AZ764" s="86"/>
      <c r="BA764" s="86"/>
      <c r="BB764" s="86"/>
      <c r="BC764" s="86"/>
      <c r="BD764" s="86"/>
      <c r="BE764" s="86"/>
      <c r="BF764" s="86"/>
      <c r="BG764" s="86"/>
      <c r="BH764" s="86"/>
      <c r="BI764" s="86"/>
      <c r="BJ764" s="86"/>
      <c r="BK764" s="86"/>
      <c r="BL764" s="86"/>
      <c r="BM764" s="86"/>
      <c r="BN764" s="86"/>
      <c r="BO764" s="86"/>
      <c r="BP764" s="86"/>
      <c r="BQ764" s="86"/>
      <c r="BR764" s="86"/>
      <c r="BS764" s="86"/>
      <c r="BT764" s="86"/>
      <c r="BU764" s="86"/>
      <c r="BV764" s="86"/>
      <c r="BW764" s="86"/>
      <c r="BX764" s="86"/>
      <c r="BY764" s="86"/>
      <c r="BZ764" s="86"/>
      <c r="CA764" s="86"/>
      <c r="CB764" s="86"/>
      <c r="CC764" s="86"/>
      <c r="CD764" s="86"/>
      <c r="CE764" s="86"/>
      <c r="CF764" s="86"/>
      <c r="CG764" s="86"/>
      <c r="CH764" s="86"/>
      <c r="CI764" s="86"/>
      <c r="CJ764" s="86"/>
      <c r="CK764" s="86"/>
      <c r="CL764" s="86"/>
      <c r="CM764" s="86"/>
      <c r="CN764" s="86"/>
      <c r="CO764" s="86"/>
      <c r="CP764" s="86"/>
      <c r="CQ764" s="86"/>
      <c r="CR764" s="86"/>
      <c r="CS764" s="86"/>
      <c r="CT764" s="86"/>
      <c r="CU764" s="86"/>
      <c r="CV764" s="86"/>
      <c r="CW764" s="86"/>
      <c r="CX764" s="86"/>
      <c r="CY764" s="86"/>
      <c r="CZ764" s="86"/>
      <c r="DA764" s="86"/>
      <c r="DB764" s="86"/>
      <c r="DC764" s="86"/>
      <c r="DD764" s="86"/>
      <c r="DE764" s="86"/>
      <c r="DF764" s="86"/>
      <c r="DG764" s="86"/>
      <c r="DH764" s="86"/>
      <c r="DI764" s="86"/>
      <c r="DJ764" s="86"/>
      <c r="DK764" s="86"/>
      <c r="DL764" s="86"/>
      <c r="DM764" s="86"/>
      <c r="DN764" s="86"/>
      <c r="DO764" s="86"/>
      <c r="DP764" s="86"/>
      <c r="DQ764" s="86"/>
      <c r="DR764" s="118"/>
      <c r="DS764" s="118"/>
      <c r="DT764" s="86"/>
      <c r="DU764" s="86"/>
      <c r="DV764" s="86"/>
      <c r="DW764" s="86"/>
      <c r="DX764" s="86"/>
      <c r="DY764" s="86"/>
      <c r="DZ764" s="86"/>
      <c r="EA764" s="86"/>
      <c r="EB764" s="86"/>
      <c r="EC764" s="86"/>
      <c r="ED764" s="86"/>
      <c r="EE764" s="86">
        <f t="shared" si="470"/>
        <v>0</v>
      </c>
      <c r="EF764" s="86"/>
      <c r="EG764" s="86"/>
      <c r="EH764" s="86"/>
      <c r="EI764" s="86"/>
      <c r="EJ764" s="86"/>
      <c r="EK764" s="86"/>
      <c r="EL764" s="90">
        <f t="shared" si="471"/>
        <v>0</v>
      </c>
      <c r="EM764" s="86"/>
      <c r="EN764" s="90">
        <f t="shared" si="472"/>
        <v>0</v>
      </c>
    </row>
    <row r="765" spans="1:144" ht="15" customHeight="1" x14ac:dyDescent="0.25">
      <c r="A765" s="86"/>
      <c r="B765" s="88">
        <v>141</v>
      </c>
      <c r="C765" s="86"/>
      <c r="D765" s="87"/>
      <c r="E765" s="86"/>
      <c r="F765" s="86"/>
      <c r="G765" s="86"/>
      <c r="H765" s="86"/>
      <c r="I765" s="86"/>
      <c r="J765" s="86"/>
      <c r="K765" s="86"/>
      <c r="L765" s="86"/>
      <c r="M765" s="86"/>
      <c r="N765" s="88"/>
      <c r="O765" s="88"/>
      <c r="P765" s="86"/>
      <c r="Q765" s="168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AS765" s="86"/>
      <c r="AT765" s="86"/>
      <c r="AU765" s="86"/>
      <c r="AV765" s="86"/>
      <c r="AW765" s="86"/>
      <c r="AX765" s="86"/>
      <c r="AY765" s="86"/>
      <c r="AZ765" s="86"/>
      <c r="BA765" s="86"/>
      <c r="BB765" s="86"/>
      <c r="BC765" s="86"/>
      <c r="BD765" s="86"/>
      <c r="BE765" s="86"/>
      <c r="BF765" s="86"/>
      <c r="BG765" s="86"/>
      <c r="BH765" s="86"/>
      <c r="BI765" s="86"/>
      <c r="BJ765" s="86"/>
      <c r="BK765" s="86"/>
      <c r="BL765" s="86"/>
      <c r="BM765" s="86"/>
      <c r="BN765" s="86"/>
      <c r="BO765" s="86"/>
      <c r="BP765" s="86"/>
      <c r="BQ765" s="86"/>
      <c r="BR765" s="86"/>
      <c r="BS765" s="86"/>
      <c r="BT765" s="86"/>
      <c r="BU765" s="86"/>
      <c r="BV765" s="86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  <c r="CO765" s="86"/>
      <c r="CP765" s="86"/>
      <c r="CQ765" s="86"/>
      <c r="CR765" s="86"/>
      <c r="CS765" s="86"/>
      <c r="CT765" s="86"/>
      <c r="CU765" s="86"/>
      <c r="CV765" s="86"/>
      <c r="CW765" s="86"/>
      <c r="CX765" s="86"/>
      <c r="CY765" s="86"/>
      <c r="CZ765" s="86"/>
      <c r="DA765" s="86"/>
      <c r="DB765" s="86"/>
      <c r="DC765" s="86"/>
      <c r="DD765" s="86"/>
      <c r="DE765" s="86"/>
      <c r="DF765" s="86"/>
      <c r="DG765" s="86"/>
      <c r="DH765" s="86"/>
      <c r="DI765" s="86"/>
      <c r="DJ765" s="86"/>
      <c r="DK765" s="86"/>
      <c r="DL765" s="86"/>
      <c r="DM765" s="86"/>
      <c r="DN765" s="86"/>
      <c r="DO765" s="86"/>
      <c r="DP765" s="86"/>
      <c r="DQ765" s="86"/>
      <c r="DR765" s="118"/>
      <c r="DS765" s="118"/>
      <c r="DT765" s="86"/>
      <c r="DU765" s="86"/>
      <c r="DV765" s="86"/>
      <c r="DW765" s="86"/>
      <c r="DX765" s="86"/>
      <c r="DY765" s="86"/>
      <c r="DZ765" s="86"/>
      <c r="EA765" s="86"/>
      <c r="EB765" s="86"/>
      <c r="EC765" s="86"/>
      <c r="ED765" s="86"/>
      <c r="EE765" s="86">
        <f t="shared" si="470"/>
        <v>0</v>
      </c>
      <c r="EF765" s="86"/>
      <c r="EG765" s="86"/>
      <c r="EH765" s="86"/>
      <c r="EI765" s="86"/>
      <c r="EJ765" s="86"/>
      <c r="EK765" s="86"/>
      <c r="EL765" s="90">
        <f t="shared" si="471"/>
        <v>0</v>
      </c>
      <c r="EM765" s="86"/>
      <c r="EN765" s="90">
        <f t="shared" si="472"/>
        <v>0</v>
      </c>
    </row>
    <row r="766" spans="1:144" ht="15" customHeight="1" x14ac:dyDescent="0.25">
      <c r="A766" s="86"/>
      <c r="B766" s="88">
        <v>142</v>
      </c>
      <c r="C766" s="86"/>
      <c r="D766" s="87"/>
      <c r="E766" s="86"/>
      <c r="F766" s="86"/>
      <c r="G766" s="86"/>
      <c r="H766" s="86"/>
      <c r="I766" s="86"/>
      <c r="J766" s="86"/>
      <c r="K766" s="86"/>
      <c r="L766" s="86"/>
      <c r="M766" s="86"/>
      <c r="N766" s="88"/>
      <c r="O766" s="88"/>
      <c r="P766" s="86"/>
      <c r="Q766" s="168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AS766" s="86"/>
      <c r="AT766" s="86"/>
      <c r="AU766" s="86"/>
      <c r="AV766" s="86"/>
      <c r="AW766" s="86"/>
      <c r="AX766" s="86"/>
      <c r="AY766" s="86"/>
      <c r="AZ766" s="86"/>
      <c r="BA766" s="86"/>
      <c r="BB766" s="86"/>
      <c r="BC766" s="86"/>
      <c r="BD766" s="86"/>
      <c r="BE766" s="86"/>
      <c r="BF766" s="86"/>
      <c r="BG766" s="86"/>
      <c r="BH766" s="86"/>
      <c r="BI766" s="86"/>
      <c r="BJ766" s="86"/>
      <c r="BK766" s="86"/>
      <c r="BL766" s="86"/>
      <c r="BM766" s="86"/>
      <c r="BN766" s="86"/>
      <c r="BO766" s="86"/>
      <c r="BP766" s="86"/>
      <c r="BQ766" s="86"/>
      <c r="BR766" s="86"/>
      <c r="BS766" s="86"/>
      <c r="BT766" s="86"/>
      <c r="BU766" s="86"/>
      <c r="BV766" s="86"/>
      <c r="BW766" s="86"/>
      <c r="BX766" s="86"/>
      <c r="BY766" s="86"/>
      <c r="BZ766" s="86"/>
      <c r="CA766" s="86"/>
      <c r="CB766" s="86"/>
      <c r="CC766" s="86"/>
      <c r="CD766" s="86"/>
      <c r="CE766" s="86"/>
      <c r="CF766" s="86"/>
      <c r="CG766" s="86"/>
      <c r="CH766" s="86"/>
      <c r="CI766" s="86"/>
      <c r="CJ766" s="86"/>
      <c r="CK766" s="86"/>
      <c r="CL766" s="86"/>
      <c r="CM766" s="86"/>
      <c r="CN766" s="86"/>
      <c r="CO766" s="86"/>
      <c r="CP766" s="86"/>
      <c r="CQ766" s="86"/>
      <c r="CR766" s="86"/>
      <c r="CS766" s="86"/>
      <c r="CT766" s="86"/>
      <c r="CU766" s="86"/>
      <c r="CV766" s="86"/>
      <c r="CW766" s="86"/>
      <c r="CX766" s="86"/>
      <c r="CY766" s="86"/>
      <c r="CZ766" s="86"/>
      <c r="DA766" s="86"/>
      <c r="DB766" s="86"/>
      <c r="DC766" s="86"/>
      <c r="DD766" s="86"/>
      <c r="DE766" s="86"/>
      <c r="DF766" s="86"/>
      <c r="DG766" s="86"/>
      <c r="DH766" s="86"/>
      <c r="DI766" s="86"/>
      <c r="DJ766" s="86"/>
      <c r="DK766" s="86"/>
      <c r="DL766" s="86"/>
      <c r="DM766" s="86"/>
      <c r="DN766" s="86"/>
      <c r="DO766" s="86"/>
      <c r="DP766" s="86"/>
      <c r="DQ766" s="86"/>
      <c r="DR766" s="118"/>
      <c r="DS766" s="118"/>
      <c r="DT766" s="86"/>
      <c r="DU766" s="86"/>
      <c r="DV766" s="86"/>
      <c r="DW766" s="86"/>
      <c r="DX766" s="86"/>
      <c r="DY766" s="86"/>
      <c r="DZ766" s="86"/>
      <c r="EA766" s="86"/>
      <c r="EB766" s="86"/>
      <c r="EC766" s="86"/>
      <c r="ED766" s="86"/>
      <c r="EE766" s="86">
        <f t="shared" si="470"/>
        <v>0</v>
      </c>
      <c r="EF766" s="86"/>
      <c r="EG766" s="86"/>
      <c r="EH766" s="86"/>
      <c r="EI766" s="86"/>
      <c r="EJ766" s="86"/>
      <c r="EK766" s="86"/>
      <c r="EL766" s="86"/>
      <c r="EM766" s="86"/>
      <c r="EN766" s="90">
        <f t="shared" si="472"/>
        <v>0</v>
      </c>
    </row>
    <row r="767" spans="1:144" ht="15" customHeight="1" x14ac:dyDescent="0.25">
      <c r="A767" s="86"/>
      <c r="B767" s="88">
        <v>143</v>
      </c>
      <c r="C767" s="86"/>
      <c r="D767" s="87"/>
      <c r="E767" s="86"/>
      <c r="F767" s="86"/>
      <c r="G767" s="86"/>
      <c r="H767" s="86"/>
      <c r="I767" s="86"/>
      <c r="J767" s="86"/>
      <c r="K767" s="86"/>
      <c r="L767" s="86"/>
      <c r="M767" s="86"/>
      <c r="N767" s="88"/>
      <c r="O767" s="88"/>
      <c r="P767" s="86"/>
      <c r="Q767" s="168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AS767" s="86"/>
      <c r="AT767" s="86"/>
      <c r="AU767" s="86"/>
      <c r="AV767" s="86"/>
      <c r="AW767" s="86"/>
      <c r="AX767" s="86"/>
      <c r="AY767" s="86"/>
      <c r="AZ767" s="86"/>
      <c r="BA767" s="86"/>
      <c r="BB767" s="86"/>
      <c r="BC767" s="86"/>
      <c r="BD767" s="86"/>
      <c r="BE767" s="86"/>
      <c r="BF767" s="86"/>
      <c r="BG767" s="86"/>
      <c r="BH767" s="86"/>
      <c r="BI767" s="86"/>
      <c r="BJ767" s="86"/>
      <c r="BK767" s="86"/>
      <c r="BL767" s="86"/>
      <c r="BM767" s="86"/>
      <c r="BN767" s="86"/>
      <c r="BO767" s="86"/>
      <c r="BP767" s="86"/>
      <c r="BQ767" s="86"/>
      <c r="BR767" s="86"/>
      <c r="BS767" s="86"/>
      <c r="BT767" s="86"/>
      <c r="BU767" s="86"/>
      <c r="BV767" s="86"/>
      <c r="BW767" s="86"/>
      <c r="BX767" s="86"/>
      <c r="BY767" s="86"/>
      <c r="BZ767" s="86"/>
      <c r="CA767" s="86"/>
      <c r="CB767" s="86"/>
      <c r="CC767" s="86"/>
      <c r="CD767" s="86"/>
      <c r="CE767" s="86"/>
      <c r="CF767" s="86"/>
      <c r="CG767" s="86"/>
      <c r="CH767" s="86"/>
      <c r="CI767" s="86"/>
      <c r="CJ767" s="86"/>
      <c r="CK767" s="86"/>
      <c r="CL767" s="86"/>
      <c r="CM767" s="86"/>
      <c r="CN767" s="86"/>
      <c r="CO767" s="86"/>
      <c r="CP767" s="86"/>
      <c r="CQ767" s="86"/>
      <c r="CR767" s="86"/>
      <c r="CS767" s="86"/>
      <c r="CT767" s="86"/>
      <c r="CU767" s="86"/>
      <c r="CV767" s="86"/>
      <c r="CW767" s="86"/>
      <c r="CX767" s="86"/>
      <c r="CY767" s="86"/>
      <c r="CZ767" s="86"/>
      <c r="DA767" s="86"/>
      <c r="DB767" s="86"/>
      <c r="DC767" s="86"/>
      <c r="DD767" s="86"/>
      <c r="DE767" s="86"/>
      <c r="DF767" s="86"/>
      <c r="DG767" s="86"/>
      <c r="DH767" s="86"/>
      <c r="DI767" s="86"/>
      <c r="DJ767" s="86"/>
      <c r="DK767" s="86"/>
      <c r="DL767" s="86"/>
      <c r="DM767" s="86"/>
      <c r="DN767" s="86"/>
      <c r="DO767" s="86"/>
      <c r="DP767" s="86"/>
      <c r="DQ767" s="86"/>
      <c r="DR767" s="118"/>
      <c r="DS767" s="118"/>
      <c r="DT767" s="86"/>
      <c r="DU767" s="86"/>
      <c r="DV767" s="86"/>
      <c r="DW767" s="86"/>
      <c r="DX767" s="86"/>
      <c r="DY767" s="86"/>
      <c r="DZ767" s="86"/>
      <c r="EA767" s="86"/>
      <c r="EB767" s="86"/>
      <c r="EC767" s="86"/>
      <c r="ED767" s="86"/>
      <c r="EE767" s="86">
        <f t="shared" si="470"/>
        <v>0</v>
      </c>
      <c r="EF767" s="86"/>
      <c r="EG767" s="86"/>
      <c r="EH767" s="86"/>
      <c r="EI767" s="86"/>
      <c r="EJ767" s="86"/>
      <c r="EK767" s="86"/>
      <c r="EL767" s="86"/>
      <c r="EM767" s="86"/>
      <c r="EN767" s="90">
        <f t="shared" si="472"/>
        <v>0</v>
      </c>
    </row>
    <row r="768" spans="1:144" ht="15" customHeight="1" x14ac:dyDescent="0.25">
      <c r="A768" s="86"/>
      <c r="B768" s="88">
        <v>144</v>
      </c>
      <c r="C768" s="86"/>
      <c r="D768" s="87"/>
      <c r="E768" s="86"/>
      <c r="F768" s="86"/>
      <c r="G768" s="86"/>
      <c r="H768" s="86"/>
      <c r="I768" s="86"/>
      <c r="J768" s="86"/>
      <c r="K768" s="86"/>
      <c r="L768" s="86"/>
      <c r="M768" s="86"/>
      <c r="N768" s="88"/>
      <c r="O768" s="88"/>
      <c r="P768" s="86"/>
      <c r="Q768" s="168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AS768" s="86"/>
      <c r="AT768" s="86"/>
      <c r="AU768" s="86"/>
      <c r="AV768" s="86"/>
      <c r="AW768" s="86"/>
      <c r="AX768" s="86"/>
      <c r="AY768" s="86"/>
      <c r="AZ768" s="86"/>
      <c r="BA768" s="86"/>
      <c r="BB768" s="86"/>
      <c r="BC768" s="86"/>
      <c r="BD768" s="86"/>
      <c r="BE768" s="86"/>
      <c r="BF768" s="86"/>
      <c r="BG768" s="86"/>
      <c r="BH768" s="86"/>
      <c r="BI768" s="86"/>
      <c r="BJ768" s="86"/>
      <c r="BK768" s="86"/>
      <c r="BL768" s="86"/>
      <c r="BM768" s="86"/>
      <c r="BN768" s="86"/>
      <c r="BO768" s="86"/>
      <c r="BP768" s="86"/>
      <c r="BQ768" s="86"/>
      <c r="BR768" s="86"/>
      <c r="BS768" s="86"/>
      <c r="BT768" s="86"/>
      <c r="BU768" s="86"/>
      <c r="BV768" s="86"/>
      <c r="BW768" s="86"/>
      <c r="BX768" s="86"/>
      <c r="BY768" s="86"/>
      <c r="BZ768" s="86"/>
      <c r="CA768" s="86"/>
      <c r="CB768" s="86"/>
      <c r="CC768" s="86"/>
      <c r="CD768" s="86"/>
      <c r="CE768" s="86"/>
      <c r="CF768" s="86"/>
      <c r="CG768" s="86"/>
      <c r="CH768" s="86"/>
      <c r="CI768" s="86"/>
      <c r="CJ768" s="86"/>
      <c r="CK768" s="86"/>
      <c r="CL768" s="86"/>
      <c r="CM768" s="86"/>
      <c r="CN768" s="86"/>
      <c r="CO768" s="86"/>
      <c r="CP768" s="86"/>
      <c r="CQ768" s="86"/>
      <c r="CR768" s="86"/>
      <c r="CS768" s="86"/>
      <c r="CT768" s="86"/>
      <c r="CU768" s="86"/>
      <c r="CV768" s="86"/>
      <c r="CW768" s="86"/>
      <c r="CX768" s="86"/>
      <c r="CY768" s="86"/>
      <c r="CZ768" s="86"/>
      <c r="DA768" s="86"/>
      <c r="DB768" s="86"/>
      <c r="DC768" s="86"/>
      <c r="DD768" s="86"/>
      <c r="DE768" s="86"/>
      <c r="DF768" s="86"/>
      <c r="DG768" s="86"/>
      <c r="DH768" s="86"/>
      <c r="DI768" s="86"/>
      <c r="DJ768" s="86"/>
      <c r="DK768" s="86"/>
      <c r="DL768" s="86"/>
      <c r="DM768" s="86"/>
      <c r="DN768" s="86"/>
      <c r="DO768" s="86"/>
      <c r="DP768" s="86"/>
      <c r="DQ768" s="86"/>
      <c r="DR768" s="118"/>
      <c r="DS768" s="118"/>
      <c r="DT768" s="86"/>
      <c r="DU768" s="86"/>
      <c r="DV768" s="86"/>
      <c r="DW768" s="86"/>
      <c r="DX768" s="86"/>
      <c r="DY768" s="86"/>
      <c r="DZ768" s="86"/>
      <c r="EA768" s="86"/>
      <c r="EB768" s="86"/>
      <c r="EC768" s="86"/>
      <c r="ED768" s="86"/>
      <c r="EE768" s="86">
        <f t="shared" si="470"/>
        <v>0</v>
      </c>
      <c r="EF768" s="86"/>
      <c r="EG768" s="86"/>
      <c r="EH768" s="86"/>
      <c r="EI768" s="86"/>
      <c r="EJ768" s="86"/>
      <c r="EK768" s="86"/>
      <c r="EL768" s="86"/>
      <c r="EM768" s="86"/>
      <c r="EN768" s="90">
        <f t="shared" si="472"/>
        <v>0</v>
      </c>
    </row>
    <row r="769" spans="1:144" ht="15" customHeight="1" x14ac:dyDescent="0.25">
      <c r="A769" s="86"/>
      <c r="B769" s="88">
        <v>145</v>
      </c>
      <c r="C769" s="86"/>
      <c r="D769" s="87"/>
      <c r="E769" s="86"/>
      <c r="F769" s="86"/>
      <c r="G769" s="86"/>
      <c r="H769" s="86"/>
      <c r="I769" s="86"/>
      <c r="J769" s="86"/>
      <c r="K769" s="86"/>
      <c r="L769" s="86"/>
      <c r="M769" s="86"/>
      <c r="N769" s="88"/>
      <c r="O769" s="88"/>
      <c r="P769" s="86"/>
      <c r="Q769" s="168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AS769" s="86"/>
      <c r="AT769" s="86"/>
      <c r="AU769" s="86"/>
      <c r="AV769" s="86"/>
      <c r="AW769" s="86"/>
      <c r="AX769" s="86"/>
      <c r="AY769" s="86"/>
      <c r="AZ769" s="86"/>
      <c r="BA769" s="86"/>
      <c r="BB769" s="86"/>
      <c r="BC769" s="86"/>
      <c r="BD769" s="86"/>
      <c r="BE769" s="86"/>
      <c r="BF769" s="86"/>
      <c r="BG769" s="86"/>
      <c r="BH769" s="86"/>
      <c r="BI769" s="86"/>
      <c r="BJ769" s="86"/>
      <c r="BK769" s="86"/>
      <c r="BL769" s="86"/>
      <c r="BM769" s="86"/>
      <c r="BN769" s="86"/>
      <c r="BO769" s="86"/>
      <c r="BP769" s="86"/>
      <c r="BQ769" s="86"/>
      <c r="BR769" s="86"/>
      <c r="BS769" s="86"/>
      <c r="BT769" s="86"/>
      <c r="BU769" s="86"/>
      <c r="BV769" s="86"/>
      <c r="BW769" s="86"/>
      <c r="BX769" s="86"/>
      <c r="BY769" s="86"/>
      <c r="BZ769" s="86"/>
      <c r="CA769" s="86"/>
      <c r="CB769" s="86"/>
      <c r="CC769" s="86"/>
      <c r="CD769" s="86"/>
      <c r="CE769" s="86"/>
      <c r="CF769" s="86"/>
      <c r="CG769" s="86"/>
      <c r="CH769" s="86"/>
      <c r="CI769" s="86"/>
      <c r="CJ769" s="86"/>
      <c r="CK769" s="86"/>
      <c r="CL769" s="86"/>
      <c r="CM769" s="86"/>
      <c r="CN769" s="86"/>
      <c r="CO769" s="86"/>
      <c r="CP769" s="86"/>
      <c r="CQ769" s="86"/>
      <c r="CR769" s="86"/>
      <c r="CS769" s="86"/>
      <c r="CT769" s="86"/>
      <c r="CU769" s="86"/>
      <c r="CV769" s="86"/>
      <c r="CW769" s="86"/>
      <c r="CX769" s="86"/>
      <c r="CY769" s="86"/>
      <c r="CZ769" s="86"/>
      <c r="DA769" s="86"/>
      <c r="DB769" s="86"/>
      <c r="DC769" s="86"/>
      <c r="DD769" s="86"/>
      <c r="DE769" s="86"/>
      <c r="DF769" s="86"/>
      <c r="DG769" s="86"/>
      <c r="DH769" s="86"/>
      <c r="DI769" s="86"/>
      <c r="DJ769" s="86"/>
      <c r="DK769" s="86"/>
      <c r="DL769" s="86"/>
      <c r="DM769" s="86"/>
      <c r="DN769" s="86"/>
      <c r="DO769" s="86"/>
      <c r="DP769" s="86"/>
      <c r="DQ769" s="86"/>
      <c r="DR769" s="118"/>
      <c r="DS769" s="118"/>
      <c r="DT769" s="86"/>
      <c r="DU769" s="86"/>
      <c r="DV769" s="86"/>
      <c r="DW769" s="86"/>
      <c r="DX769" s="86"/>
      <c r="DY769" s="86"/>
      <c r="DZ769" s="86"/>
      <c r="EA769" s="86"/>
      <c r="EB769" s="86"/>
      <c r="EC769" s="86"/>
      <c r="ED769" s="86"/>
      <c r="EE769" s="86">
        <f t="shared" si="470"/>
        <v>0</v>
      </c>
      <c r="EF769" s="86"/>
      <c r="EG769" s="86"/>
      <c r="EH769" s="86"/>
      <c r="EI769" s="86"/>
      <c r="EJ769" s="86"/>
      <c r="EK769" s="86"/>
      <c r="EL769" s="86"/>
      <c r="EM769" s="86"/>
      <c r="EN769" s="90">
        <f t="shared" si="472"/>
        <v>0</v>
      </c>
    </row>
    <row r="770" spans="1:144" ht="15" customHeight="1" x14ac:dyDescent="0.25">
      <c r="A770" s="86"/>
      <c r="B770" s="88">
        <v>146</v>
      </c>
      <c r="C770" s="86"/>
      <c r="D770" s="87"/>
      <c r="E770" s="86"/>
      <c r="F770" s="86"/>
      <c r="G770" s="86"/>
      <c r="H770" s="86"/>
      <c r="I770" s="86"/>
      <c r="J770" s="86"/>
      <c r="K770" s="86"/>
      <c r="L770" s="86"/>
      <c r="M770" s="86"/>
      <c r="N770" s="88"/>
      <c r="O770" s="88"/>
      <c r="P770" s="86"/>
      <c r="Q770" s="168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AS770" s="86"/>
      <c r="AT770" s="86"/>
      <c r="AU770" s="86"/>
      <c r="AV770" s="86"/>
      <c r="AW770" s="86"/>
      <c r="AX770" s="86"/>
      <c r="AY770" s="86"/>
      <c r="AZ770" s="86"/>
      <c r="BA770" s="86"/>
      <c r="BB770" s="86"/>
      <c r="BC770" s="86"/>
      <c r="BD770" s="86"/>
      <c r="BE770" s="86"/>
      <c r="BF770" s="86"/>
      <c r="BG770" s="86"/>
      <c r="BH770" s="86"/>
      <c r="BI770" s="86"/>
      <c r="BJ770" s="86"/>
      <c r="BK770" s="86"/>
      <c r="BL770" s="86"/>
      <c r="BM770" s="86"/>
      <c r="BN770" s="86"/>
      <c r="BO770" s="86"/>
      <c r="BP770" s="86"/>
      <c r="BQ770" s="86"/>
      <c r="BR770" s="86"/>
      <c r="BS770" s="86"/>
      <c r="BT770" s="86"/>
      <c r="BU770" s="86"/>
      <c r="BV770" s="86"/>
      <c r="BW770" s="86"/>
      <c r="BX770" s="86"/>
      <c r="BY770" s="86"/>
      <c r="BZ770" s="86"/>
      <c r="CA770" s="86"/>
      <c r="CB770" s="86"/>
      <c r="CC770" s="86"/>
      <c r="CD770" s="86"/>
      <c r="CE770" s="86"/>
      <c r="CF770" s="86"/>
      <c r="CG770" s="86"/>
      <c r="CH770" s="86"/>
      <c r="CI770" s="86"/>
      <c r="CJ770" s="86"/>
      <c r="CK770" s="86"/>
      <c r="CL770" s="86"/>
      <c r="CM770" s="86"/>
      <c r="CN770" s="86"/>
      <c r="CO770" s="86"/>
      <c r="CP770" s="86"/>
      <c r="CQ770" s="86"/>
      <c r="CR770" s="86"/>
      <c r="CS770" s="86"/>
      <c r="CT770" s="86"/>
      <c r="CU770" s="86"/>
      <c r="CV770" s="86"/>
      <c r="CW770" s="86"/>
      <c r="CX770" s="86"/>
      <c r="CY770" s="86"/>
      <c r="CZ770" s="86"/>
      <c r="DA770" s="86"/>
      <c r="DB770" s="86"/>
      <c r="DC770" s="86"/>
      <c r="DD770" s="86"/>
      <c r="DE770" s="86"/>
      <c r="DF770" s="86"/>
      <c r="DG770" s="86"/>
      <c r="DH770" s="86"/>
      <c r="DI770" s="86"/>
      <c r="DJ770" s="86"/>
      <c r="DK770" s="86"/>
      <c r="DL770" s="86"/>
      <c r="DM770" s="86"/>
      <c r="DN770" s="86"/>
      <c r="DO770" s="86"/>
      <c r="DP770" s="86"/>
      <c r="DQ770" s="86"/>
      <c r="DR770" s="118"/>
      <c r="DS770" s="118"/>
      <c r="DT770" s="86"/>
      <c r="DU770" s="86"/>
      <c r="DV770" s="86"/>
      <c r="DW770" s="86"/>
      <c r="DX770" s="86"/>
      <c r="DY770" s="86"/>
      <c r="DZ770" s="86"/>
      <c r="EA770" s="86"/>
      <c r="EB770" s="86"/>
      <c r="EC770" s="86"/>
      <c r="ED770" s="86"/>
      <c r="EE770" s="86">
        <f t="shared" si="470"/>
        <v>0</v>
      </c>
      <c r="EF770" s="86"/>
      <c r="EG770" s="86"/>
      <c r="EH770" s="86"/>
      <c r="EI770" s="86"/>
      <c r="EJ770" s="86"/>
      <c r="EK770" s="86"/>
      <c r="EL770" s="86"/>
      <c r="EM770" s="86"/>
      <c r="EN770" s="90">
        <f t="shared" si="472"/>
        <v>0</v>
      </c>
    </row>
    <row r="771" spans="1:144" ht="15" customHeight="1" x14ac:dyDescent="0.25">
      <c r="A771" s="86"/>
      <c r="B771" s="88">
        <v>147</v>
      </c>
      <c r="C771" s="86"/>
      <c r="D771" s="87"/>
      <c r="E771" s="86"/>
      <c r="F771" s="86"/>
      <c r="G771" s="86"/>
      <c r="H771" s="86"/>
      <c r="I771" s="86"/>
      <c r="J771" s="86"/>
      <c r="K771" s="86"/>
      <c r="L771" s="86"/>
      <c r="M771" s="86"/>
      <c r="N771" s="88"/>
      <c r="O771" s="88"/>
      <c r="P771" s="86"/>
      <c r="Q771" s="168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AS771" s="86"/>
      <c r="AT771" s="86"/>
      <c r="AU771" s="86"/>
      <c r="AV771" s="86"/>
      <c r="AW771" s="86"/>
      <c r="AX771" s="86"/>
      <c r="AY771" s="86"/>
      <c r="AZ771" s="86"/>
      <c r="BA771" s="86"/>
      <c r="BB771" s="86"/>
      <c r="BC771" s="86"/>
      <c r="BD771" s="86"/>
      <c r="BE771" s="86"/>
      <c r="BF771" s="86"/>
      <c r="BG771" s="86"/>
      <c r="BH771" s="86"/>
      <c r="BI771" s="86"/>
      <c r="BJ771" s="86"/>
      <c r="BK771" s="86"/>
      <c r="BL771" s="86"/>
      <c r="BM771" s="86"/>
      <c r="BN771" s="86"/>
      <c r="BO771" s="86"/>
      <c r="BP771" s="86"/>
      <c r="BQ771" s="86"/>
      <c r="BR771" s="86"/>
      <c r="BS771" s="86"/>
      <c r="BT771" s="86"/>
      <c r="BU771" s="86"/>
      <c r="BV771" s="86"/>
      <c r="BW771" s="86"/>
      <c r="BX771" s="86"/>
      <c r="BY771" s="86"/>
      <c r="BZ771" s="86"/>
      <c r="CA771" s="86"/>
      <c r="CB771" s="86"/>
      <c r="CC771" s="86"/>
      <c r="CD771" s="86"/>
      <c r="CE771" s="86"/>
      <c r="CF771" s="86"/>
      <c r="CG771" s="86"/>
      <c r="CH771" s="86"/>
      <c r="CI771" s="86"/>
      <c r="CJ771" s="86"/>
      <c r="CK771" s="86"/>
      <c r="CL771" s="86"/>
      <c r="CM771" s="86"/>
      <c r="CN771" s="86"/>
      <c r="CO771" s="86"/>
      <c r="CP771" s="86"/>
      <c r="CQ771" s="86"/>
      <c r="CR771" s="86"/>
      <c r="CS771" s="86"/>
      <c r="CT771" s="86"/>
      <c r="CU771" s="86"/>
      <c r="CV771" s="86"/>
      <c r="CW771" s="86"/>
      <c r="CX771" s="86"/>
      <c r="CY771" s="86"/>
      <c r="CZ771" s="86"/>
      <c r="DA771" s="86"/>
      <c r="DB771" s="86"/>
      <c r="DC771" s="86"/>
      <c r="DD771" s="86"/>
      <c r="DE771" s="86"/>
      <c r="DF771" s="86"/>
      <c r="DG771" s="86"/>
      <c r="DH771" s="86"/>
      <c r="DI771" s="86"/>
      <c r="DJ771" s="86"/>
      <c r="DK771" s="86"/>
      <c r="DL771" s="86"/>
      <c r="DM771" s="86"/>
      <c r="DN771" s="86"/>
      <c r="DO771" s="86"/>
      <c r="DP771" s="86"/>
      <c r="DQ771" s="86"/>
      <c r="DR771" s="118"/>
      <c r="DS771" s="118"/>
      <c r="DT771" s="86"/>
      <c r="DU771" s="86"/>
      <c r="DV771" s="86"/>
      <c r="DW771" s="86"/>
      <c r="DX771" s="86"/>
      <c r="DY771" s="86"/>
      <c r="DZ771" s="86"/>
      <c r="EA771" s="86"/>
      <c r="EB771" s="86"/>
      <c r="EC771" s="86"/>
      <c r="ED771" s="86"/>
      <c r="EE771" s="86">
        <f t="shared" si="470"/>
        <v>0</v>
      </c>
      <c r="EF771" s="86"/>
      <c r="EG771" s="86"/>
      <c r="EH771" s="86"/>
      <c r="EI771" s="86"/>
      <c r="EJ771" s="86"/>
      <c r="EK771" s="86"/>
      <c r="EL771" s="86"/>
      <c r="EM771" s="86"/>
      <c r="EN771" s="90">
        <f t="shared" si="472"/>
        <v>0</v>
      </c>
    </row>
    <row r="772" spans="1:144" ht="15" customHeight="1" x14ac:dyDescent="0.25">
      <c r="A772" s="86"/>
      <c r="B772" s="88">
        <v>148</v>
      </c>
      <c r="C772" s="86"/>
      <c r="D772" s="87"/>
      <c r="E772" s="86"/>
      <c r="F772" s="86"/>
      <c r="G772" s="86"/>
      <c r="H772" s="86"/>
      <c r="I772" s="86"/>
      <c r="J772" s="86"/>
      <c r="K772" s="86"/>
      <c r="L772" s="86"/>
      <c r="M772" s="86"/>
      <c r="N772" s="88"/>
      <c r="O772" s="88"/>
      <c r="P772" s="86"/>
      <c r="Q772" s="168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AS772" s="86"/>
      <c r="AT772" s="86"/>
      <c r="AU772" s="86"/>
      <c r="AV772" s="86"/>
      <c r="AW772" s="86"/>
      <c r="AX772" s="86"/>
      <c r="AY772" s="86"/>
      <c r="AZ772" s="86"/>
      <c r="BA772" s="86"/>
      <c r="BB772" s="86"/>
      <c r="BC772" s="86"/>
      <c r="BD772" s="86"/>
      <c r="BE772" s="86"/>
      <c r="BF772" s="86"/>
      <c r="BG772" s="86"/>
      <c r="BH772" s="86"/>
      <c r="BI772" s="86"/>
      <c r="BJ772" s="86"/>
      <c r="BK772" s="86"/>
      <c r="BL772" s="86"/>
      <c r="BM772" s="86"/>
      <c r="BN772" s="86"/>
      <c r="BO772" s="86"/>
      <c r="BP772" s="86"/>
      <c r="BQ772" s="86"/>
      <c r="BR772" s="86"/>
      <c r="BS772" s="86"/>
      <c r="BT772" s="86"/>
      <c r="BU772" s="86"/>
      <c r="BV772" s="86"/>
      <c r="BW772" s="86"/>
      <c r="BX772" s="86"/>
      <c r="BY772" s="86"/>
      <c r="BZ772" s="86"/>
      <c r="CA772" s="86"/>
      <c r="CB772" s="86"/>
      <c r="CC772" s="86"/>
      <c r="CD772" s="86"/>
      <c r="CE772" s="86"/>
      <c r="CF772" s="86"/>
      <c r="CG772" s="86"/>
      <c r="CH772" s="86"/>
      <c r="CI772" s="86"/>
      <c r="CJ772" s="86"/>
      <c r="CK772" s="86"/>
      <c r="CL772" s="86"/>
      <c r="CM772" s="86"/>
      <c r="CN772" s="86"/>
      <c r="CO772" s="86"/>
      <c r="CP772" s="86"/>
      <c r="CQ772" s="86"/>
      <c r="CR772" s="86"/>
      <c r="CS772" s="86"/>
      <c r="CT772" s="86"/>
      <c r="CU772" s="86"/>
      <c r="CV772" s="86"/>
      <c r="CW772" s="86"/>
      <c r="CX772" s="86"/>
      <c r="CY772" s="86"/>
      <c r="CZ772" s="86"/>
      <c r="DA772" s="86"/>
      <c r="DB772" s="86"/>
      <c r="DC772" s="86"/>
      <c r="DD772" s="86"/>
      <c r="DE772" s="86"/>
      <c r="DF772" s="86"/>
      <c r="DG772" s="86"/>
      <c r="DH772" s="86"/>
      <c r="DI772" s="86"/>
      <c r="DJ772" s="86"/>
      <c r="DK772" s="86"/>
      <c r="DL772" s="86"/>
      <c r="DM772" s="86"/>
      <c r="DN772" s="86"/>
      <c r="DO772" s="86"/>
      <c r="DP772" s="86"/>
      <c r="DQ772" s="86"/>
      <c r="DR772" s="118"/>
      <c r="DS772" s="118"/>
      <c r="DT772" s="86"/>
      <c r="DU772" s="86"/>
      <c r="DV772" s="86"/>
      <c r="DW772" s="86"/>
      <c r="DX772" s="86"/>
      <c r="DY772" s="86"/>
      <c r="DZ772" s="86"/>
      <c r="EA772" s="86"/>
      <c r="EB772" s="86"/>
      <c r="EC772" s="86"/>
      <c r="ED772" s="86"/>
      <c r="EE772" s="86">
        <f t="shared" si="470"/>
        <v>0</v>
      </c>
      <c r="EF772" s="86"/>
      <c r="EG772" s="86"/>
      <c r="EH772" s="86"/>
      <c r="EI772" s="86"/>
      <c r="EJ772" s="86"/>
      <c r="EK772" s="86"/>
      <c r="EL772" s="86"/>
      <c r="EM772" s="86"/>
      <c r="EN772" s="90">
        <f t="shared" si="472"/>
        <v>0</v>
      </c>
    </row>
    <row r="773" spans="1:144" ht="15" customHeight="1" x14ac:dyDescent="0.25">
      <c r="A773" s="86"/>
      <c r="B773" s="88">
        <v>149</v>
      </c>
      <c r="C773" s="86"/>
      <c r="D773" s="87"/>
      <c r="E773" s="86"/>
      <c r="F773" s="86"/>
      <c r="G773" s="86"/>
      <c r="H773" s="86"/>
      <c r="I773" s="86"/>
      <c r="J773" s="86"/>
      <c r="K773" s="86"/>
      <c r="L773" s="86"/>
      <c r="M773" s="86"/>
      <c r="N773" s="88"/>
      <c r="O773" s="88"/>
      <c r="P773" s="86"/>
      <c r="Q773" s="168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AS773" s="86"/>
      <c r="AT773" s="86"/>
      <c r="AU773" s="86"/>
      <c r="AV773" s="86"/>
      <c r="AW773" s="86"/>
      <c r="AX773" s="86"/>
      <c r="AY773" s="86"/>
      <c r="AZ773" s="86"/>
      <c r="BA773" s="86"/>
      <c r="BB773" s="86"/>
      <c r="BC773" s="86"/>
      <c r="BD773" s="86"/>
      <c r="BE773" s="86"/>
      <c r="BF773" s="86"/>
      <c r="BG773" s="86"/>
      <c r="BH773" s="86"/>
      <c r="BI773" s="86"/>
      <c r="BJ773" s="86"/>
      <c r="BK773" s="86"/>
      <c r="BL773" s="86"/>
      <c r="BM773" s="86"/>
      <c r="BN773" s="86"/>
      <c r="BO773" s="86"/>
      <c r="BP773" s="86"/>
      <c r="BQ773" s="86"/>
      <c r="BR773" s="86"/>
      <c r="BS773" s="86"/>
      <c r="BT773" s="86"/>
      <c r="BU773" s="86"/>
      <c r="BV773" s="86"/>
      <c r="BW773" s="86"/>
      <c r="BX773" s="86"/>
      <c r="BY773" s="86"/>
      <c r="BZ773" s="86"/>
      <c r="CA773" s="86"/>
      <c r="CB773" s="86"/>
      <c r="CC773" s="86"/>
      <c r="CD773" s="86"/>
      <c r="CE773" s="86"/>
      <c r="CF773" s="86"/>
      <c r="CG773" s="86"/>
      <c r="CH773" s="86"/>
      <c r="CI773" s="86"/>
      <c r="CJ773" s="86"/>
      <c r="CK773" s="86"/>
      <c r="CL773" s="86"/>
      <c r="CM773" s="86"/>
      <c r="CN773" s="86"/>
      <c r="CO773" s="86"/>
      <c r="CP773" s="86"/>
      <c r="CQ773" s="86"/>
      <c r="CR773" s="86"/>
      <c r="CS773" s="86"/>
      <c r="CT773" s="86"/>
      <c r="CU773" s="86"/>
      <c r="CV773" s="86"/>
      <c r="CW773" s="86"/>
      <c r="CX773" s="86"/>
      <c r="CY773" s="86"/>
      <c r="CZ773" s="86"/>
      <c r="DA773" s="86"/>
      <c r="DB773" s="86"/>
      <c r="DC773" s="86"/>
      <c r="DD773" s="86"/>
      <c r="DE773" s="86"/>
      <c r="DF773" s="86"/>
      <c r="DG773" s="86"/>
      <c r="DH773" s="86"/>
      <c r="DI773" s="86"/>
      <c r="DJ773" s="86"/>
      <c r="DK773" s="86"/>
      <c r="DL773" s="86"/>
      <c r="DM773" s="86"/>
      <c r="DN773" s="86"/>
      <c r="DO773" s="86"/>
      <c r="DP773" s="86"/>
      <c r="DQ773" s="86"/>
      <c r="DR773" s="118"/>
      <c r="DS773" s="118"/>
      <c r="DT773" s="86"/>
      <c r="DU773" s="86"/>
      <c r="DV773" s="86"/>
      <c r="DW773" s="86"/>
      <c r="DX773" s="86"/>
      <c r="DY773" s="86"/>
      <c r="DZ773" s="86"/>
      <c r="EA773" s="86"/>
      <c r="EB773" s="86"/>
      <c r="EC773" s="86"/>
      <c r="ED773" s="86"/>
      <c r="EE773" s="86">
        <f t="shared" si="470"/>
        <v>0</v>
      </c>
      <c r="EF773" s="86"/>
      <c r="EG773" s="86"/>
      <c r="EH773" s="86"/>
      <c r="EI773" s="86"/>
      <c r="EJ773" s="86"/>
      <c r="EK773" s="86"/>
      <c r="EL773" s="86"/>
      <c r="EM773" s="86"/>
      <c r="EN773" s="90">
        <f t="shared" si="472"/>
        <v>0</v>
      </c>
    </row>
    <row r="774" spans="1:144" ht="15" customHeight="1" x14ac:dyDescent="0.25">
      <c r="A774" s="86"/>
      <c r="B774" s="88">
        <v>150</v>
      </c>
      <c r="C774" s="86"/>
      <c r="D774" s="87"/>
      <c r="E774" s="86"/>
      <c r="F774" s="86"/>
      <c r="G774" s="86"/>
      <c r="H774" s="86"/>
      <c r="I774" s="86"/>
      <c r="J774" s="86"/>
      <c r="K774" s="86"/>
      <c r="L774" s="86"/>
      <c r="M774" s="86"/>
      <c r="N774" s="88"/>
      <c r="O774" s="88"/>
      <c r="P774" s="86"/>
      <c r="Q774" s="168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AS774" s="86"/>
      <c r="AT774" s="86"/>
      <c r="AU774" s="86"/>
      <c r="AV774" s="86"/>
      <c r="AW774" s="86"/>
      <c r="AX774" s="86"/>
      <c r="AY774" s="86"/>
      <c r="AZ774" s="86"/>
      <c r="BA774" s="86"/>
      <c r="BB774" s="86"/>
      <c r="BC774" s="86"/>
      <c r="BD774" s="86"/>
      <c r="BE774" s="86"/>
      <c r="BF774" s="86"/>
      <c r="BG774" s="86"/>
      <c r="BH774" s="86"/>
      <c r="BI774" s="86"/>
      <c r="BJ774" s="86"/>
      <c r="BK774" s="86"/>
      <c r="BL774" s="86"/>
      <c r="BM774" s="86"/>
      <c r="BN774" s="86"/>
      <c r="BO774" s="86"/>
      <c r="BP774" s="86"/>
      <c r="BQ774" s="86"/>
      <c r="BR774" s="86"/>
      <c r="BS774" s="86"/>
      <c r="BT774" s="86"/>
      <c r="BU774" s="86"/>
      <c r="BV774" s="86"/>
      <c r="BW774" s="86"/>
      <c r="BX774" s="86"/>
      <c r="BY774" s="86"/>
      <c r="BZ774" s="86"/>
      <c r="CA774" s="86"/>
      <c r="CB774" s="86"/>
      <c r="CC774" s="86"/>
      <c r="CD774" s="86"/>
      <c r="CE774" s="86"/>
      <c r="CF774" s="86"/>
      <c r="CG774" s="86"/>
      <c r="CH774" s="86"/>
      <c r="CI774" s="86"/>
      <c r="CJ774" s="86"/>
      <c r="CK774" s="86"/>
      <c r="CL774" s="86"/>
      <c r="CM774" s="86"/>
      <c r="CN774" s="86"/>
      <c r="CO774" s="86"/>
      <c r="CP774" s="86"/>
      <c r="CQ774" s="86"/>
      <c r="CR774" s="86"/>
      <c r="CS774" s="86"/>
      <c r="CT774" s="86"/>
      <c r="CU774" s="86"/>
      <c r="CV774" s="86"/>
      <c r="CW774" s="86"/>
      <c r="CX774" s="86"/>
      <c r="CY774" s="86"/>
      <c r="CZ774" s="86"/>
      <c r="DA774" s="86"/>
      <c r="DB774" s="86"/>
      <c r="DC774" s="86"/>
      <c r="DD774" s="86"/>
      <c r="DE774" s="86"/>
      <c r="DF774" s="86"/>
      <c r="DG774" s="86"/>
      <c r="DH774" s="86"/>
      <c r="DI774" s="86"/>
      <c r="DJ774" s="86"/>
      <c r="DK774" s="86"/>
      <c r="DL774" s="86"/>
      <c r="DM774" s="86"/>
      <c r="DN774" s="86"/>
      <c r="DO774" s="86"/>
      <c r="DP774" s="86"/>
      <c r="DQ774" s="86"/>
      <c r="DR774" s="118"/>
      <c r="DS774" s="118"/>
      <c r="DT774" s="86"/>
      <c r="DU774" s="86"/>
      <c r="DV774" s="86"/>
      <c r="DW774" s="86"/>
      <c r="DX774" s="86"/>
      <c r="DY774" s="86"/>
      <c r="DZ774" s="86"/>
      <c r="EA774" s="86"/>
      <c r="EB774" s="86"/>
      <c r="EC774" s="86"/>
      <c r="ED774" s="86"/>
      <c r="EE774" s="86">
        <f t="shared" si="470"/>
        <v>0</v>
      </c>
      <c r="EF774" s="86"/>
      <c r="EG774" s="86"/>
      <c r="EH774" s="86"/>
      <c r="EI774" s="86"/>
      <c r="EJ774" s="86"/>
      <c r="EK774" s="86"/>
      <c r="EL774" s="86"/>
      <c r="EM774" s="86"/>
      <c r="EN774" s="90">
        <f t="shared" si="472"/>
        <v>0</v>
      </c>
    </row>
    <row r="775" spans="1:144" ht="15" customHeight="1" x14ac:dyDescent="0.25">
      <c r="A775" s="86"/>
      <c r="B775" s="88">
        <v>151</v>
      </c>
      <c r="C775" s="86"/>
      <c r="D775" s="87"/>
      <c r="E775" s="86"/>
      <c r="F775" s="86"/>
      <c r="G775" s="86"/>
      <c r="H775" s="86"/>
      <c r="I775" s="86"/>
      <c r="J775" s="86"/>
      <c r="K775" s="86"/>
      <c r="L775" s="86"/>
      <c r="M775" s="86"/>
      <c r="N775" s="88"/>
      <c r="O775" s="88"/>
      <c r="P775" s="86"/>
      <c r="Q775" s="168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AS775" s="86"/>
      <c r="AT775" s="86"/>
      <c r="AU775" s="86"/>
      <c r="AV775" s="86"/>
      <c r="AW775" s="86"/>
      <c r="AX775" s="86"/>
      <c r="AY775" s="86"/>
      <c r="AZ775" s="86"/>
      <c r="BA775" s="86"/>
      <c r="BB775" s="86"/>
      <c r="BC775" s="86"/>
      <c r="BD775" s="86"/>
      <c r="BE775" s="86"/>
      <c r="BF775" s="86"/>
      <c r="BG775" s="86"/>
      <c r="BH775" s="86"/>
      <c r="BI775" s="86"/>
      <c r="BJ775" s="86"/>
      <c r="BK775" s="86"/>
      <c r="BL775" s="86"/>
      <c r="BM775" s="86"/>
      <c r="BN775" s="86"/>
      <c r="BO775" s="86"/>
      <c r="BP775" s="86"/>
      <c r="BQ775" s="86"/>
      <c r="BR775" s="86"/>
      <c r="BS775" s="86"/>
      <c r="BT775" s="86"/>
      <c r="BU775" s="86"/>
      <c r="BV775" s="86"/>
      <c r="BW775" s="86"/>
      <c r="BX775" s="86"/>
      <c r="BY775" s="86"/>
      <c r="BZ775" s="86"/>
      <c r="CA775" s="86"/>
      <c r="CB775" s="86"/>
      <c r="CC775" s="86"/>
      <c r="CD775" s="86"/>
      <c r="CE775" s="86"/>
      <c r="CF775" s="86"/>
      <c r="CG775" s="86"/>
      <c r="CH775" s="86"/>
      <c r="CI775" s="86"/>
      <c r="CJ775" s="86"/>
      <c r="CK775" s="86"/>
      <c r="CL775" s="86"/>
      <c r="CM775" s="86"/>
      <c r="CN775" s="86"/>
      <c r="CO775" s="86"/>
      <c r="CP775" s="86"/>
      <c r="CQ775" s="86"/>
      <c r="CR775" s="86"/>
      <c r="CS775" s="86"/>
      <c r="CT775" s="86"/>
      <c r="CU775" s="86"/>
      <c r="CV775" s="86"/>
      <c r="CW775" s="86"/>
      <c r="CX775" s="86"/>
      <c r="CY775" s="86"/>
      <c r="CZ775" s="86"/>
      <c r="DA775" s="86"/>
      <c r="DB775" s="86"/>
      <c r="DC775" s="86"/>
      <c r="DD775" s="86"/>
      <c r="DE775" s="86"/>
      <c r="DF775" s="86"/>
      <c r="DG775" s="86"/>
      <c r="DH775" s="86"/>
      <c r="DI775" s="86"/>
      <c r="DJ775" s="86"/>
      <c r="DK775" s="86"/>
      <c r="DL775" s="86"/>
      <c r="DM775" s="86"/>
      <c r="DN775" s="86"/>
      <c r="DO775" s="86"/>
      <c r="DP775" s="86"/>
      <c r="DQ775" s="86"/>
      <c r="DR775" s="118"/>
      <c r="DS775" s="118"/>
      <c r="DT775" s="86"/>
      <c r="DU775" s="86"/>
      <c r="DV775" s="86"/>
      <c r="DW775" s="86"/>
      <c r="DX775" s="86"/>
      <c r="DY775" s="86"/>
      <c r="DZ775" s="86"/>
      <c r="EA775" s="86"/>
      <c r="EB775" s="86"/>
      <c r="EC775" s="86"/>
      <c r="ED775" s="86"/>
      <c r="EE775" s="86">
        <f t="shared" si="470"/>
        <v>0</v>
      </c>
      <c r="EF775" s="86"/>
      <c r="EG775" s="86"/>
      <c r="EH775" s="86"/>
      <c r="EI775" s="86"/>
      <c r="EJ775" s="86"/>
      <c r="EK775" s="86"/>
      <c r="EL775" s="86"/>
      <c r="EM775" s="86"/>
      <c r="EN775" s="90">
        <f t="shared" si="472"/>
        <v>0</v>
      </c>
    </row>
    <row r="776" spans="1:144" ht="15" customHeight="1" x14ac:dyDescent="0.25">
      <c r="A776" s="86"/>
      <c r="B776" s="88">
        <v>152</v>
      </c>
      <c r="C776" s="86"/>
      <c r="D776" s="87"/>
      <c r="E776" s="86"/>
      <c r="F776" s="86"/>
      <c r="G776" s="86"/>
      <c r="H776" s="86"/>
      <c r="I776" s="86"/>
      <c r="J776" s="86"/>
      <c r="K776" s="86"/>
      <c r="L776" s="86"/>
      <c r="M776" s="86"/>
      <c r="N776" s="88"/>
      <c r="O776" s="88"/>
      <c r="P776" s="86"/>
      <c r="Q776" s="168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AS776" s="86"/>
      <c r="AT776" s="86"/>
      <c r="AU776" s="86"/>
      <c r="AV776" s="86"/>
      <c r="AW776" s="86"/>
      <c r="AX776" s="86"/>
      <c r="AY776" s="86"/>
      <c r="AZ776" s="86"/>
      <c r="BA776" s="86"/>
      <c r="BB776" s="86"/>
      <c r="BC776" s="86"/>
      <c r="BD776" s="86"/>
      <c r="BE776" s="86"/>
      <c r="BF776" s="86"/>
      <c r="BG776" s="86"/>
      <c r="BH776" s="86"/>
      <c r="BI776" s="86"/>
      <c r="BJ776" s="86"/>
      <c r="BK776" s="86"/>
      <c r="BL776" s="86"/>
      <c r="BM776" s="86"/>
      <c r="BN776" s="86"/>
      <c r="BO776" s="86"/>
      <c r="BP776" s="86"/>
      <c r="BQ776" s="86"/>
      <c r="BR776" s="86"/>
      <c r="BS776" s="86"/>
      <c r="BT776" s="86"/>
      <c r="BU776" s="86"/>
      <c r="BV776" s="86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  <c r="CO776" s="86"/>
      <c r="CP776" s="86"/>
      <c r="CQ776" s="86"/>
      <c r="CR776" s="86"/>
      <c r="CS776" s="86"/>
      <c r="CT776" s="86"/>
      <c r="CU776" s="86"/>
      <c r="CV776" s="86"/>
      <c r="CW776" s="86"/>
      <c r="CX776" s="86"/>
      <c r="CY776" s="86"/>
      <c r="CZ776" s="86"/>
      <c r="DA776" s="86"/>
      <c r="DB776" s="86"/>
      <c r="DC776" s="86"/>
      <c r="DD776" s="86"/>
      <c r="DE776" s="86"/>
      <c r="DF776" s="86"/>
      <c r="DG776" s="86"/>
      <c r="DH776" s="86"/>
      <c r="DI776" s="86"/>
      <c r="DJ776" s="86"/>
      <c r="DK776" s="86"/>
      <c r="DL776" s="86"/>
      <c r="DM776" s="86"/>
      <c r="DN776" s="86"/>
      <c r="DO776" s="86"/>
      <c r="DP776" s="86"/>
      <c r="DQ776" s="86"/>
      <c r="DR776" s="118"/>
      <c r="DS776" s="118"/>
      <c r="DT776" s="86"/>
      <c r="DU776" s="86"/>
      <c r="DV776" s="86"/>
      <c r="DW776" s="86"/>
      <c r="DX776" s="86"/>
      <c r="DY776" s="86"/>
      <c r="DZ776" s="86"/>
      <c r="EA776" s="86"/>
      <c r="EB776" s="86"/>
      <c r="EC776" s="86"/>
      <c r="ED776" s="86"/>
      <c r="EE776" s="86">
        <f t="shared" si="470"/>
        <v>0</v>
      </c>
      <c r="EF776" s="86"/>
      <c r="EG776" s="86"/>
      <c r="EH776" s="86"/>
      <c r="EI776" s="86"/>
      <c r="EJ776" s="86"/>
      <c r="EK776" s="86"/>
      <c r="EL776" s="86"/>
      <c r="EM776" s="86"/>
      <c r="EN776" s="90">
        <f t="shared" si="472"/>
        <v>0</v>
      </c>
    </row>
    <row r="777" spans="1:144" ht="1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8"/>
      <c r="O777" s="88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AS777" s="86"/>
      <c r="AT777" s="86"/>
      <c r="AU777" s="86"/>
      <c r="AV777" s="86"/>
      <c r="AW777" s="86"/>
      <c r="AX777" s="86"/>
      <c r="AY777" s="86"/>
      <c r="AZ777" s="86"/>
      <c r="BA777" s="86"/>
      <c r="BB777" s="86"/>
      <c r="BC777" s="86"/>
      <c r="BD777" s="86"/>
      <c r="BE777" s="86"/>
      <c r="BF777" s="86"/>
      <c r="BG777" s="86"/>
      <c r="BH777" s="86"/>
      <c r="BI777" s="86"/>
      <c r="BJ777" s="86"/>
      <c r="BK777" s="86"/>
      <c r="BL777" s="86"/>
      <c r="BM777" s="86"/>
      <c r="BN777" s="86"/>
      <c r="BO777" s="86"/>
      <c r="BP777" s="86"/>
      <c r="BQ777" s="86"/>
      <c r="BR777" s="86"/>
      <c r="BS777" s="86"/>
      <c r="BT777" s="86"/>
      <c r="BU777" s="86"/>
      <c r="BV777" s="86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86"/>
      <c r="CQ777" s="86"/>
      <c r="CR777" s="86"/>
      <c r="CS777" s="86"/>
      <c r="CT777" s="86"/>
      <c r="CU777" s="86"/>
      <c r="CV777" s="86"/>
      <c r="CW777" s="86"/>
      <c r="CX777" s="86"/>
      <c r="CY777" s="86"/>
      <c r="CZ777" s="86"/>
      <c r="DA777" s="86"/>
      <c r="DB777" s="86"/>
      <c r="DC777" s="86"/>
      <c r="DD777" s="86"/>
      <c r="DE777" s="86"/>
      <c r="DF777" s="86"/>
      <c r="DG777" s="86"/>
      <c r="DH777" s="86"/>
      <c r="DI777" s="86"/>
      <c r="DJ777" s="86"/>
      <c r="DK777" s="86"/>
      <c r="DL777" s="86"/>
      <c r="DM777" s="86"/>
      <c r="DN777" s="86"/>
      <c r="DO777" s="86"/>
      <c r="DP777" s="86"/>
      <c r="DQ777" s="86"/>
      <c r="DR777" s="118"/>
      <c r="DS777" s="118"/>
      <c r="DT777" s="86"/>
      <c r="DU777" s="86"/>
      <c r="DV777" s="86"/>
      <c r="DW777" s="86"/>
      <c r="DX777" s="86"/>
      <c r="DY777" s="86"/>
      <c r="DZ777" s="86"/>
      <c r="EA777" s="86"/>
      <c r="EB777" s="86"/>
      <c r="EC777" s="86"/>
      <c r="ED777" s="86"/>
      <c r="EE777" s="86">
        <f t="shared" si="470"/>
        <v>0</v>
      </c>
      <c r="EF777" s="86"/>
      <c r="EG777" s="86"/>
      <c r="EH777" s="86"/>
      <c r="EI777" s="86"/>
      <c r="EJ777" s="86"/>
      <c r="EK777" s="86"/>
      <c r="EL777" s="86"/>
      <c r="EM777" s="86"/>
      <c r="EN777" s="90">
        <f t="shared" si="472"/>
        <v>0</v>
      </c>
    </row>
    <row r="778" spans="1:144" ht="1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8"/>
      <c r="O778" s="88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86"/>
      <c r="CS778" s="86"/>
      <c r="CT778" s="86"/>
      <c r="CU778" s="86"/>
      <c r="CV778" s="86"/>
      <c r="CW778" s="86"/>
      <c r="CX778" s="86"/>
      <c r="CY778" s="86"/>
      <c r="CZ778" s="86"/>
      <c r="DA778" s="86"/>
      <c r="DB778" s="86"/>
      <c r="DC778" s="86"/>
      <c r="DD778" s="86"/>
      <c r="DE778" s="86"/>
      <c r="DF778" s="86"/>
      <c r="DG778" s="86"/>
      <c r="DH778" s="86"/>
      <c r="DI778" s="86"/>
      <c r="DJ778" s="86"/>
      <c r="DK778" s="86"/>
      <c r="DL778" s="86"/>
      <c r="DM778" s="86"/>
      <c r="DN778" s="86"/>
      <c r="DO778" s="86"/>
      <c r="DP778" s="86"/>
      <c r="DQ778" s="86"/>
      <c r="DR778" s="118"/>
      <c r="DS778" s="118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>
        <f t="shared" si="470"/>
        <v>0</v>
      </c>
      <c r="EF778" s="86"/>
      <c r="EG778" s="86"/>
      <c r="EH778" s="86"/>
      <c r="EI778" s="86"/>
      <c r="EJ778" s="86"/>
      <c r="EK778" s="86"/>
      <c r="EL778" s="86"/>
      <c r="EM778" s="86"/>
      <c r="EN778" s="90">
        <f t="shared" si="472"/>
        <v>0</v>
      </c>
    </row>
    <row r="779" spans="1:144" ht="1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8"/>
      <c r="O779" s="88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/>
      <c r="AV779" s="86"/>
      <c r="AW779" s="86"/>
      <c r="AX779" s="86"/>
      <c r="AY779" s="86"/>
      <c r="AZ779" s="86"/>
      <c r="BA779" s="86"/>
      <c r="BB779" s="86"/>
      <c r="BC779" s="86"/>
      <c r="BD779" s="86"/>
      <c r="BE779" s="86"/>
      <c r="BF779" s="86"/>
      <c r="BG779" s="86"/>
      <c r="BH779" s="86"/>
      <c r="BI779" s="86"/>
      <c r="BJ779" s="86"/>
      <c r="BK779" s="86"/>
      <c r="BL779" s="86"/>
      <c r="BM779" s="86"/>
      <c r="BN779" s="86"/>
      <c r="BO779" s="86"/>
      <c r="BP779" s="86"/>
      <c r="BQ779" s="86"/>
      <c r="BR779" s="86"/>
      <c r="BS779" s="86"/>
      <c r="BT779" s="86"/>
      <c r="BU779" s="86"/>
      <c r="BV779" s="86"/>
      <c r="BW779" s="86"/>
      <c r="BX779" s="86"/>
      <c r="BY779" s="86"/>
      <c r="BZ779" s="86"/>
      <c r="CA779" s="86"/>
      <c r="CB779" s="86"/>
      <c r="CC779" s="86"/>
      <c r="CD779" s="86"/>
      <c r="CE779" s="86"/>
      <c r="CF779" s="86"/>
      <c r="CG779" s="86"/>
      <c r="CH779" s="86"/>
      <c r="CI779" s="86"/>
      <c r="CJ779" s="86"/>
      <c r="CK779" s="86"/>
      <c r="CL779" s="86"/>
      <c r="CM779" s="86"/>
      <c r="CN779" s="86"/>
      <c r="CO779" s="86"/>
      <c r="CP779" s="86"/>
      <c r="CQ779" s="86"/>
      <c r="CR779" s="86"/>
      <c r="CS779" s="86"/>
      <c r="CT779" s="86"/>
      <c r="CU779" s="86"/>
      <c r="CV779" s="86"/>
      <c r="CW779" s="86"/>
      <c r="CX779" s="86"/>
      <c r="CY779" s="86"/>
      <c r="CZ779" s="86"/>
      <c r="DA779" s="86"/>
      <c r="DB779" s="86"/>
      <c r="DC779" s="86"/>
      <c r="DD779" s="86"/>
      <c r="DE779" s="86"/>
      <c r="DF779" s="86"/>
      <c r="DG779" s="86"/>
      <c r="DH779" s="86"/>
      <c r="DI779" s="86"/>
      <c r="DJ779" s="86"/>
      <c r="DK779" s="86"/>
      <c r="DL779" s="86"/>
      <c r="DM779" s="86"/>
      <c r="DN779" s="86"/>
      <c r="DO779" s="86"/>
      <c r="DP779" s="86"/>
      <c r="DQ779" s="86"/>
      <c r="DR779" s="118"/>
      <c r="DS779" s="118"/>
      <c r="DT779" s="86"/>
      <c r="DU779" s="86"/>
      <c r="DV779" s="86"/>
      <c r="DW779" s="86"/>
      <c r="DX779" s="86"/>
      <c r="DY779" s="86"/>
      <c r="DZ779" s="86"/>
      <c r="EA779" s="86"/>
      <c r="EB779" s="86"/>
      <c r="EC779" s="86"/>
      <c r="ED779" s="86"/>
      <c r="EE779" s="86">
        <f t="shared" si="470"/>
        <v>0</v>
      </c>
      <c r="EF779" s="86"/>
      <c r="EG779" s="86"/>
      <c r="EH779" s="86"/>
      <c r="EI779" s="86"/>
      <c r="EJ779" s="86"/>
      <c r="EK779" s="86"/>
      <c r="EL779" s="86"/>
      <c r="EM779" s="86"/>
      <c r="EN779" s="90">
        <f t="shared" si="472"/>
        <v>0</v>
      </c>
    </row>
    <row r="780" spans="1:144" ht="1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8"/>
      <c r="O780" s="88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AS780" s="86"/>
      <c r="AT780" s="86"/>
      <c r="AU780" s="86"/>
      <c r="AV780" s="86"/>
      <c r="AW780" s="86"/>
      <c r="AX780" s="86"/>
      <c r="AY780" s="86"/>
      <c r="AZ780" s="86"/>
      <c r="BA780" s="86"/>
      <c r="BB780" s="86"/>
      <c r="BC780" s="86"/>
      <c r="BD780" s="86"/>
      <c r="BE780" s="86"/>
      <c r="BF780" s="86"/>
      <c r="BG780" s="86"/>
      <c r="BH780" s="86"/>
      <c r="BI780" s="86"/>
      <c r="BJ780" s="86"/>
      <c r="BK780" s="86"/>
      <c r="BL780" s="86"/>
      <c r="BM780" s="86"/>
      <c r="BN780" s="86"/>
      <c r="BO780" s="86"/>
      <c r="BP780" s="86"/>
      <c r="BQ780" s="86"/>
      <c r="BR780" s="86"/>
      <c r="BS780" s="86"/>
      <c r="BT780" s="86"/>
      <c r="BU780" s="86"/>
      <c r="BV780" s="86"/>
      <c r="BW780" s="86"/>
      <c r="BX780" s="86"/>
      <c r="BY780" s="86"/>
      <c r="BZ780" s="86"/>
      <c r="CA780" s="86"/>
      <c r="CB780" s="86"/>
      <c r="CC780" s="86"/>
      <c r="CD780" s="86"/>
      <c r="CE780" s="86"/>
      <c r="CF780" s="86"/>
      <c r="CG780" s="86"/>
      <c r="CH780" s="86"/>
      <c r="CI780" s="86"/>
      <c r="CJ780" s="86"/>
      <c r="CK780" s="86"/>
      <c r="CL780" s="86"/>
      <c r="CM780" s="86"/>
      <c r="CN780" s="86"/>
      <c r="CO780" s="86"/>
      <c r="CP780" s="86"/>
      <c r="CQ780" s="86"/>
      <c r="CR780" s="86"/>
      <c r="CS780" s="86"/>
      <c r="CT780" s="86"/>
      <c r="CU780" s="86"/>
      <c r="CV780" s="86"/>
      <c r="CW780" s="86"/>
      <c r="CX780" s="86"/>
      <c r="CY780" s="86"/>
      <c r="CZ780" s="86"/>
      <c r="DA780" s="86"/>
      <c r="DB780" s="86"/>
      <c r="DC780" s="86"/>
      <c r="DD780" s="86"/>
      <c r="DE780" s="86"/>
      <c r="DF780" s="86"/>
      <c r="DG780" s="86"/>
      <c r="DH780" s="86"/>
      <c r="DI780" s="86"/>
      <c r="DJ780" s="86"/>
      <c r="DK780" s="86"/>
      <c r="DL780" s="86"/>
      <c r="DM780" s="86"/>
      <c r="DN780" s="86"/>
      <c r="DO780" s="86"/>
      <c r="DP780" s="86"/>
      <c r="DQ780" s="86"/>
      <c r="DR780" s="118"/>
      <c r="DS780" s="118"/>
      <c r="DT780" s="86"/>
      <c r="DU780" s="86"/>
      <c r="DV780" s="86"/>
      <c r="DW780" s="86"/>
      <c r="DX780" s="86"/>
      <c r="DY780" s="86"/>
      <c r="DZ780" s="86"/>
      <c r="EA780" s="86"/>
      <c r="EB780" s="86"/>
      <c r="EC780" s="86"/>
      <c r="ED780" s="86"/>
      <c r="EE780" s="86">
        <f t="shared" si="470"/>
        <v>0</v>
      </c>
      <c r="EF780" s="86"/>
      <c r="EG780" s="86"/>
      <c r="EH780" s="86"/>
      <c r="EI780" s="86"/>
      <c r="EJ780" s="86"/>
      <c r="EK780" s="86"/>
      <c r="EL780" s="86"/>
      <c r="EM780" s="86"/>
      <c r="EN780" s="90">
        <f t="shared" si="472"/>
        <v>0</v>
      </c>
    </row>
    <row r="781" spans="1:144" ht="1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8"/>
      <c r="O781" s="88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AS781" s="86"/>
      <c r="AT781" s="86"/>
      <c r="AU781" s="86"/>
      <c r="AV781" s="86"/>
      <c r="AW781" s="86"/>
      <c r="AX781" s="86"/>
      <c r="AY781" s="86"/>
      <c r="AZ781" s="86"/>
      <c r="BA781" s="86"/>
      <c r="BB781" s="86"/>
      <c r="BC781" s="86"/>
      <c r="BD781" s="86"/>
      <c r="BE781" s="86"/>
      <c r="BF781" s="86"/>
      <c r="BG781" s="86"/>
      <c r="BH781" s="86"/>
      <c r="BI781" s="86"/>
      <c r="BJ781" s="86"/>
      <c r="BK781" s="86"/>
      <c r="BL781" s="86"/>
      <c r="BM781" s="86"/>
      <c r="BN781" s="86"/>
      <c r="BO781" s="86"/>
      <c r="BP781" s="86"/>
      <c r="BQ781" s="86"/>
      <c r="BR781" s="86"/>
      <c r="BS781" s="86"/>
      <c r="BT781" s="86"/>
      <c r="BU781" s="86"/>
      <c r="BV781" s="86"/>
      <c r="BW781" s="86"/>
      <c r="BX781" s="86"/>
      <c r="BY781" s="86"/>
      <c r="BZ781" s="86"/>
      <c r="CA781" s="86"/>
      <c r="CB781" s="86"/>
      <c r="CC781" s="86"/>
      <c r="CD781" s="86"/>
      <c r="CE781" s="86"/>
      <c r="CF781" s="86"/>
      <c r="CG781" s="86"/>
      <c r="CH781" s="86"/>
      <c r="CI781" s="86"/>
      <c r="CJ781" s="86"/>
      <c r="CK781" s="86"/>
      <c r="CL781" s="86"/>
      <c r="CM781" s="86"/>
      <c r="CN781" s="86"/>
      <c r="CO781" s="86"/>
      <c r="CP781" s="86"/>
      <c r="CQ781" s="86"/>
      <c r="CR781" s="86"/>
      <c r="CS781" s="86"/>
      <c r="CT781" s="86"/>
      <c r="CU781" s="86"/>
      <c r="CV781" s="86"/>
      <c r="CW781" s="86"/>
      <c r="CX781" s="86"/>
      <c r="CY781" s="86"/>
      <c r="CZ781" s="86"/>
      <c r="DA781" s="86"/>
      <c r="DB781" s="86"/>
      <c r="DC781" s="86"/>
      <c r="DD781" s="86"/>
      <c r="DE781" s="86"/>
      <c r="DF781" s="86"/>
      <c r="DG781" s="86"/>
      <c r="DH781" s="86"/>
      <c r="DI781" s="86"/>
      <c r="DJ781" s="86"/>
      <c r="DK781" s="86"/>
      <c r="DL781" s="86"/>
      <c r="DM781" s="86"/>
      <c r="DN781" s="86"/>
      <c r="DO781" s="86"/>
      <c r="DP781" s="86"/>
      <c r="DQ781" s="86"/>
      <c r="DR781" s="118"/>
      <c r="DS781" s="118"/>
      <c r="DT781" s="86"/>
      <c r="DU781" s="86"/>
      <c r="DV781" s="86"/>
      <c r="DW781" s="86"/>
      <c r="DX781" s="86"/>
      <c r="DY781" s="86"/>
      <c r="DZ781" s="86"/>
      <c r="EA781" s="86"/>
      <c r="EB781" s="86"/>
      <c r="EC781" s="86"/>
      <c r="ED781" s="86"/>
      <c r="EE781" s="86">
        <f t="shared" si="470"/>
        <v>0</v>
      </c>
      <c r="EF781" s="86"/>
      <c r="EG781" s="86"/>
      <c r="EH781" s="86"/>
      <c r="EI781" s="86"/>
      <c r="EJ781" s="86"/>
      <c r="EK781" s="86"/>
      <c r="EL781" s="86"/>
      <c r="EM781" s="86"/>
      <c r="EN781" s="90">
        <f t="shared" si="472"/>
        <v>0</v>
      </c>
    </row>
    <row r="782" spans="1:144" ht="1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8"/>
      <c r="O782" s="88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AS782" s="86"/>
      <c r="AT782" s="86"/>
      <c r="AU782" s="86"/>
      <c r="AV782" s="86"/>
      <c r="AW782" s="86"/>
      <c r="AX782" s="86"/>
      <c r="AY782" s="86"/>
      <c r="AZ782" s="86"/>
      <c r="BA782" s="86"/>
      <c r="BB782" s="86"/>
      <c r="BC782" s="86"/>
      <c r="BD782" s="86"/>
      <c r="BE782" s="86"/>
      <c r="BF782" s="86"/>
      <c r="BG782" s="86"/>
      <c r="BH782" s="86"/>
      <c r="BI782" s="86"/>
      <c r="BJ782" s="86"/>
      <c r="BK782" s="86"/>
      <c r="BL782" s="86"/>
      <c r="BM782" s="86"/>
      <c r="BN782" s="86"/>
      <c r="BO782" s="86"/>
      <c r="BP782" s="86"/>
      <c r="BQ782" s="86"/>
      <c r="BR782" s="86"/>
      <c r="BS782" s="86"/>
      <c r="BT782" s="86"/>
      <c r="BU782" s="86"/>
      <c r="BV782" s="86"/>
      <c r="BW782" s="86"/>
      <c r="BX782" s="86"/>
      <c r="BY782" s="86"/>
      <c r="BZ782" s="86"/>
      <c r="CA782" s="86"/>
      <c r="CB782" s="86"/>
      <c r="CC782" s="86"/>
      <c r="CD782" s="86"/>
      <c r="CE782" s="86"/>
      <c r="CF782" s="86"/>
      <c r="CG782" s="86"/>
      <c r="CH782" s="86"/>
      <c r="CI782" s="86"/>
      <c r="CJ782" s="86"/>
      <c r="CK782" s="86"/>
      <c r="CL782" s="86"/>
      <c r="CM782" s="86"/>
      <c r="CN782" s="86"/>
      <c r="CO782" s="86"/>
      <c r="CP782" s="86"/>
      <c r="CQ782" s="86"/>
      <c r="CR782" s="86"/>
      <c r="CS782" s="86"/>
      <c r="CT782" s="86"/>
      <c r="CU782" s="86"/>
      <c r="CV782" s="86"/>
      <c r="CW782" s="86"/>
      <c r="CX782" s="86"/>
      <c r="CY782" s="86"/>
      <c r="CZ782" s="86"/>
      <c r="DA782" s="86"/>
      <c r="DB782" s="86"/>
      <c r="DC782" s="86"/>
      <c r="DD782" s="86"/>
      <c r="DE782" s="86"/>
      <c r="DF782" s="86"/>
      <c r="DG782" s="86"/>
      <c r="DH782" s="86"/>
      <c r="DI782" s="86"/>
      <c r="DJ782" s="86"/>
      <c r="DK782" s="86"/>
      <c r="DL782" s="86"/>
      <c r="DM782" s="86"/>
      <c r="DN782" s="86"/>
      <c r="DO782" s="86"/>
      <c r="DP782" s="86"/>
      <c r="DQ782" s="86"/>
      <c r="DR782" s="118"/>
      <c r="DS782" s="118"/>
      <c r="DT782" s="86"/>
      <c r="DU782" s="86"/>
      <c r="DV782" s="86"/>
      <c r="DW782" s="86"/>
      <c r="DX782" s="86"/>
      <c r="DY782" s="86"/>
      <c r="DZ782" s="86"/>
      <c r="EA782" s="86"/>
      <c r="EB782" s="86"/>
      <c r="EC782" s="86"/>
      <c r="ED782" s="86"/>
      <c r="EE782" s="86">
        <f t="shared" si="470"/>
        <v>0</v>
      </c>
      <c r="EF782" s="86"/>
      <c r="EG782" s="86"/>
      <c r="EH782" s="86"/>
      <c r="EI782" s="86"/>
      <c r="EJ782" s="86"/>
      <c r="EK782" s="86"/>
      <c r="EL782" s="86"/>
      <c r="EM782" s="86"/>
      <c r="EN782" s="90">
        <f t="shared" si="472"/>
        <v>0</v>
      </c>
    </row>
    <row r="783" spans="1:144" ht="1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8"/>
      <c r="O783" s="88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AS783" s="86"/>
      <c r="AT783" s="86"/>
      <c r="AU783" s="86"/>
      <c r="AV783" s="86"/>
      <c r="AW783" s="86"/>
      <c r="AX783" s="86"/>
      <c r="AY783" s="86"/>
      <c r="AZ783" s="86"/>
      <c r="BA783" s="86"/>
      <c r="BB783" s="86"/>
      <c r="BC783" s="86"/>
      <c r="BD783" s="86"/>
      <c r="BE783" s="86"/>
      <c r="BF783" s="86"/>
      <c r="BG783" s="86"/>
      <c r="BH783" s="86"/>
      <c r="BI783" s="86"/>
      <c r="BJ783" s="86"/>
      <c r="BK783" s="86"/>
      <c r="BL783" s="86"/>
      <c r="BM783" s="86"/>
      <c r="BN783" s="86"/>
      <c r="BO783" s="86"/>
      <c r="BP783" s="86"/>
      <c r="BQ783" s="86"/>
      <c r="BR783" s="86"/>
      <c r="BS783" s="86"/>
      <c r="BT783" s="86"/>
      <c r="BU783" s="86"/>
      <c r="BV783" s="86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  <c r="CO783" s="86"/>
      <c r="CP783" s="86"/>
      <c r="CQ783" s="86"/>
      <c r="CR783" s="86"/>
      <c r="CS783" s="86"/>
      <c r="CT783" s="86"/>
      <c r="CU783" s="86"/>
      <c r="CV783" s="86"/>
      <c r="CW783" s="86"/>
      <c r="CX783" s="86"/>
      <c r="CY783" s="86"/>
      <c r="CZ783" s="86"/>
      <c r="DA783" s="86"/>
      <c r="DB783" s="86"/>
      <c r="DC783" s="86"/>
      <c r="DD783" s="86"/>
      <c r="DE783" s="86"/>
      <c r="DF783" s="86"/>
      <c r="DG783" s="86"/>
      <c r="DH783" s="86"/>
      <c r="DI783" s="86"/>
      <c r="DJ783" s="86"/>
      <c r="DK783" s="86"/>
      <c r="DL783" s="86"/>
      <c r="DM783" s="86"/>
      <c r="DN783" s="86"/>
      <c r="DO783" s="86"/>
      <c r="DP783" s="86"/>
      <c r="DQ783" s="86"/>
      <c r="DR783" s="118"/>
      <c r="DS783" s="118"/>
      <c r="DT783" s="86"/>
      <c r="DU783" s="86"/>
      <c r="DV783" s="86"/>
      <c r="DW783" s="86"/>
      <c r="DX783" s="86"/>
      <c r="DY783" s="86"/>
      <c r="DZ783" s="86"/>
      <c r="EA783" s="86"/>
      <c r="EB783" s="86"/>
      <c r="EC783" s="86"/>
      <c r="ED783" s="86"/>
      <c r="EE783" s="86"/>
      <c r="EF783" s="86"/>
      <c r="EG783" s="86"/>
      <c r="EH783" s="86"/>
      <c r="EI783" s="86"/>
      <c r="EJ783" s="86"/>
      <c r="EK783" s="86"/>
      <c r="EL783" s="86"/>
      <c r="EM783" s="86"/>
      <c r="EN783" s="90">
        <f t="shared" si="472"/>
        <v>0</v>
      </c>
    </row>
    <row r="784" spans="1:144" ht="1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8"/>
      <c r="O784" s="88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AS784" s="86"/>
      <c r="AT784" s="86"/>
      <c r="AU784" s="86"/>
      <c r="AV784" s="86"/>
      <c r="AW784" s="86"/>
      <c r="AX784" s="86"/>
      <c r="AY784" s="86"/>
      <c r="AZ784" s="86"/>
      <c r="BA784" s="86"/>
      <c r="BB784" s="86"/>
      <c r="BC784" s="86"/>
      <c r="BD784" s="86"/>
      <c r="BE784" s="86"/>
      <c r="BF784" s="86"/>
      <c r="BG784" s="86"/>
      <c r="BH784" s="86"/>
      <c r="BI784" s="86"/>
      <c r="BJ784" s="86"/>
      <c r="BK784" s="86"/>
      <c r="BL784" s="86"/>
      <c r="BM784" s="86"/>
      <c r="BN784" s="86"/>
      <c r="BO784" s="86"/>
      <c r="BP784" s="86"/>
      <c r="BQ784" s="86"/>
      <c r="BR784" s="86"/>
      <c r="BS784" s="86"/>
      <c r="BT784" s="86"/>
      <c r="BU784" s="86"/>
      <c r="BV784" s="86"/>
      <c r="BW784" s="86"/>
      <c r="BX784" s="86"/>
      <c r="BY784" s="86"/>
      <c r="BZ784" s="86"/>
      <c r="CA784" s="86"/>
      <c r="CB784" s="86"/>
      <c r="CC784" s="86"/>
      <c r="CD784" s="86"/>
      <c r="CE784" s="86"/>
      <c r="CF784" s="86"/>
      <c r="CG784" s="86"/>
      <c r="CH784" s="86"/>
      <c r="CI784" s="86"/>
      <c r="CJ784" s="86"/>
      <c r="CK784" s="86"/>
      <c r="CL784" s="86"/>
      <c r="CM784" s="86"/>
      <c r="CN784" s="86"/>
      <c r="CO784" s="86"/>
      <c r="CP784" s="86"/>
      <c r="CQ784" s="86"/>
      <c r="CR784" s="86"/>
      <c r="CS784" s="86"/>
      <c r="CT784" s="86"/>
      <c r="CU784" s="86"/>
      <c r="CV784" s="86"/>
      <c r="CW784" s="86"/>
      <c r="CX784" s="86"/>
      <c r="CY784" s="86"/>
      <c r="CZ784" s="86"/>
      <c r="DA784" s="86"/>
      <c r="DB784" s="86"/>
      <c r="DC784" s="86"/>
      <c r="DD784" s="86"/>
      <c r="DE784" s="86"/>
      <c r="DF784" s="86"/>
      <c r="DG784" s="86"/>
      <c r="DH784" s="86"/>
      <c r="DI784" s="86"/>
      <c r="DJ784" s="86"/>
      <c r="DK784" s="86"/>
      <c r="DL784" s="86"/>
      <c r="DM784" s="86"/>
      <c r="DN784" s="86"/>
      <c r="DO784" s="86"/>
      <c r="DP784" s="86"/>
      <c r="DQ784" s="86"/>
      <c r="DR784" s="118"/>
      <c r="DS784" s="118"/>
      <c r="DT784" s="86"/>
      <c r="DU784" s="86"/>
      <c r="DV784" s="86"/>
      <c r="DW784" s="86"/>
      <c r="DX784" s="86"/>
      <c r="DY784" s="86"/>
      <c r="DZ784" s="86"/>
      <c r="EA784" s="86"/>
      <c r="EB784" s="86"/>
      <c r="EC784" s="86"/>
      <c r="ED784" s="86"/>
      <c r="EE784" s="86"/>
      <c r="EF784" s="86"/>
      <c r="EG784" s="86"/>
      <c r="EH784" s="86"/>
      <c r="EI784" s="86"/>
      <c r="EJ784" s="86"/>
      <c r="EK784" s="86"/>
      <c r="EL784" s="86"/>
      <c r="EM784" s="86"/>
      <c r="EN784" s="90">
        <f t="shared" si="472"/>
        <v>0</v>
      </c>
    </row>
    <row r="785" spans="1:144" ht="1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8"/>
      <c r="O785" s="88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86"/>
      <c r="CS785" s="86"/>
      <c r="CT785" s="86"/>
      <c r="CU785" s="86"/>
      <c r="CV785" s="86"/>
      <c r="CW785" s="86"/>
      <c r="CX785" s="86"/>
      <c r="CY785" s="86"/>
      <c r="CZ785" s="86"/>
      <c r="DA785" s="86"/>
      <c r="DB785" s="86"/>
      <c r="DC785" s="86"/>
      <c r="DD785" s="86"/>
      <c r="DE785" s="86"/>
      <c r="DF785" s="86"/>
      <c r="DG785" s="86"/>
      <c r="DH785" s="86"/>
      <c r="DI785" s="86"/>
      <c r="DJ785" s="86"/>
      <c r="DK785" s="86"/>
      <c r="DL785" s="86"/>
      <c r="DM785" s="86"/>
      <c r="DN785" s="86"/>
      <c r="DO785" s="86"/>
      <c r="DP785" s="86"/>
      <c r="DQ785" s="86"/>
      <c r="DR785" s="118"/>
      <c r="DS785" s="118"/>
      <c r="DT785" s="86"/>
      <c r="DU785" s="86"/>
      <c r="DV785" s="86"/>
      <c r="DW785" s="86"/>
      <c r="DX785" s="86"/>
      <c r="DY785" s="86"/>
      <c r="DZ785" s="86"/>
      <c r="EA785" s="86"/>
      <c r="EB785" s="86"/>
      <c r="EC785" s="86"/>
      <c r="ED785" s="86"/>
      <c r="EE785" s="86"/>
      <c r="EF785" s="86"/>
      <c r="EG785" s="86"/>
      <c r="EH785" s="86"/>
      <c r="EI785" s="86"/>
      <c r="EJ785" s="86"/>
      <c r="EK785" s="86"/>
      <c r="EL785" s="86"/>
      <c r="EM785" s="86"/>
      <c r="EN785" s="90">
        <f t="shared" si="472"/>
        <v>0</v>
      </c>
    </row>
    <row r="786" spans="1:144" ht="1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8"/>
      <c r="O786" s="88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AS786" s="86"/>
      <c r="AT786" s="86"/>
      <c r="AU786" s="86"/>
      <c r="AV786" s="86"/>
      <c r="AW786" s="86"/>
      <c r="AX786" s="86"/>
      <c r="AY786" s="86"/>
      <c r="AZ786" s="86"/>
      <c r="BA786" s="86"/>
      <c r="BB786" s="86"/>
      <c r="BC786" s="86"/>
      <c r="BD786" s="86"/>
      <c r="BE786" s="86"/>
      <c r="BF786" s="86"/>
      <c r="BG786" s="86"/>
      <c r="BH786" s="86"/>
      <c r="BI786" s="86"/>
      <c r="BJ786" s="86"/>
      <c r="BK786" s="86"/>
      <c r="BL786" s="86"/>
      <c r="BM786" s="86"/>
      <c r="BN786" s="86"/>
      <c r="BO786" s="86"/>
      <c r="BP786" s="86"/>
      <c r="BQ786" s="86"/>
      <c r="BR786" s="86"/>
      <c r="BS786" s="86"/>
      <c r="BT786" s="86"/>
      <c r="BU786" s="86"/>
      <c r="BV786" s="86"/>
      <c r="BW786" s="86"/>
      <c r="BX786" s="86"/>
      <c r="BY786" s="86"/>
      <c r="BZ786" s="86"/>
      <c r="CA786" s="86"/>
      <c r="CB786" s="86"/>
      <c r="CC786" s="86"/>
      <c r="CD786" s="86"/>
      <c r="CE786" s="86"/>
      <c r="CF786" s="86"/>
      <c r="CG786" s="86"/>
      <c r="CH786" s="86"/>
      <c r="CI786" s="86"/>
      <c r="CJ786" s="86"/>
      <c r="CK786" s="86"/>
      <c r="CL786" s="86"/>
      <c r="CM786" s="86"/>
      <c r="CN786" s="86"/>
      <c r="CO786" s="86"/>
      <c r="CP786" s="86"/>
      <c r="CQ786" s="86"/>
      <c r="CR786" s="86"/>
      <c r="CS786" s="86"/>
      <c r="CT786" s="86"/>
      <c r="CU786" s="86"/>
      <c r="CV786" s="86"/>
      <c r="CW786" s="86"/>
      <c r="CX786" s="86"/>
      <c r="CY786" s="86"/>
      <c r="CZ786" s="86"/>
      <c r="DA786" s="86"/>
      <c r="DB786" s="86"/>
      <c r="DC786" s="86"/>
      <c r="DD786" s="86"/>
      <c r="DE786" s="86"/>
      <c r="DF786" s="86"/>
      <c r="DG786" s="86"/>
      <c r="DH786" s="86"/>
      <c r="DI786" s="86"/>
      <c r="DJ786" s="86"/>
      <c r="DK786" s="86"/>
      <c r="DL786" s="86"/>
      <c r="DM786" s="86"/>
      <c r="DN786" s="86"/>
      <c r="DO786" s="86"/>
      <c r="DP786" s="86"/>
      <c r="DQ786" s="86"/>
      <c r="DR786" s="118"/>
      <c r="DS786" s="118"/>
      <c r="DT786" s="86"/>
      <c r="DU786" s="86"/>
      <c r="DV786" s="86"/>
      <c r="DW786" s="86"/>
      <c r="DX786" s="86"/>
      <c r="DY786" s="86"/>
      <c r="DZ786" s="86"/>
      <c r="EA786" s="86"/>
      <c r="EB786" s="86"/>
      <c r="EC786" s="86"/>
      <c r="ED786" s="86"/>
      <c r="EE786" s="86"/>
      <c r="EF786" s="86"/>
      <c r="EG786" s="86"/>
      <c r="EH786" s="86"/>
      <c r="EI786" s="86"/>
      <c r="EJ786" s="86"/>
      <c r="EK786" s="86"/>
      <c r="EL786" s="86"/>
      <c r="EM786" s="86"/>
      <c r="EN786" s="90">
        <f t="shared" si="472"/>
        <v>0</v>
      </c>
    </row>
    <row r="787" spans="1:144" ht="1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8"/>
      <c r="O787" s="88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AS787" s="86"/>
      <c r="AT787" s="86"/>
      <c r="AU787" s="86"/>
      <c r="AV787" s="86"/>
      <c r="AW787" s="86"/>
      <c r="AX787" s="86"/>
      <c r="AY787" s="86"/>
      <c r="AZ787" s="86"/>
      <c r="BA787" s="86"/>
      <c r="BB787" s="86"/>
      <c r="BC787" s="86"/>
      <c r="BD787" s="86"/>
      <c r="BE787" s="86"/>
      <c r="BF787" s="86"/>
      <c r="BG787" s="86"/>
      <c r="BH787" s="86"/>
      <c r="BI787" s="86"/>
      <c r="BJ787" s="86"/>
      <c r="BK787" s="86"/>
      <c r="BL787" s="86"/>
      <c r="BM787" s="86"/>
      <c r="BN787" s="86"/>
      <c r="BO787" s="86"/>
      <c r="BP787" s="86"/>
      <c r="BQ787" s="86"/>
      <c r="BR787" s="86"/>
      <c r="BS787" s="86"/>
      <c r="BT787" s="86"/>
      <c r="BU787" s="86"/>
      <c r="BV787" s="86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  <c r="CO787" s="86"/>
      <c r="CP787" s="86"/>
      <c r="CQ787" s="86"/>
      <c r="CR787" s="86"/>
      <c r="CS787" s="86"/>
      <c r="CT787" s="86"/>
      <c r="CU787" s="86"/>
      <c r="CV787" s="86"/>
      <c r="CW787" s="86"/>
      <c r="CX787" s="86"/>
      <c r="CY787" s="86"/>
      <c r="CZ787" s="86"/>
      <c r="DA787" s="86"/>
      <c r="DB787" s="86"/>
      <c r="DC787" s="86"/>
      <c r="DD787" s="86"/>
      <c r="DE787" s="86"/>
      <c r="DF787" s="86"/>
      <c r="DG787" s="86"/>
      <c r="DH787" s="86"/>
      <c r="DI787" s="86"/>
      <c r="DJ787" s="86"/>
      <c r="DK787" s="86"/>
      <c r="DL787" s="86"/>
      <c r="DM787" s="86"/>
      <c r="DN787" s="86"/>
      <c r="DO787" s="86"/>
      <c r="DP787" s="86"/>
      <c r="DQ787" s="86"/>
      <c r="DR787" s="118"/>
      <c r="DS787" s="118"/>
      <c r="DT787" s="86"/>
      <c r="DU787" s="86"/>
      <c r="DV787" s="86"/>
      <c r="DW787" s="86"/>
      <c r="DX787" s="86"/>
      <c r="DY787" s="86"/>
      <c r="DZ787" s="86"/>
      <c r="EA787" s="86"/>
      <c r="EB787" s="86"/>
      <c r="EC787" s="86"/>
      <c r="ED787" s="86"/>
      <c r="EE787" s="86"/>
      <c r="EF787" s="86"/>
      <c r="EG787" s="86"/>
      <c r="EH787" s="86"/>
      <c r="EI787" s="86"/>
      <c r="EJ787" s="86"/>
      <c r="EK787" s="86"/>
      <c r="EL787" s="86"/>
      <c r="EM787" s="86"/>
      <c r="EN787" s="90">
        <f t="shared" si="472"/>
        <v>0</v>
      </c>
    </row>
    <row r="788" spans="1:144" ht="1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8"/>
      <c r="O788" s="88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AS788" s="86"/>
      <c r="AT788" s="86"/>
      <c r="AU788" s="86"/>
      <c r="AV788" s="86"/>
      <c r="AW788" s="86"/>
      <c r="AX788" s="86"/>
      <c r="AY788" s="86"/>
      <c r="AZ788" s="86"/>
      <c r="BA788" s="86"/>
      <c r="BB788" s="86"/>
      <c r="BC788" s="86"/>
      <c r="BD788" s="86"/>
      <c r="BE788" s="86"/>
      <c r="BF788" s="86"/>
      <c r="BG788" s="86"/>
      <c r="BH788" s="86"/>
      <c r="BI788" s="86"/>
      <c r="BJ788" s="86"/>
      <c r="BK788" s="86"/>
      <c r="BL788" s="86"/>
      <c r="BM788" s="86"/>
      <c r="BN788" s="86"/>
      <c r="BO788" s="86"/>
      <c r="BP788" s="86"/>
      <c r="BQ788" s="86"/>
      <c r="BR788" s="86"/>
      <c r="BS788" s="86"/>
      <c r="BT788" s="86"/>
      <c r="BU788" s="86"/>
      <c r="BV788" s="86"/>
      <c r="BW788" s="86"/>
      <c r="BX788" s="86"/>
      <c r="BY788" s="86"/>
      <c r="BZ788" s="86"/>
      <c r="CA788" s="86"/>
      <c r="CB788" s="86"/>
      <c r="CC788" s="86"/>
      <c r="CD788" s="86"/>
      <c r="CE788" s="86"/>
      <c r="CF788" s="86"/>
      <c r="CG788" s="86"/>
      <c r="CH788" s="86"/>
      <c r="CI788" s="86"/>
      <c r="CJ788" s="86"/>
      <c r="CK788" s="86"/>
      <c r="CL788" s="86"/>
      <c r="CM788" s="86"/>
      <c r="CN788" s="86"/>
      <c r="CO788" s="86"/>
      <c r="CP788" s="86"/>
      <c r="CQ788" s="86"/>
      <c r="CR788" s="86"/>
      <c r="CS788" s="86"/>
      <c r="CT788" s="86"/>
      <c r="CU788" s="86"/>
      <c r="CV788" s="86"/>
      <c r="CW788" s="86"/>
      <c r="CX788" s="86"/>
      <c r="CY788" s="86"/>
      <c r="CZ788" s="86"/>
      <c r="DA788" s="86"/>
      <c r="DB788" s="86"/>
      <c r="DC788" s="86"/>
      <c r="DD788" s="86"/>
      <c r="DE788" s="86"/>
      <c r="DF788" s="86"/>
      <c r="DG788" s="86"/>
      <c r="DH788" s="86"/>
      <c r="DI788" s="86"/>
      <c r="DJ788" s="86"/>
      <c r="DK788" s="86"/>
      <c r="DL788" s="86"/>
      <c r="DM788" s="86"/>
      <c r="DN788" s="86"/>
      <c r="DO788" s="86"/>
      <c r="DP788" s="86"/>
      <c r="DQ788" s="86"/>
      <c r="DR788" s="118"/>
      <c r="DS788" s="118"/>
      <c r="DT788" s="86"/>
      <c r="DU788" s="86"/>
      <c r="DV788" s="86"/>
      <c r="DW788" s="86"/>
      <c r="DX788" s="86"/>
      <c r="DY788" s="86"/>
      <c r="DZ788" s="86"/>
      <c r="EA788" s="86"/>
      <c r="EB788" s="86"/>
      <c r="EC788" s="86"/>
      <c r="ED788" s="86"/>
      <c r="EE788" s="86"/>
      <c r="EF788" s="86"/>
      <c r="EG788" s="86"/>
      <c r="EH788" s="86"/>
      <c r="EI788" s="86"/>
      <c r="EJ788" s="86"/>
      <c r="EK788" s="86"/>
      <c r="EL788" s="86"/>
      <c r="EM788" s="86"/>
      <c r="EN788" s="90">
        <f t="shared" si="472"/>
        <v>0</v>
      </c>
    </row>
    <row r="789" spans="1:144" ht="1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8"/>
      <c r="O789" s="88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AS789" s="86"/>
      <c r="AT789" s="86"/>
      <c r="AU789" s="86"/>
      <c r="AV789" s="86"/>
      <c r="AW789" s="86"/>
      <c r="AX789" s="86"/>
      <c r="AY789" s="86"/>
      <c r="AZ789" s="86"/>
      <c r="BA789" s="86"/>
      <c r="BB789" s="86"/>
      <c r="BC789" s="86"/>
      <c r="BD789" s="86"/>
      <c r="BE789" s="86"/>
      <c r="BF789" s="86"/>
      <c r="BG789" s="86"/>
      <c r="BH789" s="86"/>
      <c r="BI789" s="86"/>
      <c r="BJ789" s="86"/>
      <c r="BK789" s="86"/>
      <c r="BL789" s="86"/>
      <c r="BM789" s="86"/>
      <c r="BN789" s="86"/>
      <c r="BO789" s="86"/>
      <c r="BP789" s="86"/>
      <c r="BQ789" s="86"/>
      <c r="BR789" s="86"/>
      <c r="BS789" s="86"/>
      <c r="BT789" s="86"/>
      <c r="BU789" s="86"/>
      <c r="BV789" s="86"/>
      <c r="BW789" s="86"/>
      <c r="BX789" s="86"/>
      <c r="BY789" s="86"/>
      <c r="BZ789" s="86"/>
      <c r="CA789" s="86"/>
      <c r="CB789" s="86"/>
      <c r="CC789" s="86"/>
      <c r="CD789" s="86"/>
      <c r="CE789" s="86"/>
      <c r="CF789" s="86"/>
      <c r="CG789" s="86"/>
      <c r="CH789" s="86"/>
      <c r="CI789" s="86"/>
      <c r="CJ789" s="86"/>
      <c r="CK789" s="86"/>
      <c r="CL789" s="86"/>
      <c r="CM789" s="86"/>
      <c r="CN789" s="86"/>
      <c r="CO789" s="86"/>
      <c r="CP789" s="86"/>
      <c r="CQ789" s="86"/>
      <c r="CR789" s="86"/>
      <c r="CS789" s="86"/>
      <c r="CT789" s="86"/>
      <c r="CU789" s="86"/>
      <c r="CV789" s="86"/>
      <c r="CW789" s="86"/>
      <c r="CX789" s="86"/>
      <c r="CY789" s="86"/>
      <c r="CZ789" s="86"/>
      <c r="DA789" s="86"/>
      <c r="DB789" s="86"/>
      <c r="DC789" s="86"/>
      <c r="DD789" s="86"/>
      <c r="DE789" s="86"/>
      <c r="DF789" s="86"/>
      <c r="DG789" s="86"/>
      <c r="DH789" s="86"/>
      <c r="DI789" s="86"/>
      <c r="DJ789" s="86"/>
      <c r="DK789" s="86"/>
      <c r="DL789" s="86"/>
      <c r="DM789" s="86"/>
      <c r="DN789" s="86"/>
      <c r="DO789" s="86"/>
      <c r="DP789" s="86"/>
      <c r="DQ789" s="86"/>
      <c r="DR789" s="118"/>
      <c r="DS789" s="118"/>
      <c r="DT789" s="86"/>
      <c r="DU789" s="86"/>
      <c r="DV789" s="86"/>
      <c r="DW789" s="86"/>
      <c r="DX789" s="86"/>
      <c r="DY789" s="86"/>
      <c r="DZ789" s="86"/>
      <c r="EA789" s="86"/>
      <c r="EB789" s="86"/>
      <c r="EC789" s="86"/>
      <c r="ED789" s="86"/>
      <c r="EE789" s="86"/>
      <c r="EF789" s="86"/>
      <c r="EG789" s="86"/>
      <c r="EH789" s="86"/>
      <c r="EI789" s="86"/>
      <c r="EJ789" s="86"/>
      <c r="EK789" s="86"/>
      <c r="EL789" s="86"/>
      <c r="EM789" s="86"/>
      <c r="EN789" s="90">
        <f t="shared" si="472"/>
        <v>0</v>
      </c>
    </row>
    <row r="790" spans="1:144" ht="1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8"/>
      <c r="O790" s="88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AS790" s="86"/>
      <c r="AT790" s="86"/>
      <c r="AU790" s="86"/>
      <c r="AV790" s="86"/>
      <c r="AW790" s="86"/>
      <c r="AX790" s="86"/>
      <c r="AY790" s="86"/>
      <c r="AZ790" s="86"/>
      <c r="BA790" s="86"/>
      <c r="BB790" s="86"/>
      <c r="BC790" s="86"/>
      <c r="BD790" s="86"/>
      <c r="BE790" s="86"/>
      <c r="BF790" s="86"/>
      <c r="BG790" s="86"/>
      <c r="BH790" s="86"/>
      <c r="BI790" s="86"/>
      <c r="BJ790" s="86"/>
      <c r="BK790" s="86"/>
      <c r="BL790" s="86"/>
      <c r="BM790" s="86"/>
      <c r="BN790" s="86"/>
      <c r="BO790" s="86"/>
      <c r="BP790" s="86"/>
      <c r="BQ790" s="86"/>
      <c r="BR790" s="86"/>
      <c r="BS790" s="86"/>
      <c r="BT790" s="86"/>
      <c r="BU790" s="86"/>
      <c r="BV790" s="86"/>
      <c r="BW790" s="86"/>
      <c r="BX790" s="86"/>
      <c r="BY790" s="86"/>
      <c r="BZ790" s="86"/>
      <c r="CA790" s="86"/>
      <c r="CB790" s="86"/>
      <c r="CC790" s="86"/>
      <c r="CD790" s="86"/>
      <c r="CE790" s="86"/>
      <c r="CF790" s="86"/>
      <c r="CG790" s="86"/>
      <c r="CH790" s="86"/>
      <c r="CI790" s="86"/>
      <c r="CJ790" s="86"/>
      <c r="CK790" s="86"/>
      <c r="CL790" s="86"/>
      <c r="CM790" s="86"/>
      <c r="CN790" s="86"/>
      <c r="CO790" s="86"/>
      <c r="CP790" s="86"/>
      <c r="CQ790" s="86"/>
      <c r="CR790" s="86"/>
      <c r="CS790" s="86"/>
      <c r="CT790" s="86"/>
      <c r="CU790" s="86"/>
      <c r="CV790" s="86"/>
      <c r="CW790" s="86"/>
      <c r="CX790" s="86"/>
      <c r="CY790" s="86"/>
      <c r="CZ790" s="86"/>
      <c r="DA790" s="86"/>
      <c r="DB790" s="86"/>
      <c r="DC790" s="86"/>
      <c r="DD790" s="86"/>
      <c r="DE790" s="86"/>
      <c r="DF790" s="86"/>
      <c r="DG790" s="86"/>
      <c r="DH790" s="86"/>
      <c r="DI790" s="86"/>
      <c r="DJ790" s="86"/>
      <c r="DK790" s="86"/>
      <c r="DL790" s="86"/>
      <c r="DM790" s="86"/>
      <c r="DN790" s="86"/>
      <c r="DO790" s="86"/>
      <c r="DP790" s="86"/>
      <c r="DQ790" s="86"/>
      <c r="DR790" s="118"/>
      <c r="DS790" s="118"/>
      <c r="DT790" s="86"/>
      <c r="DU790" s="86"/>
      <c r="DV790" s="86"/>
      <c r="DW790" s="86"/>
      <c r="DX790" s="86"/>
      <c r="DY790" s="86"/>
      <c r="DZ790" s="86"/>
      <c r="EA790" s="86"/>
      <c r="EB790" s="86"/>
      <c r="EC790" s="86"/>
      <c r="ED790" s="86"/>
      <c r="EE790" s="86"/>
      <c r="EF790" s="86"/>
      <c r="EG790" s="86"/>
      <c r="EH790" s="86"/>
      <c r="EI790" s="86"/>
      <c r="EJ790" s="86"/>
      <c r="EK790" s="86"/>
      <c r="EL790" s="86"/>
      <c r="EM790" s="86"/>
      <c r="EN790" s="90">
        <f t="shared" si="472"/>
        <v>0</v>
      </c>
    </row>
    <row r="791" spans="1:144" ht="1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8"/>
      <c r="O791" s="88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AS791" s="86"/>
      <c r="AT791" s="86"/>
      <c r="AU791" s="86"/>
      <c r="AV791" s="86"/>
      <c r="AW791" s="86"/>
      <c r="AX791" s="86"/>
      <c r="AY791" s="86"/>
      <c r="AZ791" s="86"/>
      <c r="BA791" s="86"/>
      <c r="BB791" s="86"/>
      <c r="BC791" s="86"/>
      <c r="BD791" s="86"/>
      <c r="BE791" s="86"/>
      <c r="BF791" s="86"/>
      <c r="BG791" s="86"/>
      <c r="BH791" s="86"/>
      <c r="BI791" s="86"/>
      <c r="BJ791" s="86"/>
      <c r="BK791" s="86"/>
      <c r="BL791" s="86"/>
      <c r="BM791" s="86"/>
      <c r="BN791" s="86"/>
      <c r="BO791" s="86"/>
      <c r="BP791" s="86"/>
      <c r="BQ791" s="86"/>
      <c r="BR791" s="86"/>
      <c r="BS791" s="86"/>
      <c r="BT791" s="86"/>
      <c r="BU791" s="86"/>
      <c r="BV791" s="86"/>
      <c r="BW791" s="86"/>
      <c r="BX791" s="86"/>
      <c r="BY791" s="86"/>
      <c r="BZ791" s="86"/>
      <c r="CA791" s="86"/>
      <c r="CB791" s="86"/>
      <c r="CC791" s="86"/>
      <c r="CD791" s="86"/>
      <c r="CE791" s="86"/>
      <c r="CF791" s="86"/>
      <c r="CG791" s="86"/>
      <c r="CH791" s="86"/>
      <c r="CI791" s="86"/>
      <c r="CJ791" s="86"/>
      <c r="CK791" s="86"/>
      <c r="CL791" s="86"/>
      <c r="CM791" s="86"/>
      <c r="CN791" s="86"/>
      <c r="CO791" s="86"/>
      <c r="CP791" s="86"/>
      <c r="CQ791" s="86"/>
      <c r="CR791" s="86"/>
      <c r="CS791" s="86"/>
      <c r="CT791" s="86"/>
      <c r="CU791" s="86"/>
      <c r="CV791" s="86"/>
      <c r="CW791" s="86"/>
      <c r="CX791" s="86"/>
      <c r="CY791" s="86"/>
      <c r="CZ791" s="86"/>
      <c r="DA791" s="86"/>
      <c r="DB791" s="86"/>
      <c r="DC791" s="86"/>
      <c r="DD791" s="86"/>
      <c r="DE791" s="86"/>
      <c r="DF791" s="86"/>
      <c r="DG791" s="86"/>
      <c r="DH791" s="86"/>
      <c r="DI791" s="86"/>
      <c r="DJ791" s="86"/>
      <c r="DK791" s="86"/>
      <c r="DL791" s="86"/>
      <c r="DM791" s="86"/>
      <c r="DN791" s="86"/>
      <c r="DO791" s="86"/>
      <c r="DP791" s="86"/>
      <c r="DQ791" s="86"/>
      <c r="DR791" s="118"/>
      <c r="DS791" s="118"/>
      <c r="DT791" s="86"/>
      <c r="DU791" s="86"/>
      <c r="DV791" s="86"/>
      <c r="DW791" s="86"/>
      <c r="DX791" s="86"/>
      <c r="DY791" s="86"/>
      <c r="DZ791" s="86"/>
      <c r="EA791" s="86"/>
      <c r="EB791" s="86"/>
      <c r="EC791" s="86"/>
      <c r="ED791" s="86"/>
      <c r="EE791" s="86"/>
      <c r="EF791" s="86"/>
      <c r="EG791" s="86"/>
      <c r="EH791" s="86"/>
      <c r="EI791" s="86"/>
      <c r="EJ791" s="86"/>
      <c r="EK791" s="86"/>
      <c r="EL791" s="86"/>
      <c r="EM791" s="86"/>
      <c r="EN791" s="90">
        <f t="shared" si="472"/>
        <v>0</v>
      </c>
    </row>
    <row r="792" spans="1:144" ht="1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8"/>
      <c r="O792" s="88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86"/>
      <c r="AT792" s="86"/>
      <c r="AU792" s="86"/>
      <c r="AV792" s="86"/>
      <c r="AW792" s="86"/>
      <c r="AX792" s="86"/>
      <c r="AY792" s="86"/>
      <c r="AZ792" s="86"/>
      <c r="BA792" s="86"/>
      <c r="BB792" s="86"/>
      <c r="BC792" s="86"/>
      <c r="BD792" s="86"/>
      <c r="BE792" s="86"/>
      <c r="BF792" s="86"/>
      <c r="BG792" s="86"/>
      <c r="BH792" s="86"/>
      <c r="BI792" s="86"/>
      <c r="BJ792" s="86"/>
      <c r="BK792" s="86"/>
      <c r="BL792" s="86"/>
      <c r="BM792" s="86"/>
      <c r="BN792" s="86"/>
      <c r="BO792" s="86"/>
      <c r="BP792" s="86"/>
      <c r="BQ792" s="86"/>
      <c r="BR792" s="86"/>
      <c r="BS792" s="86"/>
      <c r="BT792" s="86"/>
      <c r="BU792" s="86"/>
      <c r="BV792" s="86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86"/>
      <c r="CQ792" s="86"/>
      <c r="CR792" s="86"/>
      <c r="CS792" s="86"/>
      <c r="CT792" s="86"/>
      <c r="CU792" s="86"/>
      <c r="CV792" s="86"/>
      <c r="CW792" s="86"/>
      <c r="CX792" s="86"/>
      <c r="CY792" s="86"/>
      <c r="CZ792" s="86"/>
      <c r="DA792" s="86"/>
      <c r="DB792" s="86"/>
      <c r="DC792" s="86"/>
      <c r="DD792" s="86"/>
      <c r="DE792" s="86"/>
      <c r="DF792" s="86"/>
      <c r="DG792" s="86"/>
      <c r="DH792" s="86"/>
      <c r="DI792" s="86"/>
      <c r="DJ792" s="86"/>
      <c r="DK792" s="86"/>
      <c r="DL792" s="86"/>
      <c r="DM792" s="86"/>
      <c r="DN792" s="86"/>
      <c r="DO792" s="86"/>
      <c r="DP792" s="86"/>
      <c r="DQ792" s="86"/>
      <c r="DR792" s="118"/>
      <c r="DS792" s="118"/>
      <c r="DT792" s="86"/>
      <c r="DU792" s="86"/>
      <c r="DV792" s="86"/>
      <c r="DW792" s="86"/>
      <c r="DX792" s="86"/>
      <c r="DY792" s="86"/>
      <c r="DZ792" s="86"/>
      <c r="EA792" s="86"/>
      <c r="EB792" s="86"/>
      <c r="EC792" s="86"/>
      <c r="ED792" s="86"/>
      <c r="EE792" s="86"/>
      <c r="EF792" s="86"/>
      <c r="EG792" s="86"/>
      <c r="EH792" s="86"/>
      <c r="EI792" s="86"/>
      <c r="EJ792" s="86"/>
      <c r="EK792" s="86"/>
      <c r="EL792" s="86"/>
      <c r="EM792" s="86"/>
      <c r="EN792" s="90">
        <f t="shared" si="472"/>
        <v>0</v>
      </c>
    </row>
    <row r="793" spans="1:144" ht="1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8"/>
      <c r="O793" s="88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86"/>
      <c r="AT793" s="86"/>
      <c r="AU793" s="86"/>
      <c r="AV793" s="86"/>
      <c r="AW793" s="86"/>
      <c r="AX793" s="86"/>
      <c r="AY793" s="86"/>
      <c r="AZ793" s="86"/>
      <c r="BA793" s="86"/>
      <c r="BB793" s="86"/>
      <c r="BC793" s="86"/>
      <c r="BD793" s="86"/>
      <c r="BE793" s="86"/>
      <c r="BF793" s="86"/>
      <c r="BG793" s="86"/>
      <c r="BH793" s="86"/>
      <c r="BI793" s="86"/>
      <c r="BJ793" s="86"/>
      <c r="BK793" s="86"/>
      <c r="BL793" s="86"/>
      <c r="BM793" s="86"/>
      <c r="BN793" s="86"/>
      <c r="BO793" s="86"/>
      <c r="BP793" s="86"/>
      <c r="BQ793" s="86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86"/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  <c r="DB793" s="86"/>
      <c r="DC793" s="86"/>
      <c r="DD793" s="86"/>
      <c r="DE793" s="86"/>
      <c r="DF793" s="86"/>
      <c r="DG793" s="86"/>
      <c r="DH793" s="86"/>
      <c r="DI793" s="86"/>
      <c r="DJ793" s="86"/>
      <c r="DK793" s="86"/>
      <c r="DL793" s="86"/>
      <c r="DM793" s="86"/>
      <c r="DN793" s="86"/>
      <c r="DO793" s="86"/>
      <c r="DP793" s="86"/>
      <c r="DQ793" s="86"/>
      <c r="DR793" s="118"/>
      <c r="DS793" s="118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6"/>
      <c r="EJ793" s="86"/>
      <c r="EK793" s="86"/>
      <c r="EL793" s="86"/>
      <c r="EM793" s="86"/>
      <c r="EN793" s="90">
        <f t="shared" si="472"/>
        <v>0</v>
      </c>
    </row>
    <row r="794" spans="1:144" ht="1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8"/>
      <c r="O794" s="88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86"/>
      <c r="AT794" s="86"/>
      <c r="AU794" s="86"/>
      <c r="AV794" s="86"/>
      <c r="AW794" s="86"/>
      <c r="AX794" s="86"/>
      <c r="AY794" s="86"/>
      <c r="AZ794" s="86"/>
      <c r="BA794" s="86"/>
      <c r="BB794" s="86"/>
      <c r="BC794" s="86"/>
      <c r="BD794" s="86"/>
      <c r="BE794" s="86"/>
      <c r="BF794" s="86"/>
      <c r="BG794" s="86"/>
      <c r="BH794" s="86"/>
      <c r="BI794" s="86"/>
      <c r="BJ794" s="86"/>
      <c r="BK794" s="86"/>
      <c r="BL794" s="86"/>
      <c r="BM794" s="86"/>
      <c r="BN794" s="86"/>
      <c r="BO794" s="86"/>
      <c r="BP794" s="86"/>
      <c r="BQ794" s="86"/>
      <c r="BR794" s="86"/>
      <c r="BS794" s="86"/>
      <c r="BT794" s="86"/>
      <c r="BU794" s="86"/>
      <c r="BV794" s="86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86"/>
      <c r="CQ794" s="86"/>
      <c r="CR794" s="86"/>
      <c r="CS794" s="86"/>
      <c r="CT794" s="86"/>
      <c r="CU794" s="86"/>
      <c r="CV794" s="86"/>
      <c r="CW794" s="86"/>
      <c r="CX794" s="86"/>
      <c r="CY794" s="86"/>
      <c r="CZ794" s="86"/>
      <c r="DA794" s="86"/>
      <c r="DB794" s="86"/>
      <c r="DC794" s="86"/>
      <c r="DD794" s="86"/>
      <c r="DE794" s="86"/>
      <c r="DF794" s="86"/>
      <c r="DG794" s="86"/>
      <c r="DH794" s="86"/>
      <c r="DI794" s="86"/>
      <c r="DJ794" s="86"/>
      <c r="DK794" s="86"/>
      <c r="DL794" s="86"/>
      <c r="DM794" s="86"/>
      <c r="DN794" s="86"/>
      <c r="DO794" s="86"/>
      <c r="DP794" s="86"/>
      <c r="DQ794" s="86"/>
      <c r="DR794" s="118"/>
      <c r="DS794" s="118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6"/>
      <c r="EI794" s="86"/>
      <c r="EJ794" s="86"/>
      <c r="EK794" s="86"/>
      <c r="EL794" s="86"/>
      <c r="EM794" s="86"/>
      <c r="EN794" s="90">
        <f t="shared" si="472"/>
        <v>0</v>
      </c>
    </row>
    <row r="795" spans="1:144" ht="1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8"/>
      <c r="O795" s="88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86"/>
      <c r="AT795" s="86"/>
      <c r="AU795" s="86"/>
      <c r="AV795" s="86"/>
      <c r="AW795" s="86"/>
      <c r="AX795" s="86"/>
      <c r="AY795" s="86"/>
      <c r="AZ795" s="86"/>
      <c r="BA795" s="86"/>
      <c r="BB795" s="86"/>
      <c r="BC795" s="86"/>
      <c r="BD795" s="86"/>
      <c r="BE795" s="86"/>
      <c r="BF795" s="86"/>
      <c r="BG795" s="86"/>
      <c r="BH795" s="86"/>
      <c r="BI795" s="86"/>
      <c r="BJ795" s="86"/>
      <c r="BK795" s="86"/>
      <c r="BL795" s="86"/>
      <c r="BM795" s="86"/>
      <c r="BN795" s="86"/>
      <c r="BO795" s="86"/>
      <c r="BP795" s="86"/>
      <c r="BQ795" s="86"/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86"/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  <c r="DB795" s="86"/>
      <c r="DC795" s="86"/>
      <c r="DD795" s="86"/>
      <c r="DE795" s="86"/>
      <c r="DF795" s="86"/>
      <c r="DG795" s="86"/>
      <c r="DH795" s="86"/>
      <c r="DI795" s="86"/>
      <c r="DJ795" s="86"/>
      <c r="DK795" s="86"/>
      <c r="DL795" s="86"/>
      <c r="DM795" s="86"/>
      <c r="DN795" s="86"/>
      <c r="DO795" s="86"/>
      <c r="DP795" s="86"/>
      <c r="DQ795" s="86"/>
      <c r="DR795" s="118"/>
      <c r="DS795" s="118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6"/>
      <c r="EJ795" s="86"/>
      <c r="EK795" s="86"/>
      <c r="EL795" s="86"/>
      <c r="EM795" s="86"/>
      <c r="EN795" s="90">
        <f t="shared" si="472"/>
        <v>0</v>
      </c>
    </row>
    <row r="796" spans="1:144" ht="1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8"/>
      <c r="O796" s="88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AS796" s="86"/>
      <c r="AT796" s="86"/>
      <c r="AU796" s="86"/>
      <c r="AV796" s="86"/>
      <c r="AW796" s="86"/>
      <c r="AX796" s="86"/>
      <c r="AY796" s="86"/>
      <c r="AZ796" s="86"/>
      <c r="BA796" s="86"/>
      <c r="BB796" s="86"/>
      <c r="BC796" s="86"/>
      <c r="BD796" s="86"/>
      <c r="BE796" s="86"/>
      <c r="BF796" s="86"/>
      <c r="BG796" s="86"/>
      <c r="BH796" s="86"/>
      <c r="BI796" s="86"/>
      <c r="BJ796" s="86"/>
      <c r="BK796" s="86"/>
      <c r="BL796" s="86"/>
      <c r="BM796" s="86"/>
      <c r="BN796" s="86"/>
      <c r="BO796" s="86"/>
      <c r="BP796" s="86"/>
      <c r="BQ796" s="86"/>
      <c r="BR796" s="86"/>
      <c r="BS796" s="86"/>
      <c r="BT796" s="86"/>
      <c r="BU796" s="86"/>
      <c r="BV796" s="86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86"/>
      <c r="CQ796" s="86"/>
      <c r="CR796" s="86"/>
      <c r="CS796" s="86"/>
      <c r="CT796" s="86"/>
      <c r="CU796" s="86"/>
      <c r="CV796" s="86"/>
      <c r="CW796" s="86"/>
      <c r="CX796" s="86"/>
      <c r="CY796" s="86"/>
      <c r="CZ796" s="86"/>
      <c r="DA796" s="86"/>
      <c r="DB796" s="86"/>
      <c r="DC796" s="86"/>
      <c r="DD796" s="86"/>
      <c r="DE796" s="86"/>
      <c r="DF796" s="86"/>
      <c r="DG796" s="86"/>
      <c r="DH796" s="86"/>
      <c r="DI796" s="86"/>
      <c r="DJ796" s="86"/>
      <c r="DK796" s="86"/>
      <c r="DL796" s="86"/>
      <c r="DM796" s="86"/>
      <c r="DN796" s="86"/>
      <c r="DO796" s="86"/>
      <c r="DP796" s="86"/>
      <c r="DQ796" s="86"/>
      <c r="DR796" s="118"/>
      <c r="DS796" s="118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6"/>
      <c r="EI796" s="86"/>
      <c r="EJ796" s="86"/>
      <c r="EK796" s="86"/>
      <c r="EL796" s="86"/>
      <c r="EM796" s="86"/>
      <c r="EN796" s="90">
        <f t="shared" si="472"/>
        <v>0</v>
      </c>
    </row>
    <row r="797" spans="1:144" ht="1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8"/>
      <c r="O797" s="88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AS797" s="86"/>
      <c r="AT797" s="86"/>
      <c r="AU797" s="86"/>
      <c r="AV797" s="86"/>
      <c r="AW797" s="86"/>
      <c r="AX797" s="86"/>
      <c r="AY797" s="86"/>
      <c r="AZ797" s="86"/>
      <c r="BA797" s="86"/>
      <c r="BB797" s="86"/>
      <c r="BC797" s="86"/>
      <c r="BD797" s="86"/>
      <c r="BE797" s="86"/>
      <c r="BF797" s="86"/>
      <c r="BG797" s="86"/>
      <c r="BH797" s="86"/>
      <c r="BI797" s="86"/>
      <c r="BJ797" s="86"/>
      <c r="BK797" s="86"/>
      <c r="BL797" s="86"/>
      <c r="BM797" s="86"/>
      <c r="BN797" s="86"/>
      <c r="BO797" s="86"/>
      <c r="BP797" s="86"/>
      <c r="BQ797" s="86"/>
      <c r="BR797" s="86"/>
      <c r="BS797" s="86"/>
      <c r="BT797" s="86"/>
      <c r="BU797" s="86"/>
      <c r="BV797" s="86"/>
      <c r="BW797" s="86"/>
      <c r="BX797" s="86"/>
      <c r="BY797" s="86"/>
      <c r="BZ797" s="86"/>
      <c r="CA797" s="86"/>
      <c r="CB797" s="86"/>
      <c r="CC797" s="86"/>
      <c r="CD797" s="86"/>
      <c r="CE797" s="86"/>
      <c r="CF797" s="86"/>
      <c r="CG797" s="86"/>
      <c r="CH797" s="86"/>
      <c r="CI797" s="86"/>
      <c r="CJ797" s="86"/>
      <c r="CK797" s="86"/>
      <c r="CL797" s="86"/>
      <c r="CM797" s="86"/>
      <c r="CN797" s="86"/>
      <c r="CO797" s="86"/>
      <c r="CP797" s="86"/>
      <c r="CQ797" s="86"/>
      <c r="CR797" s="86"/>
      <c r="CS797" s="86"/>
      <c r="CT797" s="86"/>
      <c r="CU797" s="86"/>
      <c r="CV797" s="86"/>
      <c r="CW797" s="86"/>
      <c r="CX797" s="86"/>
      <c r="CY797" s="86"/>
      <c r="CZ797" s="86"/>
      <c r="DA797" s="86"/>
      <c r="DB797" s="86"/>
      <c r="DC797" s="86"/>
      <c r="DD797" s="86"/>
      <c r="DE797" s="86"/>
      <c r="DF797" s="86"/>
      <c r="DG797" s="86"/>
      <c r="DH797" s="86"/>
      <c r="DI797" s="86"/>
      <c r="DJ797" s="86"/>
      <c r="DK797" s="86"/>
      <c r="DL797" s="86"/>
      <c r="DM797" s="86"/>
      <c r="DN797" s="86"/>
      <c r="DO797" s="86"/>
      <c r="DP797" s="86"/>
      <c r="DQ797" s="86"/>
      <c r="DR797" s="118"/>
      <c r="DS797" s="118"/>
      <c r="DT797" s="86"/>
      <c r="DU797" s="86"/>
      <c r="DV797" s="86"/>
      <c r="DW797" s="86"/>
      <c r="DX797" s="86"/>
      <c r="DY797" s="86"/>
      <c r="DZ797" s="86"/>
      <c r="EA797" s="86"/>
      <c r="EB797" s="86"/>
      <c r="EC797" s="86"/>
      <c r="ED797" s="86"/>
      <c r="EE797" s="86"/>
      <c r="EF797" s="86"/>
      <c r="EG797" s="86"/>
      <c r="EH797" s="86"/>
      <c r="EI797" s="86"/>
      <c r="EJ797" s="86"/>
      <c r="EK797" s="86"/>
      <c r="EL797" s="86"/>
      <c r="EM797" s="86"/>
      <c r="EN797" s="90">
        <f t="shared" si="472"/>
        <v>0</v>
      </c>
    </row>
    <row r="798" spans="1:144" ht="1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8"/>
      <c r="O798" s="88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AS798" s="86"/>
      <c r="AT798" s="86"/>
      <c r="AU798" s="86"/>
      <c r="AV798" s="86"/>
      <c r="AW798" s="86"/>
      <c r="AX798" s="86"/>
      <c r="AY798" s="86"/>
      <c r="AZ798" s="86"/>
      <c r="BA798" s="86"/>
      <c r="BB798" s="86"/>
      <c r="BC798" s="86"/>
      <c r="BD798" s="86"/>
      <c r="BE798" s="86"/>
      <c r="BF798" s="86"/>
      <c r="BG798" s="86"/>
      <c r="BH798" s="86"/>
      <c r="BI798" s="86"/>
      <c r="BJ798" s="86"/>
      <c r="BK798" s="86"/>
      <c r="BL798" s="86"/>
      <c r="BM798" s="86"/>
      <c r="BN798" s="86"/>
      <c r="BO798" s="86"/>
      <c r="BP798" s="86"/>
      <c r="BQ798" s="86"/>
      <c r="BR798" s="86"/>
      <c r="BS798" s="86"/>
      <c r="BT798" s="86"/>
      <c r="BU798" s="86"/>
      <c r="BV798" s="86"/>
      <c r="BW798" s="86"/>
      <c r="BX798" s="86"/>
      <c r="BY798" s="86"/>
      <c r="BZ798" s="86"/>
      <c r="CA798" s="86"/>
      <c r="CB798" s="86"/>
      <c r="CC798" s="86"/>
      <c r="CD798" s="86"/>
      <c r="CE798" s="86"/>
      <c r="CF798" s="86"/>
      <c r="CG798" s="86"/>
      <c r="CH798" s="86"/>
      <c r="CI798" s="86"/>
      <c r="CJ798" s="86"/>
      <c r="CK798" s="86"/>
      <c r="CL798" s="86"/>
      <c r="CM798" s="86"/>
      <c r="CN798" s="86"/>
      <c r="CO798" s="86"/>
      <c r="CP798" s="86"/>
      <c r="CQ798" s="86"/>
      <c r="CR798" s="86"/>
      <c r="CS798" s="86"/>
      <c r="CT798" s="86"/>
      <c r="CU798" s="86"/>
      <c r="CV798" s="86"/>
      <c r="CW798" s="86"/>
      <c r="CX798" s="86"/>
      <c r="CY798" s="86"/>
      <c r="CZ798" s="86"/>
      <c r="DA798" s="86"/>
      <c r="DB798" s="86"/>
      <c r="DC798" s="86"/>
      <c r="DD798" s="86"/>
      <c r="DE798" s="86"/>
      <c r="DF798" s="86"/>
      <c r="DG798" s="86"/>
      <c r="DH798" s="86"/>
      <c r="DI798" s="86"/>
      <c r="DJ798" s="86"/>
      <c r="DK798" s="86"/>
      <c r="DL798" s="86"/>
      <c r="DM798" s="86"/>
      <c r="DN798" s="86"/>
      <c r="DO798" s="86"/>
      <c r="DP798" s="86"/>
      <c r="DQ798" s="86"/>
      <c r="DR798" s="118"/>
      <c r="DS798" s="118"/>
      <c r="DT798" s="86"/>
      <c r="DU798" s="86"/>
      <c r="DV798" s="86"/>
      <c r="DW798" s="86"/>
      <c r="DX798" s="86"/>
      <c r="DY798" s="86"/>
      <c r="DZ798" s="86"/>
      <c r="EA798" s="86"/>
      <c r="EB798" s="86"/>
      <c r="EC798" s="86"/>
      <c r="ED798" s="86"/>
      <c r="EE798" s="86"/>
      <c r="EF798" s="86"/>
      <c r="EG798" s="86"/>
      <c r="EH798" s="86"/>
      <c r="EI798" s="86"/>
      <c r="EJ798" s="86"/>
      <c r="EK798" s="86"/>
      <c r="EL798" s="86"/>
      <c r="EM798" s="86"/>
      <c r="EN798" s="90">
        <f t="shared" si="472"/>
        <v>0</v>
      </c>
    </row>
    <row r="799" spans="1:144" ht="1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8"/>
      <c r="O799" s="88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AS799" s="86"/>
      <c r="AT799" s="86"/>
      <c r="AU799" s="86"/>
      <c r="AV799" s="86"/>
      <c r="AW799" s="86"/>
      <c r="AX799" s="86"/>
      <c r="AY799" s="86"/>
      <c r="AZ799" s="86"/>
      <c r="BA799" s="86"/>
      <c r="BB799" s="86"/>
      <c r="BC799" s="86"/>
      <c r="BD799" s="86"/>
      <c r="BE799" s="86"/>
      <c r="BF799" s="86"/>
      <c r="BG799" s="86"/>
      <c r="BH799" s="86"/>
      <c r="BI799" s="86"/>
      <c r="BJ799" s="86"/>
      <c r="BK799" s="86"/>
      <c r="BL799" s="86"/>
      <c r="BM799" s="86"/>
      <c r="BN799" s="86"/>
      <c r="BO799" s="86"/>
      <c r="BP799" s="86"/>
      <c r="BQ799" s="86"/>
      <c r="BR799" s="86"/>
      <c r="BS799" s="86"/>
      <c r="BT799" s="86"/>
      <c r="BU799" s="86"/>
      <c r="BV799" s="86"/>
      <c r="BW799" s="86"/>
      <c r="BX799" s="86"/>
      <c r="BY799" s="86"/>
      <c r="BZ799" s="86"/>
      <c r="CA799" s="86"/>
      <c r="CB799" s="86"/>
      <c r="CC799" s="86"/>
      <c r="CD799" s="86"/>
      <c r="CE799" s="86"/>
      <c r="CF799" s="86"/>
      <c r="CG799" s="86"/>
      <c r="CH799" s="86"/>
      <c r="CI799" s="86"/>
      <c r="CJ799" s="86"/>
      <c r="CK799" s="86"/>
      <c r="CL799" s="86"/>
      <c r="CM799" s="86"/>
      <c r="CN799" s="86"/>
      <c r="CO799" s="86"/>
      <c r="CP799" s="86"/>
      <c r="CQ799" s="86"/>
      <c r="CR799" s="86"/>
      <c r="CS799" s="86"/>
      <c r="CT799" s="86"/>
      <c r="CU799" s="86"/>
      <c r="CV799" s="86"/>
      <c r="CW799" s="86"/>
      <c r="CX799" s="86"/>
      <c r="CY799" s="86"/>
      <c r="CZ799" s="86"/>
      <c r="DA799" s="86"/>
      <c r="DB799" s="86"/>
      <c r="DC799" s="86"/>
      <c r="DD799" s="86"/>
      <c r="DE799" s="86"/>
      <c r="DF799" s="86"/>
      <c r="DG799" s="86"/>
      <c r="DH799" s="86"/>
      <c r="DI799" s="86"/>
      <c r="DJ799" s="86"/>
      <c r="DK799" s="86"/>
      <c r="DL799" s="86"/>
      <c r="DM799" s="86"/>
      <c r="DN799" s="86"/>
      <c r="DO799" s="86"/>
      <c r="DP799" s="86"/>
      <c r="DQ799" s="86"/>
      <c r="DR799" s="118"/>
      <c r="DS799" s="118"/>
      <c r="DT799" s="86"/>
      <c r="DU799" s="86"/>
      <c r="DV799" s="86"/>
      <c r="DW799" s="86"/>
      <c r="DX799" s="86"/>
      <c r="DY799" s="86"/>
      <c r="DZ799" s="86"/>
      <c r="EA799" s="86"/>
      <c r="EB799" s="86"/>
      <c r="EC799" s="86"/>
      <c r="ED799" s="86"/>
      <c r="EE799" s="86"/>
      <c r="EF799" s="86"/>
      <c r="EG799" s="86"/>
      <c r="EH799" s="86"/>
      <c r="EI799" s="86"/>
      <c r="EJ799" s="86"/>
      <c r="EK799" s="86"/>
      <c r="EL799" s="86"/>
      <c r="EM799" s="86"/>
      <c r="EN799" s="90">
        <f t="shared" si="472"/>
        <v>0</v>
      </c>
    </row>
    <row r="800" spans="1:144" ht="1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8"/>
      <c r="O800" s="88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AS800" s="86"/>
      <c r="AT800" s="86"/>
      <c r="AU800" s="86"/>
      <c r="AV800" s="86"/>
      <c r="AW800" s="86"/>
      <c r="AX800" s="86"/>
      <c r="AY800" s="86"/>
      <c r="AZ800" s="86"/>
      <c r="BA800" s="86"/>
      <c r="BB800" s="86"/>
      <c r="BC800" s="86"/>
      <c r="BD800" s="86"/>
      <c r="BE800" s="86"/>
      <c r="BF800" s="86"/>
      <c r="BG800" s="86"/>
      <c r="BH800" s="86"/>
      <c r="BI800" s="86"/>
      <c r="BJ800" s="86"/>
      <c r="BK800" s="86"/>
      <c r="BL800" s="86"/>
      <c r="BM800" s="86"/>
      <c r="BN800" s="86"/>
      <c r="BO800" s="86"/>
      <c r="BP800" s="86"/>
      <c r="BQ800" s="86"/>
      <c r="BR800" s="86"/>
      <c r="BS800" s="86"/>
      <c r="BT800" s="86"/>
      <c r="BU800" s="86"/>
      <c r="BV800" s="86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  <c r="CO800" s="86"/>
      <c r="CP800" s="86"/>
      <c r="CQ800" s="86"/>
      <c r="CR800" s="86"/>
      <c r="CS800" s="86"/>
      <c r="CT800" s="86"/>
      <c r="CU800" s="86"/>
      <c r="CV800" s="86"/>
      <c r="CW800" s="86"/>
      <c r="CX800" s="86"/>
      <c r="CY800" s="86"/>
      <c r="CZ800" s="86"/>
      <c r="DA800" s="86"/>
      <c r="DB800" s="86"/>
      <c r="DC800" s="86"/>
      <c r="DD800" s="86"/>
      <c r="DE800" s="86"/>
      <c r="DF800" s="86"/>
      <c r="DG800" s="86"/>
      <c r="DH800" s="86"/>
      <c r="DI800" s="86"/>
      <c r="DJ800" s="86"/>
      <c r="DK800" s="86"/>
      <c r="DL800" s="86"/>
      <c r="DM800" s="86"/>
      <c r="DN800" s="86"/>
      <c r="DO800" s="86"/>
      <c r="DP800" s="86"/>
      <c r="DQ800" s="86"/>
      <c r="DR800" s="118"/>
      <c r="DS800" s="118"/>
      <c r="DT800" s="86"/>
      <c r="DU800" s="86"/>
      <c r="DV800" s="86"/>
      <c r="DW800" s="86"/>
      <c r="DX800" s="86"/>
      <c r="DY800" s="86"/>
      <c r="DZ800" s="86"/>
      <c r="EA800" s="86"/>
      <c r="EB800" s="86"/>
      <c r="EC800" s="86"/>
      <c r="ED800" s="86"/>
      <c r="EE800" s="86"/>
      <c r="EF800" s="86"/>
      <c r="EG800" s="86"/>
      <c r="EH800" s="86"/>
      <c r="EI800" s="86"/>
      <c r="EJ800" s="86"/>
      <c r="EK800" s="86"/>
      <c r="EL800" s="86"/>
      <c r="EM800" s="86"/>
      <c r="EN800" s="90">
        <f t="shared" si="472"/>
        <v>0</v>
      </c>
    </row>
    <row r="801" spans="1:144" ht="1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8"/>
      <c r="O801" s="88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 s="86"/>
      <c r="BH801" s="86"/>
      <c r="BI801" s="86"/>
      <c r="BJ801" s="86"/>
      <c r="BK801" s="86"/>
      <c r="BL801" s="86"/>
      <c r="BM801" s="86"/>
      <c r="BN801" s="86"/>
      <c r="BO801" s="86"/>
      <c r="BP801" s="86"/>
      <c r="BQ801" s="86"/>
      <c r="BR801" s="86"/>
      <c r="BS801" s="86"/>
      <c r="BT801" s="86"/>
      <c r="BU801" s="86"/>
      <c r="BV801" s="86"/>
      <c r="BW801" s="86"/>
      <c r="BX801" s="86"/>
      <c r="BY801" s="86"/>
      <c r="BZ801" s="86"/>
      <c r="CA801" s="86"/>
      <c r="CB801" s="86"/>
      <c r="CC801" s="86"/>
      <c r="CD801" s="86"/>
      <c r="CE801" s="86"/>
      <c r="CF801" s="86"/>
      <c r="CG801" s="86"/>
      <c r="CH801" s="86"/>
      <c r="CI801" s="86"/>
      <c r="CJ801" s="86"/>
      <c r="CK801" s="86"/>
      <c r="CL801" s="86"/>
      <c r="CM801" s="86"/>
      <c r="CN801" s="86"/>
      <c r="CO801" s="86"/>
      <c r="CP801" s="86"/>
      <c r="CQ801" s="86"/>
      <c r="CR801" s="86"/>
      <c r="CS801" s="86"/>
      <c r="CT801" s="86"/>
      <c r="CU801" s="86"/>
      <c r="CV801" s="86"/>
      <c r="CW801" s="86"/>
      <c r="CX801" s="86"/>
      <c r="CY801" s="86"/>
      <c r="CZ801" s="86"/>
      <c r="DA801" s="86"/>
      <c r="DB801" s="86"/>
      <c r="DC801" s="86"/>
      <c r="DD801" s="86"/>
      <c r="DE801" s="86"/>
      <c r="DF801" s="86"/>
      <c r="DG801" s="86"/>
      <c r="DH801" s="86"/>
      <c r="DI801" s="86"/>
      <c r="DJ801" s="86"/>
      <c r="DK801" s="86"/>
      <c r="DL801" s="86"/>
      <c r="DM801" s="86"/>
      <c r="DN801" s="86"/>
      <c r="DO801" s="86"/>
      <c r="DP801" s="86"/>
      <c r="DQ801" s="86"/>
      <c r="DR801" s="118"/>
      <c r="DS801" s="118"/>
      <c r="DT801" s="86"/>
      <c r="DU801" s="86"/>
      <c r="DV801" s="86"/>
      <c r="DW801" s="86"/>
      <c r="DX801" s="86"/>
      <c r="DY801" s="86"/>
      <c r="DZ801" s="86"/>
      <c r="EA801" s="86"/>
      <c r="EB801" s="86"/>
      <c r="EC801" s="86"/>
      <c r="ED801" s="86"/>
      <c r="EE801" s="86"/>
      <c r="EF801" s="86"/>
      <c r="EG801" s="86"/>
      <c r="EH801" s="86"/>
      <c r="EI801" s="86"/>
      <c r="EJ801" s="86"/>
      <c r="EK801" s="86"/>
      <c r="EL801" s="86"/>
      <c r="EM801" s="86"/>
      <c r="EN801" s="90">
        <f t="shared" si="472"/>
        <v>0</v>
      </c>
    </row>
    <row r="802" spans="1:144" ht="1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8"/>
      <c r="O802" s="88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AS802" s="86"/>
      <c r="AT802" s="86"/>
      <c r="AU802" s="86"/>
      <c r="AV802" s="86"/>
      <c r="AW802" s="86"/>
      <c r="AX802" s="86"/>
      <c r="AY802" s="86"/>
      <c r="AZ802" s="86"/>
      <c r="BA802" s="86"/>
      <c r="BB802" s="86"/>
      <c r="BC802" s="86"/>
      <c r="BD802" s="86"/>
      <c r="BE802" s="86"/>
      <c r="BF802" s="86"/>
      <c r="BG802" s="86"/>
      <c r="BH802" s="86"/>
      <c r="BI802" s="86"/>
      <c r="BJ802" s="86"/>
      <c r="BK802" s="86"/>
      <c r="BL802" s="86"/>
      <c r="BM802" s="86"/>
      <c r="BN802" s="86"/>
      <c r="BO802" s="86"/>
      <c r="BP802" s="86"/>
      <c r="BQ802" s="86"/>
      <c r="BR802" s="86"/>
      <c r="BS802" s="86"/>
      <c r="BT802" s="86"/>
      <c r="BU802" s="86"/>
      <c r="BV802" s="86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  <c r="CO802" s="86"/>
      <c r="CP802" s="86"/>
      <c r="CQ802" s="86"/>
      <c r="CR802" s="86"/>
      <c r="CS802" s="86"/>
      <c r="CT802" s="86"/>
      <c r="CU802" s="86"/>
      <c r="CV802" s="86"/>
      <c r="CW802" s="86"/>
      <c r="CX802" s="86"/>
      <c r="CY802" s="86"/>
      <c r="CZ802" s="86"/>
      <c r="DA802" s="86"/>
      <c r="DB802" s="86"/>
      <c r="DC802" s="86"/>
      <c r="DD802" s="86"/>
      <c r="DE802" s="86"/>
      <c r="DF802" s="86"/>
      <c r="DG802" s="86"/>
      <c r="DH802" s="86"/>
      <c r="DI802" s="86"/>
      <c r="DJ802" s="86"/>
      <c r="DK802" s="86"/>
      <c r="DL802" s="86"/>
      <c r="DM802" s="86"/>
      <c r="DN802" s="86"/>
      <c r="DO802" s="86"/>
      <c r="DP802" s="86"/>
      <c r="DQ802" s="86"/>
      <c r="DR802" s="118"/>
      <c r="DS802" s="118"/>
      <c r="DT802" s="86"/>
      <c r="DU802" s="86"/>
      <c r="DV802" s="86"/>
      <c r="DW802" s="86"/>
      <c r="DX802" s="86"/>
      <c r="DY802" s="86"/>
      <c r="DZ802" s="86"/>
      <c r="EA802" s="86"/>
      <c r="EB802" s="86"/>
      <c r="EC802" s="86"/>
      <c r="ED802" s="86"/>
      <c r="EE802" s="86"/>
      <c r="EF802" s="86"/>
      <c r="EG802" s="86"/>
      <c r="EH802" s="86"/>
      <c r="EI802" s="86"/>
      <c r="EJ802" s="86"/>
      <c r="EK802" s="86"/>
      <c r="EL802" s="86"/>
      <c r="EM802" s="86"/>
      <c r="EN802" s="90">
        <f t="shared" si="472"/>
        <v>0</v>
      </c>
    </row>
    <row r="803" spans="1:144" ht="1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8"/>
      <c r="O803" s="88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AS803" s="86"/>
      <c r="AT803" s="86"/>
      <c r="AU803" s="86"/>
      <c r="AV803" s="86"/>
      <c r="AW803" s="86"/>
      <c r="AX803" s="86"/>
      <c r="AY803" s="86"/>
      <c r="AZ803" s="86"/>
      <c r="BA803" s="86"/>
      <c r="BB803" s="86"/>
      <c r="BC803" s="86"/>
      <c r="BD803" s="86"/>
      <c r="BE803" s="86"/>
      <c r="BF803" s="86"/>
      <c r="BG803" s="86"/>
      <c r="BH803" s="86"/>
      <c r="BI803" s="86"/>
      <c r="BJ803" s="86"/>
      <c r="BK803" s="86"/>
      <c r="BL803" s="86"/>
      <c r="BM803" s="86"/>
      <c r="BN803" s="86"/>
      <c r="BO803" s="86"/>
      <c r="BP803" s="86"/>
      <c r="BQ803" s="86"/>
      <c r="BR803" s="86"/>
      <c r="BS803" s="86"/>
      <c r="BT803" s="86"/>
      <c r="BU803" s="86"/>
      <c r="BV803" s="86"/>
      <c r="BW803" s="86"/>
      <c r="BX803" s="86"/>
      <c r="BY803" s="86"/>
      <c r="BZ803" s="86"/>
      <c r="CA803" s="86"/>
      <c r="CB803" s="86"/>
      <c r="CC803" s="86"/>
      <c r="CD803" s="86"/>
      <c r="CE803" s="86"/>
      <c r="CF803" s="86"/>
      <c r="CG803" s="86"/>
      <c r="CH803" s="86"/>
      <c r="CI803" s="86"/>
      <c r="CJ803" s="86"/>
      <c r="CK803" s="86"/>
      <c r="CL803" s="86"/>
      <c r="CM803" s="86"/>
      <c r="CN803" s="86"/>
      <c r="CO803" s="86"/>
      <c r="CP803" s="86"/>
      <c r="CQ803" s="86"/>
      <c r="CR803" s="86"/>
      <c r="CS803" s="86"/>
      <c r="CT803" s="86"/>
      <c r="CU803" s="86"/>
      <c r="CV803" s="86"/>
      <c r="CW803" s="86"/>
      <c r="CX803" s="86"/>
      <c r="CY803" s="86"/>
      <c r="CZ803" s="86"/>
      <c r="DA803" s="86"/>
      <c r="DB803" s="86"/>
      <c r="DC803" s="86"/>
      <c r="DD803" s="86"/>
      <c r="DE803" s="86"/>
      <c r="DF803" s="86"/>
      <c r="DG803" s="86"/>
      <c r="DH803" s="86"/>
      <c r="DI803" s="86"/>
      <c r="DJ803" s="86"/>
      <c r="DK803" s="86"/>
      <c r="DL803" s="86"/>
      <c r="DM803" s="86"/>
      <c r="DN803" s="86"/>
      <c r="DO803" s="86"/>
      <c r="DP803" s="86"/>
      <c r="DQ803" s="86"/>
      <c r="DR803" s="118"/>
      <c r="DS803" s="118"/>
      <c r="DT803" s="86"/>
      <c r="DU803" s="86"/>
      <c r="DV803" s="86"/>
      <c r="DW803" s="86"/>
      <c r="DX803" s="86"/>
      <c r="DY803" s="86"/>
      <c r="DZ803" s="86"/>
      <c r="EA803" s="86"/>
      <c r="EB803" s="86"/>
      <c r="EC803" s="86"/>
      <c r="ED803" s="86"/>
      <c r="EE803" s="86"/>
      <c r="EF803" s="86"/>
      <c r="EG803" s="86"/>
      <c r="EH803" s="86"/>
      <c r="EI803" s="86"/>
      <c r="EJ803" s="86"/>
      <c r="EK803" s="86"/>
      <c r="EL803" s="86"/>
      <c r="EM803" s="86"/>
      <c r="EN803" s="90">
        <f t="shared" si="472"/>
        <v>0</v>
      </c>
    </row>
    <row r="804" spans="1:144" ht="1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8"/>
      <c r="O804" s="88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AS804" s="86"/>
      <c r="AT804" s="86"/>
      <c r="AU804" s="86"/>
      <c r="AV804" s="86"/>
      <c r="AW804" s="86"/>
      <c r="AX804" s="86"/>
      <c r="AY804" s="86"/>
      <c r="AZ804" s="86"/>
      <c r="BA804" s="86"/>
      <c r="BB804" s="86"/>
      <c r="BC804" s="86"/>
      <c r="BD804" s="86"/>
      <c r="BE804" s="86"/>
      <c r="BF804" s="86"/>
      <c r="BG804" s="86"/>
      <c r="BH804" s="86"/>
      <c r="BI804" s="86"/>
      <c r="BJ804" s="86"/>
      <c r="BK804" s="86"/>
      <c r="BL804" s="86"/>
      <c r="BM804" s="86"/>
      <c r="BN804" s="86"/>
      <c r="BO804" s="86"/>
      <c r="BP804" s="86"/>
      <c r="BQ804" s="86"/>
      <c r="BR804" s="86"/>
      <c r="BS804" s="86"/>
      <c r="BT804" s="86"/>
      <c r="BU804" s="86"/>
      <c r="BV804" s="86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  <c r="CO804" s="86"/>
      <c r="CP804" s="86"/>
      <c r="CQ804" s="86"/>
      <c r="CR804" s="86"/>
      <c r="CS804" s="86"/>
      <c r="CT804" s="86"/>
      <c r="CU804" s="86"/>
      <c r="CV804" s="86"/>
      <c r="CW804" s="86"/>
      <c r="CX804" s="86"/>
      <c r="CY804" s="86"/>
      <c r="CZ804" s="86"/>
      <c r="DA804" s="86"/>
      <c r="DB804" s="86"/>
      <c r="DC804" s="86"/>
      <c r="DD804" s="86"/>
      <c r="DE804" s="86"/>
      <c r="DF804" s="86"/>
      <c r="DG804" s="86"/>
      <c r="DH804" s="86"/>
      <c r="DI804" s="86"/>
      <c r="DJ804" s="86"/>
      <c r="DK804" s="86"/>
      <c r="DL804" s="86"/>
      <c r="DM804" s="86"/>
      <c r="DN804" s="86"/>
      <c r="DO804" s="86"/>
      <c r="DP804" s="86"/>
      <c r="DQ804" s="86"/>
      <c r="DR804" s="118"/>
      <c r="DS804" s="118"/>
      <c r="DT804" s="86"/>
      <c r="DU804" s="86"/>
      <c r="DV804" s="86"/>
      <c r="DW804" s="86"/>
      <c r="DX804" s="86"/>
      <c r="DY804" s="86"/>
      <c r="DZ804" s="86"/>
      <c r="EA804" s="86"/>
      <c r="EB804" s="86"/>
      <c r="EC804" s="86"/>
      <c r="ED804" s="86"/>
      <c r="EE804" s="86"/>
      <c r="EF804" s="86"/>
      <c r="EG804" s="86"/>
      <c r="EH804" s="86"/>
      <c r="EI804" s="86"/>
      <c r="EJ804" s="86"/>
      <c r="EK804" s="86"/>
      <c r="EL804" s="86"/>
      <c r="EM804" s="86"/>
      <c r="EN804" s="86"/>
    </row>
    <row r="805" spans="1:144" ht="1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8"/>
      <c r="O805" s="88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AS805" s="86"/>
      <c r="AT805" s="86"/>
      <c r="AU805" s="86"/>
      <c r="AV805" s="86"/>
      <c r="AW805" s="86"/>
      <c r="AX805" s="86"/>
      <c r="AY805" s="86"/>
      <c r="AZ805" s="86"/>
      <c r="BA805" s="86"/>
      <c r="BB805" s="86"/>
      <c r="BC805" s="86"/>
      <c r="BD805" s="86"/>
      <c r="BE805" s="86"/>
      <c r="BF805" s="86"/>
      <c r="BG805" s="86"/>
      <c r="BH805" s="86"/>
      <c r="BI805" s="86"/>
      <c r="BJ805" s="86"/>
      <c r="BK805" s="86"/>
      <c r="BL805" s="86"/>
      <c r="BM805" s="86"/>
      <c r="BN805" s="86"/>
      <c r="BO805" s="86"/>
      <c r="BP805" s="86"/>
      <c r="BQ805" s="86"/>
      <c r="BR805" s="86"/>
      <c r="BS805" s="86"/>
      <c r="BT805" s="86"/>
      <c r="BU805" s="86"/>
      <c r="BV805" s="86"/>
      <c r="BW805" s="86"/>
      <c r="BX805" s="86"/>
      <c r="BY805" s="86"/>
      <c r="BZ805" s="86"/>
      <c r="CA805" s="86"/>
      <c r="CB805" s="86"/>
      <c r="CC805" s="86"/>
      <c r="CD805" s="86"/>
      <c r="CE805" s="86"/>
      <c r="CF805" s="86"/>
      <c r="CG805" s="86"/>
      <c r="CH805" s="86"/>
      <c r="CI805" s="86"/>
      <c r="CJ805" s="86"/>
      <c r="CK805" s="86"/>
      <c r="CL805" s="86"/>
      <c r="CM805" s="86"/>
      <c r="CN805" s="86"/>
      <c r="CO805" s="86"/>
      <c r="CP805" s="86"/>
      <c r="CQ805" s="86"/>
      <c r="CR805" s="86"/>
      <c r="CS805" s="86"/>
      <c r="CT805" s="86"/>
      <c r="CU805" s="86"/>
      <c r="CV805" s="86"/>
      <c r="CW805" s="86"/>
      <c r="CX805" s="86"/>
      <c r="CY805" s="86"/>
      <c r="CZ805" s="86"/>
      <c r="DA805" s="86"/>
      <c r="DB805" s="86"/>
      <c r="DC805" s="86"/>
      <c r="DD805" s="86"/>
      <c r="DE805" s="86"/>
      <c r="DF805" s="86"/>
      <c r="DG805" s="86"/>
      <c r="DH805" s="86"/>
      <c r="DI805" s="86"/>
      <c r="DJ805" s="86"/>
      <c r="DK805" s="86"/>
      <c r="DL805" s="86"/>
      <c r="DM805" s="86"/>
      <c r="DN805" s="86"/>
      <c r="DO805" s="86"/>
      <c r="DP805" s="86"/>
      <c r="DQ805" s="86"/>
      <c r="DR805" s="118"/>
      <c r="DS805" s="118"/>
      <c r="DT805" s="86"/>
      <c r="DU805" s="86"/>
      <c r="DV805" s="86"/>
      <c r="DW805" s="86"/>
      <c r="DX805" s="86"/>
      <c r="DY805" s="86"/>
      <c r="DZ805" s="86"/>
      <c r="EA805" s="86"/>
      <c r="EB805" s="86"/>
      <c r="EC805" s="86"/>
      <c r="ED805" s="86"/>
      <c r="EE805" s="86"/>
      <c r="EF805" s="86"/>
      <c r="EG805" s="86"/>
      <c r="EH805" s="86"/>
      <c r="EI805" s="86"/>
      <c r="EJ805" s="86"/>
      <c r="EK805" s="86"/>
      <c r="EL805" s="86"/>
      <c r="EM805" s="86"/>
      <c r="EN805" s="86"/>
    </row>
    <row r="806" spans="1:144" ht="1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8"/>
      <c r="O806" s="88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AS806" s="86"/>
      <c r="AT806" s="86"/>
      <c r="AU806" s="86"/>
      <c r="AV806" s="86"/>
      <c r="AW806" s="86"/>
      <c r="AX806" s="86"/>
      <c r="AY806" s="86"/>
      <c r="AZ806" s="86"/>
      <c r="BA806" s="86"/>
      <c r="BB806" s="86"/>
      <c r="BC806" s="86"/>
      <c r="BD806" s="86"/>
      <c r="BE806" s="86"/>
      <c r="BF806" s="86"/>
      <c r="BG806" s="86"/>
      <c r="BH806" s="86"/>
      <c r="BI806" s="86"/>
      <c r="BJ806" s="86"/>
      <c r="BK806" s="86"/>
      <c r="BL806" s="86"/>
      <c r="BM806" s="86"/>
      <c r="BN806" s="86"/>
      <c r="BO806" s="86"/>
      <c r="BP806" s="86"/>
      <c r="BQ806" s="86"/>
      <c r="BR806" s="86"/>
      <c r="BS806" s="86"/>
      <c r="BT806" s="86"/>
      <c r="BU806" s="86"/>
      <c r="BV806" s="86"/>
      <c r="BW806" s="86"/>
      <c r="BX806" s="86"/>
      <c r="BY806" s="86"/>
      <c r="BZ806" s="86"/>
      <c r="CA806" s="86"/>
      <c r="CB806" s="86"/>
      <c r="CC806" s="86"/>
      <c r="CD806" s="86"/>
      <c r="CE806" s="86"/>
      <c r="CF806" s="86"/>
      <c r="CG806" s="86"/>
      <c r="CH806" s="86"/>
      <c r="CI806" s="86"/>
      <c r="CJ806" s="86"/>
      <c r="CK806" s="86"/>
      <c r="CL806" s="86"/>
      <c r="CM806" s="86"/>
      <c r="CN806" s="86"/>
      <c r="CO806" s="86"/>
      <c r="CP806" s="86"/>
      <c r="CQ806" s="86"/>
      <c r="CR806" s="86"/>
      <c r="CS806" s="86"/>
      <c r="CT806" s="86"/>
      <c r="CU806" s="86"/>
      <c r="CV806" s="86"/>
      <c r="CW806" s="86"/>
      <c r="CX806" s="86"/>
      <c r="CY806" s="86"/>
      <c r="CZ806" s="86"/>
      <c r="DA806" s="86"/>
      <c r="DB806" s="86"/>
      <c r="DC806" s="86"/>
      <c r="DD806" s="86"/>
      <c r="DE806" s="86"/>
      <c r="DF806" s="86"/>
      <c r="DG806" s="86"/>
      <c r="DH806" s="86"/>
      <c r="DI806" s="86"/>
      <c r="DJ806" s="86"/>
      <c r="DK806" s="86"/>
      <c r="DL806" s="86"/>
      <c r="DM806" s="86"/>
      <c r="DN806" s="86"/>
      <c r="DO806" s="86"/>
      <c r="DP806" s="86"/>
      <c r="DQ806" s="86"/>
      <c r="DR806" s="118"/>
      <c r="DS806" s="118"/>
      <c r="DT806" s="86"/>
      <c r="DU806" s="86"/>
      <c r="DV806" s="86"/>
      <c r="DW806" s="86"/>
      <c r="DX806" s="86"/>
      <c r="DY806" s="86"/>
      <c r="DZ806" s="86"/>
      <c r="EA806" s="86"/>
      <c r="EB806" s="86"/>
      <c r="EC806" s="86"/>
      <c r="ED806" s="86"/>
      <c r="EE806" s="86"/>
      <c r="EF806" s="86"/>
      <c r="EG806" s="86"/>
      <c r="EH806" s="86"/>
      <c r="EI806" s="86"/>
      <c r="EJ806" s="86"/>
      <c r="EK806" s="86"/>
      <c r="EL806" s="86"/>
      <c r="EM806" s="86"/>
      <c r="EN806" s="86"/>
    </row>
    <row r="807" spans="1:144" ht="1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8"/>
      <c r="O807" s="88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AS807" s="86"/>
      <c r="AT807" s="86"/>
      <c r="AU807" s="86"/>
      <c r="AV807" s="86"/>
      <c r="AW807" s="86"/>
      <c r="AX807" s="86"/>
      <c r="AY807" s="86"/>
      <c r="AZ807" s="86"/>
      <c r="BA807" s="86"/>
      <c r="BB807" s="86"/>
      <c r="BC807" s="86"/>
      <c r="BD807" s="86"/>
      <c r="BE807" s="86"/>
      <c r="BF807" s="86"/>
      <c r="BG807" s="86"/>
      <c r="BH807" s="86"/>
      <c r="BI807" s="86"/>
      <c r="BJ807" s="86"/>
      <c r="BK807" s="86"/>
      <c r="BL807" s="86"/>
      <c r="BM807" s="86"/>
      <c r="BN807" s="86"/>
      <c r="BO807" s="86"/>
      <c r="BP807" s="86"/>
      <c r="BQ807" s="86"/>
      <c r="BR807" s="86"/>
      <c r="BS807" s="86"/>
      <c r="BT807" s="86"/>
      <c r="BU807" s="86"/>
      <c r="BV807" s="86"/>
      <c r="BW807" s="86"/>
      <c r="BX807" s="86"/>
      <c r="BY807" s="86"/>
      <c r="BZ807" s="86"/>
      <c r="CA807" s="86"/>
      <c r="CB807" s="86"/>
      <c r="CC807" s="86"/>
      <c r="CD807" s="86"/>
      <c r="CE807" s="86"/>
      <c r="CF807" s="86"/>
      <c r="CG807" s="86"/>
      <c r="CH807" s="86"/>
      <c r="CI807" s="86"/>
      <c r="CJ807" s="86"/>
      <c r="CK807" s="86"/>
      <c r="CL807" s="86"/>
      <c r="CM807" s="86"/>
      <c r="CN807" s="86"/>
      <c r="CO807" s="86"/>
      <c r="CP807" s="86"/>
      <c r="CQ807" s="86"/>
      <c r="CR807" s="86"/>
      <c r="CS807" s="86"/>
      <c r="CT807" s="86"/>
      <c r="CU807" s="86"/>
      <c r="CV807" s="86"/>
      <c r="CW807" s="86"/>
      <c r="CX807" s="86"/>
      <c r="CY807" s="86"/>
      <c r="CZ807" s="86"/>
      <c r="DA807" s="86"/>
      <c r="DB807" s="86"/>
      <c r="DC807" s="86"/>
      <c r="DD807" s="86"/>
      <c r="DE807" s="86"/>
      <c r="DF807" s="86"/>
      <c r="DG807" s="86"/>
      <c r="DH807" s="86"/>
      <c r="DI807" s="86"/>
      <c r="DJ807" s="86"/>
      <c r="DK807" s="86"/>
      <c r="DL807" s="86"/>
      <c r="DM807" s="86"/>
      <c r="DN807" s="86"/>
      <c r="DO807" s="86"/>
      <c r="DP807" s="86"/>
      <c r="DQ807" s="86"/>
      <c r="DR807" s="118"/>
      <c r="DS807" s="118"/>
      <c r="DT807" s="86"/>
      <c r="DU807" s="86"/>
      <c r="DV807" s="86"/>
      <c r="DW807" s="86"/>
      <c r="DX807" s="86"/>
      <c r="DY807" s="86"/>
      <c r="DZ807" s="86"/>
      <c r="EA807" s="86"/>
      <c r="EB807" s="86"/>
      <c r="EC807" s="86"/>
      <c r="ED807" s="86"/>
      <c r="EE807" s="86"/>
      <c r="EF807" s="86"/>
      <c r="EG807" s="86"/>
      <c r="EH807" s="86"/>
      <c r="EI807" s="86"/>
      <c r="EJ807" s="86"/>
      <c r="EK807" s="86"/>
      <c r="EL807" s="86"/>
      <c r="EM807" s="86"/>
      <c r="EN807" s="86"/>
    </row>
    <row r="808" spans="1:144" ht="1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8"/>
      <c r="O808" s="88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  <c r="AU808" s="86"/>
      <c r="AV808" s="86"/>
      <c r="AW808" s="86"/>
      <c r="AX808" s="86"/>
      <c r="AY808" s="86"/>
      <c r="AZ808" s="86"/>
      <c r="BA808" s="86"/>
      <c r="BB808" s="86"/>
      <c r="BC808" s="86"/>
      <c r="BD808" s="86"/>
      <c r="BE808" s="86"/>
      <c r="BF808" s="86"/>
      <c r="BG808" s="86"/>
      <c r="BH808" s="86"/>
      <c r="BI808" s="86"/>
      <c r="BJ808" s="86"/>
      <c r="BK808" s="86"/>
      <c r="BL808" s="86"/>
      <c r="BM808" s="86"/>
      <c r="BN808" s="86"/>
      <c r="BO808" s="86"/>
      <c r="BP808" s="86"/>
      <c r="BQ808" s="86"/>
      <c r="BR808" s="86"/>
      <c r="BS808" s="86"/>
      <c r="BT808" s="86"/>
      <c r="BU808" s="86"/>
      <c r="BV808" s="86"/>
      <c r="BW808" s="86"/>
      <c r="BX808" s="86"/>
      <c r="BY808" s="86"/>
      <c r="BZ808" s="86"/>
      <c r="CA808" s="86"/>
      <c r="CB808" s="86"/>
      <c r="CC808" s="86"/>
      <c r="CD808" s="86"/>
      <c r="CE808" s="86"/>
      <c r="CF808" s="86"/>
      <c r="CG808" s="86"/>
      <c r="CH808" s="86"/>
      <c r="CI808" s="86"/>
      <c r="CJ808" s="86"/>
      <c r="CK808" s="86"/>
      <c r="CL808" s="86"/>
      <c r="CM808" s="86"/>
      <c r="CN808" s="86"/>
      <c r="CO808" s="86"/>
      <c r="CP808" s="86"/>
      <c r="CQ808" s="86"/>
      <c r="CR808" s="86"/>
      <c r="CS808" s="86"/>
      <c r="CT808" s="86"/>
      <c r="CU808" s="86"/>
      <c r="CV808" s="86"/>
      <c r="CW808" s="86"/>
      <c r="CX808" s="86"/>
      <c r="CY808" s="86"/>
      <c r="CZ808" s="86"/>
      <c r="DA808" s="86"/>
      <c r="DB808" s="86"/>
      <c r="DC808" s="86"/>
      <c r="DD808" s="86"/>
      <c r="DE808" s="86"/>
      <c r="DF808" s="86"/>
      <c r="DG808" s="86"/>
      <c r="DH808" s="86"/>
      <c r="DI808" s="86"/>
      <c r="DJ808" s="86"/>
      <c r="DK808" s="86"/>
      <c r="DL808" s="86"/>
      <c r="DM808" s="86"/>
      <c r="DN808" s="86"/>
      <c r="DO808" s="86"/>
      <c r="DP808" s="86"/>
      <c r="DQ808" s="86"/>
      <c r="DR808" s="118"/>
      <c r="DS808" s="118"/>
      <c r="DT808" s="86"/>
      <c r="DU808" s="86"/>
      <c r="DV808" s="86"/>
      <c r="DW808" s="86"/>
      <c r="DX808" s="86"/>
      <c r="DY808" s="86"/>
      <c r="DZ808" s="86"/>
      <c r="EA808" s="86"/>
      <c r="EB808" s="86"/>
      <c r="EC808" s="86"/>
      <c r="ED808" s="86"/>
      <c r="EE808" s="86"/>
      <c r="EF808" s="86"/>
      <c r="EG808" s="86"/>
      <c r="EH808" s="86"/>
      <c r="EI808" s="86"/>
      <c r="EJ808" s="86"/>
      <c r="EK808" s="86"/>
      <c r="EL808" s="86"/>
      <c r="EM808" s="86"/>
      <c r="EN808" s="86"/>
    </row>
    <row r="809" spans="1:144" ht="1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8"/>
      <c r="O809" s="88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  <c r="AU809" s="86"/>
      <c r="AV809" s="86"/>
      <c r="AW809" s="86"/>
      <c r="AX809" s="86"/>
      <c r="AY809" s="86"/>
      <c r="AZ809" s="86"/>
      <c r="BA809" s="86"/>
      <c r="BB809" s="86"/>
      <c r="BC809" s="86"/>
      <c r="BD809" s="86"/>
      <c r="BE809" s="86"/>
      <c r="BF809" s="86"/>
      <c r="BG809" s="86"/>
      <c r="BH809" s="86"/>
      <c r="BI809" s="86"/>
      <c r="BJ809" s="86"/>
      <c r="BK809" s="86"/>
      <c r="BL809" s="86"/>
      <c r="BM809" s="86"/>
      <c r="BN809" s="86"/>
      <c r="BO809" s="86"/>
      <c r="BP809" s="86"/>
      <c r="BQ809" s="86"/>
      <c r="BR809" s="86"/>
      <c r="BS809" s="86"/>
      <c r="BT809" s="86"/>
      <c r="BU809" s="86"/>
      <c r="BV809" s="86"/>
      <c r="BW809" s="86"/>
      <c r="BX809" s="86"/>
      <c r="BY809" s="86"/>
      <c r="BZ809" s="86"/>
      <c r="CA809" s="86"/>
      <c r="CB809" s="86"/>
      <c r="CC809" s="86"/>
      <c r="CD809" s="86"/>
      <c r="CE809" s="86"/>
      <c r="CF809" s="86"/>
      <c r="CG809" s="86"/>
      <c r="CH809" s="86"/>
      <c r="CI809" s="86"/>
      <c r="CJ809" s="86"/>
      <c r="CK809" s="86"/>
      <c r="CL809" s="86"/>
      <c r="CM809" s="86"/>
      <c r="CN809" s="86"/>
      <c r="CO809" s="86"/>
      <c r="CP809" s="86"/>
      <c r="CQ809" s="86"/>
      <c r="CR809" s="86"/>
      <c r="CS809" s="86"/>
      <c r="CT809" s="86"/>
      <c r="CU809" s="86"/>
      <c r="CV809" s="86"/>
      <c r="CW809" s="86"/>
      <c r="CX809" s="86"/>
      <c r="CY809" s="86"/>
      <c r="CZ809" s="86"/>
      <c r="DA809" s="86"/>
      <c r="DB809" s="86"/>
      <c r="DC809" s="86"/>
      <c r="DD809" s="86"/>
      <c r="DE809" s="86"/>
      <c r="DF809" s="86"/>
      <c r="DG809" s="86"/>
      <c r="DH809" s="86"/>
      <c r="DI809" s="86"/>
      <c r="DJ809" s="86"/>
      <c r="DK809" s="86"/>
      <c r="DL809" s="86"/>
      <c r="DM809" s="86"/>
      <c r="DN809" s="86"/>
      <c r="DO809" s="86"/>
      <c r="DP809" s="86"/>
      <c r="DQ809" s="86"/>
      <c r="DR809" s="118"/>
      <c r="DS809" s="118"/>
      <c r="DT809" s="86"/>
      <c r="DU809" s="86"/>
      <c r="DV809" s="86"/>
      <c r="DW809" s="86"/>
      <c r="DX809" s="86"/>
      <c r="DY809" s="86"/>
      <c r="DZ809" s="86"/>
      <c r="EA809" s="86"/>
      <c r="EB809" s="86"/>
      <c r="EC809" s="86"/>
      <c r="ED809" s="86"/>
      <c r="EE809" s="86"/>
      <c r="EF809" s="86"/>
      <c r="EG809" s="86"/>
      <c r="EH809" s="86"/>
      <c r="EI809" s="86"/>
      <c r="EJ809" s="86"/>
      <c r="EK809" s="86"/>
      <c r="EL809" s="86"/>
      <c r="EM809" s="86"/>
      <c r="EN809" s="86"/>
    </row>
    <row r="810" spans="1:144" ht="1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8"/>
      <c r="O810" s="88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  <c r="AU810" s="86"/>
      <c r="AV810" s="86"/>
      <c r="AW810" s="86"/>
      <c r="AX810" s="86"/>
      <c r="AY810" s="86"/>
      <c r="AZ810" s="86"/>
      <c r="BA810" s="86"/>
      <c r="BB810" s="86"/>
      <c r="BC810" s="86"/>
      <c r="BD810" s="86"/>
      <c r="BE810" s="86"/>
      <c r="BF810" s="86"/>
      <c r="BG810" s="86"/>
      <c r="BH810" s="86"/>
      <c r="BI810" s="86"/>
      <c r="BJ810" s="86"/>
      <c r="BK810" s="86"/>
      <c r="BL810" s="86"/>
      <c r="BM810" s="86"/>
      <c r="BN810" s="86"/>
      <c r="BO810" s="86"/>
      <c r="BP810" s="86"/>
      <c r="BQ810" s="86"/>
      <c r="BR810" s="86"/>
      <c r="BS810" s="86"/>
      <c r="BT810" s="86"/>
      <c r="BU810" s="86"/>
      <c r="BV810" s="86"/>
      <c r="BW810" s="86"/>
      <c r="BX810" s="86"/>
      <c r="BY810" s="86"/>
      <c r="BZ810" s="86"/>
      <c r="CA810" s="86"/>
      <c r="CB810" s="86"/>
      <c r="CC810" s="86"/>
      <c r="CD810" s="86"/>
      <c r="CE810" s="86"/>
      <c r="CF810" s="86"/>
      <c r="CG810" s="86"/>
      <c r="CH810" s="86"/>
      <c r="CI810" s="86"/>
      <c r="CJ810" s="86"/>
      <c r="CK810" s="86"/>
      <c r="CL810" s="86"/>
      <c r="CM810" s="86"/>
      <c r="CN810" s="86"/>
      <c r="CO810" s="86"/>
      <c r="CP810" s="86"/>
      <c r="CQ810" s="86"/>
      <c r="CR810" s="86"/>
      <c r="CS810" s="86"/>
      <c r="CT810" s="86"/>
      <c r="CU810" s="86"/>
      <c r="CV810" s="86"/>
      <c r="CW810" s="86"/>
      <c r="CX810" s="86"/>
      <c r="CY810" s="86"/>
      <c r="CZ810" s="86"/>
      <c r="DA810" s="86"/>
      <c r="DB810" s="86"/>
      <c r="DC810" s="86"/>
      <c r="DD810" s="86"/>
      <c r="DE810" s="86"/>
      <c r="DF810" s="86"/>
      <c r="DG810" s="86"/>
      <c r="DH810" s="86"/>
      <c r="DI810" s="86"/>
      <c r="DJ810" s="86"/>
      <c r="DK810" s="86"/>
      <c r="DL810" s="86"/>
      <c r="DM810" s="86"/>
      <c r="DN810" s="86"/>
      <c r="DO810" s="86"/>
      <c r="DP810" s="86"/>
      <c r="DQ810" s="86"/>
      <c r="DR810" s="118"/>
      <c r="DS810" s="118"/>
      <c r="DT810" s="86"/>
      <c r="DU810" s="86"/>
      <c r="DV810" s="86"/>
      <c r="DW810" s="86"/>
      <c r="DX810" s="86"/>
      <c r="DY810" s="86"/>
      <c r="DZ810" s="86"/>
      <c r="EA810" s="86"/>
      <c r="EB810" s="86"/>
      <c r="EC810" s="86"/>
      <c r="ED810" s="86"/>
      <c r="EE810" s="86"/>
      <c r="EF810" s="86"/>
      <c r="EG810" s="86"/>
      <c r="EH810" s="86"/>
      <c r="EI810" s="86"/>
      <c r="EJ810" s="86"/>
      <c r="EK810" s="86"/>
      <c r="EL810" s="86"/>
      <c r="EM810" s="86"/>
      <c r="EN810" s="86"/>
    </row>
    <row r="811" spans="1:144" ht="1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8"/>
      <c r="O811" s="88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  <c r="AU811" s="86"/>
      <c r="AV811" s="86"/>
      <c r="AW811" s="86"/>
      <c r="AX811" s="86"/>
      <c r="AY811" s="86"/>
      <c r="AZ811" s="86"/>
      <c r="BA811" s="86"/>
      <c r="BB811" s="86"/>
      <c r="BC811" s="86"/>
      <c r="BD811" s="86"/>
      <c r="BE811" s="86"/>
      <c r="BF811" s="86"/>
      <c r="BG811" s="86"/>
      <c r="BH811" s="86"/>
      <c r="BI811" s="86"/>
      <c r="BJ811" s="86"/>
      <c r="BK811" s="86"/>
      <c r="BL811" s="86"/>
      <c r="BM811" s="86"/>
      <c r="BN811" s="86"/>
      <c r="BO811" s="86"/>
      <c r="BP811" s="86"/>
      <c r="BQ811" s="86"/>
      <c r="BR811" s="86"/>
      <c r="BS811" s="86"/>
      <c r="BT811" s="86"/>
      <c r="BU811" s="86"/>
      <c r="BV811" s="86"/>
      <c r="BW811" s="86"/>
      <c r="BX811" s="86"/>
      <c r="BY811" s="86"/>
      <c r="BZ811" s="86"/>
      <c r="CA811" s="86"/>
      <c r="CB811" s="86"/>
      <c r="CC811" s="86"/>
      <c r="CD811" s="86"/>
      <c r="CE811" s="86"/>
      <c r="CF811" s="86"/>
      <c r="CG811" s="86"/>
      <c r="CH811" s="86"/>
      <c r="CI811" s="86"/>
      <c r="CJ811" s="86"/>
      <c r="CK811" s="86"/>
      <c r="CL811" s="86"/>
      <c r="CM811" s="86"/>
      <c r="CN811" s="86"/>
      <c r="CO811" s="86"/>
      <c r="CP811" s="86"/>
      <c r="CQ811" s="86"/>
      <c r="CR811" s="86"/>
      <c r="CS811" s="86"/>
      <c r="CT811" s="86"/>
      <c r="CU811" s="86"/>
      <c r="CV811" s="86"/>
      <c r="CW811" s="86"/>
      <c r="CX811" s="86"/>
      <c r="CY811" s="86"/>
      <c r="CZ811" s="86"/>
      <c r="DA811" s="86"/>
      <c r="DB811" s="86"/>
      <c r="DC811" s="86"/>
      <c r="DD811" s="86"/>
      <c r="DE811" s="86"/>
      <c r="DF811" s="86"/>
      <c r="DG811" s="86"/>
      <c r="DH811" s="86"/>
      <c r="DI811" s="86"/>
      <c r="DJ811" s="86"/>
      <c r="DK811" s="86"/>
      <c r="DL811" s="86"/>
      <c r="DM811" s="86"/>
      <c r="DN811" s="86"/>
      <c r="DO811" s="86"/>
      <c r="DP811" s="86"/>
      <c r="DQ811" s="86"/>
      <c r="DR811" s="118"/>
      <c r="DS811" s="118"/>
      <c r="DT811" s="86"/>
      <c r="DU811" s="86"/>
      <c r="DV811" s="86"/>
      <c r="DW811" s="86"/>
      <c r="DX811" s="86"/>
      <c r="DY811" s="86"/>
      <c r="DZ811" s="86"/>
      <c r="EA811" s="86"/>
      <c r="EB811" s="86"/>
      <c r="EC811" s="86"/>
      <c r="ED811" s="86"/>
      <c r="EE811" s="86"/>
      <c r="EF811" s="86"/>
      <c r="EG811" s="86"/>
      <c r="EH811" s="86"/>
      <c r="EI811" s="86"/>
      <c r="EJ811" s="86"/>
      <c r="EK811" s="86"/>
      <c r="EL811" s="86"/>
      <c r="EM811" s="86"/>
      <c r="EN811" s="86"/>
    </row>
    <row r="812" spans="1:144" ht="1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8"/>
      <c r="O812" s="88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  <c r="AU812" s="86"/>
      <c r="AV812" s="86"/>
      <c r="AW812" s="86"/>
      <c r="AX812" s="86"/>
      <c r="AY812" s="86"/>
      <c r="AZ812" s="86"/>
      <c r="BA812" s="86"/>
      <c r="BB812" s="86"/>
      <c r="BC812" s="86"/>
      <c r="BD812" s="86"/>
      <c r="BE812" s="86"/>
      <c r="BF812" s="86"/>
      <c r="BG812" s="86"/>
      <c r="BH812" s="86"/>
      <c r="BI812" s="86"/>
      <c r="BJ812" s="86"/>
      <c r="BK812" s="86"/>
      <c r="BL812" s="86"/>
      <c r="BM812" s="86"/>
      <c r="BN812" s="86"/>
      <c r="BO812" s="86"/>
      <c r="BP812" s="86"/>
      <c r="BQ812" s="86"/>
      <c r="BR812" s="86"/>
      <c r="BS812" s="86"/>
      <c r="BT812" s="86"/>
      <c r="BU812" s="86"/>
      <c r="BV812" s="86"/>
      <c r="BW812" s="86"/>
      <c r="BX812" s="86"/>
      <c r="BY812" s="86"/>
      <c r="BZ812" s="86"/>
      <c r="CA812" s="86"/>
      <c r="CB812" s="86"/>
      <c r="CC812" s="86"/>
      <c r="CD812" s="86"/>
      <c r="CE812" s="86"/>
      <c r="CF812" s="86"/>
      <c r="CG812" s="86"/>
      <c r="CH812" s="86"/>
      <c r="CI812" s="86"/>
      <c r="CJ812" s="86"/>
      <c r="CK812" s="86"/>
      <c r="CL812" s="86"/>
      <c r="CM812" s="86"/>
      <c r="CN812" s="86"/>
      <c r="CO812" s="86"/>
      <c r="CP812" s="86"/>
      <c r="CQ812" s="86"/>
      <c r="CR812" s="86"/>
      <c r="CS812" s="86"/>
      <c r="CT812" s="86"/>
      <c r="CU812" s="86"/>
      <c r="CV812" s="86"/>
      <c r="CW812" s="86"/>
      <c r="CX812" s="86"/>
      <c r="CY812" s="86"/>
      <c r="CZ812" s="86"/>
      <c r="DA812" s="86"/>
      <c r="DB812" s="86"/>
      <c r="DC812" s="86"/>
      <c r="DD812" s="86"/>
      <c r="DE812" s="86"/>
      <c r="DF812" s="86"/>
      <c r="DG812" s="86"/>
      <c r="DH812" s="86"/>
      <c r="DI812" s="86"/>
      <c r="DJ812" s="86"/>
      <c r="DK812" s="86"/>
      <c r="DL812" s="86"/>
      <c r="DM812" s="86"/>
      <c r="DN812" s="86"/>
      <c r="DO812" s="86"/>
      <c r="DP812" s="86"/>
      <c r="DQ812" s="86"/>
      <c r="DR812" s="118"/>
      <c r="DS812" s="118"/>
      <c r="DT812" s="86"/>
      <c r="DU812" s="86"/>
      <c r="DV812" s="86"/>
      <c r="DW812" s="86"/>
      <c r="DX812" s="86"/>
      <c r="DY812" s="86"/>
      <c r="DZ812" s="86"/>
      <c r="EA812" s="86"/>
      <c r="EB812" s="86"/>
      <c r="EC812" s="86"/>
      <c r="ED812" s="86"/>
      <c r="EE812" s="86"/>
      <c r="EF812" s="86"/>
      <c r="EG812" s="86"/>
      <c r="EH812" s="86"/>
      <c r="EI812" s="86"/>
      <c r="EJ812" s="86"/>
      <c r="EK812" s="86"/>
      <c r="EL812" s="86"/>
      <c r="EM812" s="86"/>
      <c r="EN812" s="86"/>
    </row>
    <row r="813" spans="1:144" ht="1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8"/>
      <c r="O813" s="88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86"/>
      <c r="AT813" s="86"/>
      <c r="AU813" s="86"/>
      <c r="AV813" s="86"/>
      <c r="AW813" s="86"/>
      <c r="AX813" s="86"/>
      <c r="AY813" s="86"/>
      <c r="AZ813" s="86"/>
      <c r="BA813" s="86"/>
      <c r="BB813" s="86"/>
      <c r="BC813" s="86"/>
      <c r="BD813" s="86"/>
      <c r="BE813" s="86"/>
      <c r="BF813" s="86"/>
      <c r="BG813" s="86"/>
      <c r="BH813" s="86"/>
      <c r="BI813" s="86"/>
      <c r="BJ813" s="86"/>
      <c r="BK813" s="86"/>
      <c r="BL813" s="86"/>
      <c r="BM813" s="86"/>
      <c r="BN813" s="86"/>
      <c r="BO813" s="86"/>
      <c r="BP813" s="86"/>
      <c r="BQ813" s="86"/>
      <c r="BR813" s="86"/>
      <c r="BS813" s="86"/>
      <c r="BT813" s="86"/>
      <c r="BU813" s="86"/>
      <c r="BV813" s="86"/>
      <c r="BW813" s="86"/>
      <c r="BX813" s="86"/>
      <c r="BY813" s="86"/>
      <c r="BZ813" s="86"/>
      <c r="CA813" s="86"/>
      <c r="CB813" s="86"/>
      <c r="CC813" s="86"/>
      <c r="CD813" s="86"/>
      <c r="CE813" s="86"/>
      <c r="CF813" s="86"/>
      <c r="CG813" s="86"/>
      <c r="CH813" s="86"/>
      <c r="CI813" s="86"/>
      <c r="CJ813" s="86"/>
      <c r="CK813" s="86"/>
      <c r="CL813" s="86"/>
      <c r="CM813" s="86"/>
      <c r="CN813" s="86"/>
      <c r="CO813" s="86"/>
      <c r="CP813" s="86"/>
      <c r="CQ813" s="86"/>
      <c r="CR813" s="86"/>
      <c r="CS813" s="86"/>
      <c r="CT813" s="86"/>
      <c r="CU813" s="86"/>
      <c r="CV813" s="86"/>
      <c r="CW813" s="86"/>
      <c r="CX813" s="86"/>
      <c r="CY813" s="86"/>
      <c r="CZ813" s="86"/>
      <c r="DA813" s="86"/>
      <c r="DB813" s="86"/>
      <c r="DC813" s="86"/>
      <c r="DD813" s="86"/>
      <c r="DE813" s="86"/>
      <c r="DF813" s="86"/>
      <c r="DG813" s="86"/>
      <c r="DH813" s="86"/>
      <c r="DI813" s="86"/>
      <c r="DJ813" s="86"/>
      <c r="DK813" s="86"/>
      <c r="DL813" s="86"/>
      <c r="DM813" s="86"/>
      <c r="DN813" s="86"/>
      <c r="DO813" s="86"/>
      <c r="DP813" s="86"/>
      <c r="DQ813" s="86"/>
      <c r="DR813" s="118"/>
      <c r="DS813" s="118"/>
      <c r="DT813" s="86"/>
      <c r="DU813" s="86"/>
      <c r="DV813" s="86"/>
      <c r="DW813" s="86"/>
      <c r="DX813" s="86"/>
      <c r="DY813" s="86"/>
      <c r="DZ813" s="86"/>
      <c r="EA813" s="86"/>
      <c r="EB813" s="86"/>
      <c r="EC813" s="86"/>
      <c r="ED813" s="86"/>
      <c r="EE813" s="86"/>
      <c r="EF813" s="86"/>
      <c r="EG813" s="86"/>
      <c r="EH813" s="86"/>
      <c r="EI813" s="86"/>
      <c r="EJ813" s="86"/>
      <c r="EK813" s="86"/>
      <c r="EL813" s="86"/>
      <c r="EM813" s="86"/>
      <c r="EN813" s="86"/>
    </row>
    <row r="814" spans="1:144" ht="1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8"/>
      <c r="O814" s="88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AS814" s="86"/>
      <c r="AT814" s="86"/>
      <c r="AU814" s="86"/>
      <c r="AV814" s="86"/>
      <c r="AW814" s="86"/>
      <c r="AX814" s="86"/>
      <c r="AY814" s="86"/>
      <c r="AZ814" s="86"/>
      <c r="BA814" s="86"/>
      <c r="BB814" s="86"/>
      <c r="BC814" s="86"/>
      <c r="BD814" s="86"/>
      <c r="BE814" s="86"/>
      <c r="BF814" s="86"/>
      <c r="BG814" s="86"/>
      <c r="BH814" s="86"/>
      <c r="BI814" s="86"/>
      <c r="BJ814" s="86"/>
      <c r="BK814" s="86"/>
      <c r="BL814" s="86"/>
      <c r="BM814" s="86"/>
      <c r="BN814" s="86"/>
      <c r="BO814" s="86"/>
      <c r="BP814" s="86"/>
      <c r="BQ814" s="86"/>
      <c r="BR814" s="86"/>
      <c r="BS814" s="86"/>
      <c r="BT814" s="86"/>
      <c r="BU814" s="86"/>
      <c r="BV814" s="86"/>
      <c r="BW814" s="86"/>
      <c r="BX814" s="86"/>
      <c r="BY814" s="86"/>
      <c r="BZ814" s="86"/>
      <c r="CA814" s="86"/>
      <c r="CB814" s="86"/>
      <c r="CC814" s="86"/>
      <c r="CD814" s="86"/>
      <c r="CE814" s="86"/>
      <c r="CF814" s="86"/>
      <c r="CG814" s="86"/>
      <c r="CH814" s="86"/>
      <c r="CI814" s="86"/>
      <c r="CJ814" s="86"/>
      <c r="CK814" s="86"/>
      <c r="CL814" s="86"/>
      <c r="CM814" s="86"/>
      <c r="CN814" s="86"/>
      <c r="CO814" s="86"/>
      <c r="CP814" s="86"/>
      <c r="CQ814" s="86"/>
      <c r="CR814" s="86"/>
      <c r="CS814" s="86"/>
      <c r="CT814" s="86"/>
      <c r="CU814" s="86"/>
      <c r="CV814" s="86"/>
      <c r="CW814" s="86"/>
      <c r="CX814" s="86"/>
      <c r="CY814" s="86"/>
      <c r="CZ814" s="86"/>
      <c r="DA814" s="86"/>
      <c r="DB814" s="86"/>
      <c r="DC814" s="86"/>
      <c r="DD814" s="86"/>
      <c r="DE814" s="86"/>
      <c r="DF814" s="86"/>
      <c r="DG814" s="86"/>
      <c r="DH814" s="86"/>
      <c r="DI814" s="86"/>
      <c r="DJ814" s="86"/>
      <c r="DK814" s="86"/>
      <c r="DL814" s="86"/>
      <c r="DM814" s="86"/>
      <c r="DN814" s="86"/>
      <c r="DO814" s="86"/>
      <c r="DP814" s="86"/>
      <c r="DQ814" s="86"/>
      <c r="DR814" s="118"/>
      <c r="DS814" s="118"/>
      <c r="DT814" s="86"/>
      <c r="DU814" s="86"/>
      <c r="DV814" s="86"/>
      <c r="DW814" s="86"/>
      <c r="DX814" s="86"/>
      <c r="DY814" s="86"/>
      <c r="DZ814" s="86"/>
      <c r="EA814" s="86"/>
      <c r="EB814" s="86"/>
      <c r="EC814" s="86"/>
      <c r="ED814" s="86"/>
      <c r="EE814" s="86"/>
      <c r="EF814" s="86"/>
      <c r="EG814" s="86"/>
      <c r="EH814" s="86"/>
      <c r="EI814" s="86"/>
      <c r="EJ814" s="86"/>
      <c r="EK814" s="86"/>
      <c r="EL814" s="86"/>
      <c r="EM814" s="86"/>
      <c r="EN814" s="86"/>
    </row>
    <row r="815" spans="1:144" ht="1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8"/>
      <c r="O815" s="88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AS815" s="86"/>
      <c r="AT815" s="86"/>
      <c r="AU815" s="86"/>
      <c r="AV815" s="86"/>
      <c r="AW815" s="86"/>
      <c r="AX815" s="86"/>
      <c r="AY815" s="86"/>
      <c r="AZ815" s="86"/>
      <c r="BA815" s="86"/>
      <c r="BB815" s="86"/>
      <c r="BC815" s="86"/>
      <c r="BD815" s="86"/>
      <c r="BE815" s="86"/>
      <c r="BF815" s="86"/>
      <c r="BG815" s="86"/>
      <c r="BH815" s="86"/>
      <c r="BI815" s="86"/>
      <c r="BJ815" s="86"/>
      <c r="BK815" s="86"/>
      <c r="BL815" s="86"/>
      <c r="BM815" s="86"/>
      <c r="BN815" s="86"/>
      <c r="BO815" s="86"/>
      <c r="BP815" s="86"/>
      <c r="BQ815" s="86"/>
      <c r="BR815" s="86"/>
      <c r="BS815" s="86"/>
      <c r="BT815" s="86"/>
      <c r="BU815" s="86"/>
      <c r="BV815" s="86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  <c r="CO815" s="86"/>
      <c r="CP815" s="86"/>
      <c r="CQ815" s="86"/>
      <c r="CR815" s="86"/>
      <c r="CS815" s="86"/>
      <c r="CT815" s="86"/>
      <c r="CU815" s="86"/>
      <c r="CV815" s="86"/>
      <c r="CW815" s="86"/>
      <c r="CX815" s="86"/>
      <c r="CY815" s="86"/>
      <c r="CZ815" s="86"/>
      <c r="DA815" s="86"/>
      <c r="DB815" s="86"/>
      <c r="DC815" s="86"/>
      <c r="DD815" s="86"/>
      <c r="DE815" s="86"/>
      <c r="DF815" s="86"/>
      <c r="DG815" s="86"/>
      <c r="DH815" s="86"/>
      <c r="DI815" s="86"/>
      <c r="DJ815" s="86"/>
      <c r="DK815" s="86"/>
      <c r="DL815" s="86"/>
      <c r="DM815" s="86"/>
      <c r="DN815" s="86"/>
      <c r="DO815" s="86"/>
      <c r="DP815" s="86"/>
      <c r="DQ815" s="86"/>
      <c r="DR815" s="118"/>
      <c r="DS815" s="118"/>
      <c r="DT815" s="86"/>
      <c r="DU815" s="86"/>
      <c r="DV815" s="86"/>
      <c r="DW815" s="86"/>
      <c r="DX815" s="86"/>
      <c r="DY815" s="86"/>
      <c r="DZ815" s="86"/>
      <c r="EA815" s="86"/>
      <c r="EB815" s="86"/>
      <c r="EC815" s="86"/>
      <c r="ED815" s="86"/>
      <c r="EE815" s="86"/>
      <c r="EF815" s="86"/>
      <c r="EG815" s="86"/>
      <c r="EH815" s="86"/>
      <c r="EI815" s="86"/>
      <c r="EJ815" s="86"/>
      <c r="EK815" s="86"/>
      <c r="EL815" s="86"/>
      <c r="EM815" s="86"/>
      <c r="EN815" s="86"/>
    </row>
    <row r="816" spans="1:144" ht="1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8"/>
      <c r="O816" s="88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AS816" s="86"/>
      <c r="AT816" s="86"/>
      <c r="AU816" s="86"/>
      <c r="AV816" s="86"/>
      <c r="AW816" s="86"/>
      <c r="AX816" s="86"/>
      <c r="AY816" s="86"/>
      <c r="AZ816" s="86"/>
      <c r="BA816" s="86"/>
      <c r="BB816" s="86"/>
      <c r="BC816" s="86"/>
      <c r="BD816" s="86"/>
      <c r="BE816" s="86"/>
      <c r="BF816" s="86"/>
      <c r="BG816" s="86"/>
      <c r="BH816" s="86"/>
      <c r="BI816" s="86"/>
      <c r="BJ816" s="86"/>
      <c r="BK816" s="86"/>
      <c r="BL816" s="86"/>
      <c r="BM816" s="86"/>
      <c r="BN816" s="86"/>
      <c r="BO816" s="86"/>
      <c r="BP816" s="86"/>
      <c r="BQ816" s="86"/>
      <c r="BR816" s="86"/>
      <c r="BS816" s="86"/>
      <c r="BT816" s="86"/>
      <c r="BU816" s="86"/>
      <c r="BV816" s="86"/>
      <c r="BW816" s="86"/>
      <c r="BX816" s="86"/>
      <c r="BY816" s="86"/>
      <c r="BZ816" s="86"/>
      <c r="CA816" s="86"/>
      <c r="CB816" s="86"/>
      <c r="CC816" s="86"/>
      <c r="CD816" s="86"/>
      <c r="CE816" s="86"/>
      <c r="CF816" s="86"/>
      <c r="CG816" s="86"/>
      <c r="CH816" s="86"/>
      <c r="CI816" s="86"/>
      <c r="CJ816" s="86"/>
      <c r="CK816" s="86"/>
      <c r="CL816" s="86"/>
      <c r="CM816" s="86"/>
      <c r="CN816" s="86"/>
      <c r="CO816" s="86"/>
      <c r="CP816" s="86"/>
      <c r="CQ816" s="86"/>
      <c r="CR816" s="86"/>
      <c r="CS816" s="86"/>
      <c r="CT816" s="86"/>
      <c r="CU816" s="86"/>
      <c r="CV816" s="86"/>
      <c r="CW816" s="86"/>
      <c r="CX816" s="86"/>
      <c r="CY816" s="86"/>
      <c r="CZ816" s="86"/>
      <c r="DA816" s="86"/>
      <c r="DB816" s="86"/>
      <c r="DC816" s="86"/>
      <c r="DD816" s="86"/>
      <c r="DE816" s="86"/>
      <c r="DF816" s="86"/>
      <c r="DG816" s="86"/>
      <c r="DH816" s="86"/>
      <c r="DI816" s="86"/>
      <c r="DJ816" s="86"/>
      <c r="DK816" s="86"/>
      <c r="DL816" s="86"/>
      <c r="DM816" s="86"/>
      <c r="DN816" s="86"/>
      <c r="DO816" s="86"/>
      <c r="DP816" s="86"/>
      <c r="DQ816" s="86"/>
      <c r="DR816" s="118"/>
      <c r="DS816" s="118"/>
      <c r="DT816" s="86"/>
      <c r="DU816" s="86"/>
      <c r="DV816" s="86"/>
      <c r="DW816" s="86"/>
      <c r="DX816" s="86"/>
      <c r="DY816" s="86"/>
      <c r="DZ816" s="86"/>
      <c r="EA816" s="86"/>
      <c r="EB816" s="86"/>
      <c r="EC816" s="86"/>
      <c r="ED816" s="86"/>
      <c r="EE816" s="86"/>
      <c r="EF816" s="86"/>
      <c r="EG816" s="86"/>
      <c r="EH816" s="86"/>
      <c r="EI816" s="86"/>
      <c r="EJ816" s="86"/>
      <c r="EK816" s="86"/>
      <c r="EL816" s="86"/>
      <c r="EM816" s="86"/>
      <c r="EN816" s="86"/>
    </row>
    <row r="817" spans="1:144" ht="1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8"/>
      <c r="O817" s="88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AS817" s="86"/>
      <c r="AT817" s="86"/>
      <c r="AU817" s="86"/>
      <c r="AV817" s="86"/>
      <c r="AW817" s="86"/>
      <c r="AX817" s="86"/>
      <c r="AY817" s="86"/>
      <c r="AZ817" s="86"/>
      <c r="BA817" s="86"/>
      <c r="BB817" s="86"/>
      <c r="BC817" s="86"/>
      <c r="BD817" s="86"/>
      <c r="BE817" s="86"/>
      <c r="BF817" s="86"/>
      <c r="BG817" s="86"/>
      <c r="BH817" s="86"/>
      <c r="BI817" s="86"/>
      <c r="BJ817" s="86"/>
      <c r="BK817" s="86"/>
      <c r="BL817" s="86"/>
      <c r="BM817" s="86"/>
      <c r="BN817" s="86"/>
      <c r="BO817" s="86"/>
      <c r="BP817" s="86"/>
      <c r="BQ817" s="86"/>
      <c r="BR817" s="86"/>
      <c r="BS817" s="86"/>
      <c r="BT817" s="86"/>
      <c r="BU817" s="86"/>
      <c r="BV817" s="86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  <c r="CO817" s="86"/>
      <c r="CP817" s="86"/>
      <c r="CQ817" s="86"/>
      <c r="CR817" s="86"/>
      <c r="CS817" s="86"/>
      <c r="CT817" s="86"/>
      <c r="CU817" s="86"/>
      <c r="CV817" s="86"/>
      <c r="CW817" s="86"/>
      <c r="CX817" s="86"/>
      <c r="CY817" s="86"/>
      <c r="CZ817" s="86"/>
      <c r="DA817" s="86"/>
      <c r="DB817" s="86"/>
      <c r="DC817" s="86"/>
      <c r="DD817" s="86"/>
      <c r="DE817" s="86"/>
      <c r="DF817" s="86"/>
      <c r="DG817" s="86"/>
      <c r="DH817" s="86"/>
      <c r="DI817" s="86"/>
      <c r="DJ817" s="86"/>
      <c r="DK817" s="86"/>
      <c r="DL817" s="86"/>
      <c r="DM817" s="86"/>
      <c r="DN817" s="86"/>
      <c r="DO817" s="86"/>
      <c r="DP817" s="86"/>
      <c r="DQ817" s="86"/>
      <c r="DR817" s="118"/>
      <c r="DS817" s="118"/>
      <c r="DT817" s="86"/>
      <c r="DU817" s="86"/>
      <c r="DV817" s="86"/>
      <c r="DW817" s="86"/>
      <c r="DX817" s="86"/>
      <c r="DY817" s="86"/>
      <c r="DZ817" s="86"/>
      <c r="EA817" s="86"/>
      <c r="EB817" s="86"/>
      <c r="EC817" s="86"/>
      <c r="ED817" s="86"/>
      <c r="EE817" s="86"/>
      <c r="EF817" s="86"/>
      <c r="EG817" s="86"/>
      <c r="EH817" s="86"/>
      <c r="EI817" s="86"/>
      <c r="EJ817" s="86"/>
      <c r="EK817" s="86"/>
      <c r="EL817" s="86"/>
      <c r="EM817" s="86"/>
      <c r="EN817" s="86"/>
    </row>
    <row r="818" spans="1:144" ht="1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8"/>
      <c r="O818" s="88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AS818" s="86"/>
      <c r="AT818" s="86"/>
      <c r="AU818" s="86"/>
      <c r="AV818" s="86"/>
      <c r="AW818" s="86"/>
      <c r="AX818" s="86"/>
      <c r="AY818" s="86"/>
      <c r="AZ818" s="86"/>
      <c r="BA818" s="86"/>
      <c r="BB818" s="86"/>
      <c r="BC818" s="86"/>
      <c r="BD818" s="86"/>
      <c r="BE818" s="86"/>
      <c r="BF818" s="86"/>
      <c r="BG818" s="86"/>
      <c r="BH818" s="86"/>
      <c r="BI818" s="86"/>
      <c r="BJ818" s="86"/>
      <c r="BK818" s="86"/>
      <c r="BL818" s="86"/>
      <c r="BM818" s="86"/>
      <c r="BN818" s="86"/>
      <c r="BO818" s="86"/>
      <c r="BP818" s="86"/>
      <c r="BQ818" s="86"/>
      <c r="BR818" s="86"/>
      <c r="BS818" s="86"/>
      <c r="BT818" s="86"/>
      <c r="BU818" s="86"/>
      <c r="BV818" s="86"/>
      <c r="BW818" s="86"/>
      <c r="BX818" s="86"/>
      <c r="BY818" s="86"/>
      <c r="BZ818" s="86"/>
      <c r="CA818" s="86"/>
      <c r="CB818" s="86"/>
      <c r="CC818" s="86"/>
      <c r="CD818" s="86"/>
      <c r="CE818" s="86"/>
      <c r="CF818" s="86"/>
      <c r="CG818" s="86"/>
      <c r="CH818" s="86"/>
      <c r="CI818" s="86"/>
      <c r="CJ818" s="86"/>
      <c r="CK818" s="86"/>
      <c r="CL818" s="86"/>
      <c r="CM818" s="86"/>
      <c r="CN818" s="86"/>
      <c r="CO818" s="86"/>
      <c r="CP818" s="86"/>
      <c r="CQ818" s="86"/>
      <c r="CR818" s="86"/>
      <c r="CS818" s="86"/>
      <c r="CT818" s="86"/>
      <c r="CU818" s="86"/>
      <c r="CV818" s="86"/>
      <c r="CW818" s="86"/>
      <c r="CX818" s="86"/>
      <c r="CY818" s="86"/>
      <c r="CZ818" s="86"/>
      <c r="DA818" s="86"/>
      <c r="DB818" s="86"/>
      <c r="DC818" s="86"/>
      <c r="DD818" s="86"/>
      <c r="DE818" s="86"/>
      <c r="DF818" s="86"/>
      <c r="DG818" s="86"/>
      <c r="DH818" s="86"/>
      <c r="DI818" s="86"/>
      <c r="DJ818" s="86"/>
      <c r="DK818" s="86"/>
      <c r="DL818" s="86"/>
      <c r="DM818" s="86"/>
      <c r="DN818" s="86"/>
      <c r="DO818" s="86"/>
      <c r="DP818" s="86"/>
      <c r="DQ818" s="86"/>
      <c r="DR818" s="118"/>
      <c r="DS818" s="118"/>
      <c r="DT818" s="86"/>
      <c r="DU818" s="86"/>
      <c r="DV818" s="86"/>
      <c r="DW818" s="86"/>
      <c r="DX818" s="86"/>
      <c r="DY818" s="86"/>
      <c r="DZ818" s="86"/>
      <c r="EA818" s="86"/>
      <c r="EB818" s="86"/>
      <c r="EC818" s="86"/>
      <c r="ED818" s="86"/>
      <c r="EE818" s="86"/>
      <c r="EF818" s="86"/>
      <c r="EG818" s="86"/>
      <c r="EH818" s="86"/>
      <c r="EI818" s="86"/>
      <c r="EJ818" s="86"/>
      <c r="EK818" s="86"/>
      <c r="EL818" s="86"/>
      <c r="EM818" s="86"/>
      <c r="EN818" s="86"/>
    </row>
    <row r="819" spans="1:144" ht="1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8"/>
      <c r="O819" s="88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AS819" s="86"/>
      <c r="AT819" s="86"/>
      <c r="AU819" s="86"/>
      <c r="AV819" s="86"/>
      <c r="AW819" s="86"/>
      <c r="AX819" s="86"/>
      <c r="AY819" s="86"/>
      <c r="AZ819" s="86"/>
      <c r="BA819" s="86"/>
      <c r="BB819" s="86"/>
      <c r="BC819" s="86"/>
      <c r="BD819" s="86"/>
      <c r="BE819" s="86"/>
      <c r="BF819" s="86"/>
      <c r="BG819" s="86"/>
      <c r="BH819" s="86"/>
      <c r="BI819" s="86"/>
      <c r="BJ819" s="86"/>
      <c r="BK819" s="86"/>
      <c r="BL819" s="86"/>
      <c r="BM819" s="86"/>
      <c r="BN819" s="86"/>
      <c r="BO819" s="86"/>
      <c r="BP819" s="86"/>
      <c r="BQ819" s="86"/>
      <c r="BR819" s="86"/>
      <c r="BS819" s="86"/>
      <c r="BT819" s="86"/>
      <c r="BU819" s="86"/>
      <c r="BV819" s="86"/>
      <c r="BW819" s="86"/>
      <c r="BX819" s="86"/>
      <c r="BY819" s="86"/>
      <c r="BZ819" s="86"/>
      <c r="CA819" s="86"/>
      <c r="CB819" s="86"/>
      <c r="CC819" s="86"/>
      <c r="CD819" s="86"/>
      <c r="CE819" s="86"/>
      <c r="CF819" s="86"/>
      <c r="CG819" s="86"/>
      <c r="CH819" s="86"/>
      <c r="CI819" s="86"/>
      <c r="CJ819" s="86"/>
      <c r="CK819" s="86"/>
      <c r="CL819" s="86"/>
      <c r="CM819" s="86"/>
      <c r="CN819" s="86"/>
      <c r="CO819" s="86"/>
      <c r="CP819" s="86"/>
      <c r="CQ819" s="86"/>
      <c r="CR819" s="86"/>
      <c r="CS819" s="86"/>
      <c r="CT819" s="86"/>
      <c r="CU819" s="86"/>
      <c r="CV819" s="86"/>
      <c r="CW819" s="86"/>
      <c r="CX819" s="86"/>
      <c r="CY819" s="86"/>
      <c r="CZ819" s="86"/>
      <c r="DA819" s="86"/>
      <c r="DB819" s="86"/>
      <c r="DC819" s="86"/>
      <c r="DD819" s="86"/>
      <c r="DE819" s="86"/>
      <c r="DF819" s="86"/>
      <c r="DG819" s="86"/>
      <c r="DH819" s="86"/>
      <c r="DI819" s="86"/>
      <c r="DJ819" s="86"/>
      <c r="DK819" s="86"/>
      <c r="DL819" s="86"/>
      <c r="DM819" s="86"/>
      <c r="DN819" s="86"/>
      <c r="DO819" s="86"/>
      <c r="DP819" s="86"/>
      <c r="DQ819" s="86"/>
      <c r="DR819" s="118"/>
      <c r="DS819" s="118"/>
      <c r="DT819" s="86"/>
      <c r="DU819" s="86"/>
      <c r="DV819" s="86"/>
      <c r="DW819" s="86"/>
      <c r="DX819" s="86"/>
      <c r="DY819" s="86"/>
      <c r="DZ819" s="86"/>
      <c r="EA819" s="86"/>
      <c r="EB819" s="86"/>
      <c r="EC819" s="86"/>
      <c r="ED819" s="86"/>
      <c r="EE819" s="86"/>
      <c r="EF819" s="86"/>
      <c r="EG819" s="86"/>
      <c r="EH819" s="86"/>
      <c r="EI819" s="86"/>
      <c r="EJ819" s="86"/>
      <c r="EK819" s="86"/>
      <c r="EL819" s="86"/>
      <c r="EM819" s="86"/>
      <c r="EN819" s="86"/>
    </row>
    <row r="820" spans="1:144" ht="1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8"/>
      <c r="O820" s="88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AS820" s="86"/>
      <c r="AT820" s="86"/>
      <c r="AU820" s="86"/>
      <c r="AV820" s="86"/>
      <c r="AW820" s="86"/>
      <c r="AX820" s="86"/>
      <c r="AY820" s="86"/>
      <c r="AZ820" s="86"/>
      <c r="BA820" s="86"/>
      <c r="BB820" s="86"/>
      <c r="BC820" s="86"/>
      <c r="BD820" s="86"/>
      <c r="BE820" s="86"/>
      <c r="BF820" s="86"/>
      <c r="BG820" s="86"/>
      <c r="BH820" s="86"/>
      <c r="BI820" s="86"/>
      <c r="BJ820" s="86"/>
      <c r="BK820" s="86"/>
      <c r="BL820" s="86"/>
      <c r="BM820" s="86"/>
      <c r="BN820" s="86"/>
      <c r="BO820" s="86"/>
      <c r="BP820" s="86"/>
      <c r="BQ820" s="86"/>
      <c r="BR820" s="86"/>
      <c r="BS820" s="86"/>
      <c r="BT820" s="86"/>
      <c r="BU820" s="86"/>
      <c r="BV820" s="86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  <c r="CO820" s="86"/>
      <c r="CP820" s="86"/>
      <c r="CQ820" s="86"/>
      <c r="CR820" s="86"/>
      <c r="CS820" s="86"/>
      <c r="CT820" s="86"/>
      <c r="CU820" s="86"/>
      <c r="CV820" s="86"/>
      <c r="CW820" s="86"/>
      <c r="CX820" s="86"/>
      <c r="CY820" s="86"/>
      <c r="CZ820" s="86"/>
      <c r="DA820" s="86"/>
      <c r="DB820" s="86"/>
      <c r="DC820" s="86"/>
      <c r="DD820" s="86"/>
      <c r="DE820" s="86"/>
      <c r="DF820" s="86"/>
      <c r="DG820" s="86"/>
      <c r="DH820" s="86"/>
      <c r="DI820" s="86"/>
      <c r="DJ820" s="86"/>
      <c r="DK820" s="86"/>
      <c r="DL820" s="86"/>
      <c r="DM820" s="86"/>
      <c r="DN820" s="86"/>
      <c r="DO820" s="86"/>
      <c r="DP820" s="86"/>
      <c r="DQ820" s="86"/>
      <c r="DR820" s="118"/>
      <c r="DS820" s="118"/>
      <c r="DT820" s="86"/>
      <c r="DU820" s="86"/>
      <c r="DV820" s="86"/>
      <c r="DW820" s="86"/>
      <c r="DX820" s="86"/>
      <c r="DY820" s="86"/>
      <c r="DZ820" s="86"/>
      <c r="EA820" s="86"/>
      <c r="EB820" s="86"/>
      <c r="EC820" s="86"/>
      <c r="ED820" s="86"/>
      <c r="EE820" s="86"/>
      <c r="EF820" s="86"/>
      <c r="EG820" s="86"/>
      <c r="EH820" s="86"/>
      <c r="EI820" s="86"/>
      <c r="EJ820" s="86"/>
      <c r="EK820" s="86"/>
      <c r="EL820" s="86"/>
      <c r="EM820" s="86"/>
      <c r="EN820" s="86"/>
    </row>
    <row r="821" spans="1:144" ht="1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8"/>
      <c r="O821" s="88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AS821" s="86"/>
      <c r="AT821" s="86"/>
      <c r="AU821" s="86"/>
      <c r="AV821" s="86"/>
      <c r="AW821" s="86"/>
      <c r="AX821" s="86"/>
      <c r="AY821" s="86"/>
      <c r="AZ821" s="86"/>
      <c r="BA821" s="86"/>
      <c r="BB821" s="86"/>
      <c r="BC821" s="86"/>
      <c r="BD821" s="86"/>
      <c r="BE821" s="86"/>
      <c r="BF821" s="86"/>
      <c r="BG821" s="86"/>
      <c r="BH821" s="86"/>
      <c r="BI821" s="86"/>
      <c r="BJ821" s="86"/>
      <c r="BK821" s="86"/>
      <c r="BL821" s="86"/>
      <c r="BM821" s="86"/>
      <c r="BN821" s="86"/>
      <c r="BO821" s="86"/>
      <c r="BP821" s="86"/>
      <c r="BQ821" s="86"/>
      <c r="BR821" s="86"/>
      <c r="BS821" s="86"/>
      <c r="BT821" s="86"/>
      <c r="BU821" s="86"/>
      <c r="BV821" s="86"/>
      <c r="BW821" s="86"/>
      <c r="BX821" s="86"/>
      <c r="BY821" s="86"/>
      <c r="BZ821" s="86"/>
      <c r="CA821" s="86"/>
      <c r="CB821" s="86"/>
      <c r="CC821" s="86"/>
      <c r="CD821" s="86"/>
      <c r="CE821" s="86"/>
      <c r="CF821" s="86"/>
      <c r="CG821" s="86"/>
      <c r="CH821" s="86"/>
      <c r="CI821" s="86"/>
      <c r="CJ821" s="86"/>
      <c r="CK821" s="86"/>
      <c r="CL821" s="86"/>
      <c r="CM821" s="86"/>
      <c r="CN821" s="86"/>
      <c r="CO821" s="86"/>
      <c r="CP821" s="86"/>
      <c r="CQ821" s="86"/>
      <c r="CR821" s="86"/>
      <c r="CS821" s="86"/>
      <c r="CT821" s="86"/>
      <c r="CU821" s="86"/>
      <c r="CV821" s="86"/>
      <c r="CW821" s="86"/>
      <c r="CX821" s="86"/>
      <c r="CY821" s="86"/>
      <c r="CZ821" s="86"/>
      <c r="DA821" s="86"/>
      <c r="DB821" s="86"/>
      <c r="DC821" s="86"/>
      <c r="DD821" s="86"/>
      <c r="DE821" s="86"/>
      <c r="DF821" s="86"/>
      <c r="DG821" s="86"/>
      <c r="DH821" s="86"/>
      <c r="DI821" s="86"/>
      <c r="DJ821" s="86"/>
      <c r="DK821" s="86"/>
      <c r="DL821" s="86"/>
      <c r="DM821" s="86"/>
      <c r="DN821" s="86"/>
      <c r="DO821" s="86"/>
      <c r="DP821" s="86"/>
      <c r="DQ821" s="86"/>
      <c r="DR821" s="118"/>
      <c r="DS821" s="118"/>
      <c r="DT821" s="86"/>
      <c r="DU821" s="86"/>
      <c r="DV821" s="86"/>
      <c r="DW821" s="86"/>
      <c r="DX821" s="86"/>
      <c r="DY821" s="86"/>
      <c r="DZ821" s="86"/>
      <c r="EA821" s="86"/>
      <c r="EB821" s="86"/>
      <c r="EC821" s="86"/>
      <c r="ED821" s="86"/>
      <c r="EE821" s="86"/>
      <c r="EF821" s="86"/>
      <c r="EG821" s="86"/>
      <c r="EH821" s="86"/>
      <c r="EI821" s="86"/>
      <c r="EJ821" s="86"/>
      <c r="EK821" s="86"/>
      <c r="EL821" s="86"/>
      <c r="EM821" s="86"/>
      <c r="EN821" s="86"/>
    </row>
    <row r="822" spans="1:144" ht="1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8"/>
      <c r="O822" s="88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AS822" s="86"/>
      <c r="AT822" s="86"/>
      <c r="AU822" s="86"/>
      <c r="AV822" s="86"/>
      <c r="AW822" s="86"/>
      <c r="AX822" s="86"/>
      <c r="AY822" s="86"/>
      <c r="AZ822" s="86"/>
      <c r="BA822" s="86"/>
      <c r="BB822" s="86"/>
      <c r="BC822" s="86"/>
      <c r="BD822" s="86"/>
      <c r="BE822" s="86"/>
      <c r="BF822" s="86"/>
      <c r="BG822" s="86"/>
      <c r="BH822" s="86"/>
      <c r="BI822" s="86"/>
      <c r="BJ822" s="86"/>
      <c r="BK822" s="86"/>
      <c r="BL822" s="86"/>
      <c r="BM822" s="86"/>
      <c r="BN822" s="86"/>
      <c r="BO822" s="86"/>
      <c r="BP822" s="86"/>
      <c r="BQ822" s="86"/>
      <c r="BR822" s="86"/>
      <c r="BS822" s="86"/>
      <c r="BT822" s="86"/>
      <c r="BU822" s="86"/>
      <c r="BV822" s="86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  <c r="CO822" s="86"/>
      <c r="CP822" s="86"/>
      <c r="CQ822" s="86"/>
      <c r="CR822" s="86"/>
      <c r="CS822" s="86"/>
      <c r="CT822" s="86"/>
      <c r="CU822" s="86"/>
      <c r="CV822" s="86"/>
      <c r="CW822" s="86"/>
      <c r="CX822" s="86"/>
      <c r="CY822" s="86"/>
      <c r="CZ822" s="86"/>
      <c r="DA822" s="86"/>
      <c r="DB822" s="86"/>
      <c r="DC822" s="86"/>
      <c r="DD822" s="86"/>
      <c r="DE822" s="86"/>
      <c r="DF822" s="86"/>
      <c r="DG822" s="86"/>
      <c r="DH822" s="86"/>
      <c r="DI822" s="86"/>
      <c r="DJ822" s="86"/>
      <c r="DK822" s="86"/>
      <c r="DL822" s="86"/>
      <c r="DM822" s="86"/>
      <c r="DN822" s="86"/>
      <c r="DO822" s="86"/>
      <c r="DP822" s="86"/>
      <c r="DQ822" s="86"/>
      <c r="DR822" s="118"/>
      <c r="DS822" s="118"/>
      <c r="DT822" s="86"/>
      <c r="DU822" s="86"/>
      <c r="DV822" s="86"/>
      <c r="DW822" s="86"/>
      <c r="DX822" s="86"/>
      <c r="DY822" s="86"/>
      <c r="DZ822" s="86"/>
      <c r="EA822" s="86"/>
      <c r="EB822" s="86"/>
      <c r="EC822" s="86"/>
      <c r="ED822" s="86"/>
      <c r="EE822" s="86"/>
      <c r="EF822" s="86"/>
      <c r="EG822" s="86"/>
      <c r="EH822" s="86"/>
      <c r="EI822" s="86"/>
      <c r="EJ822" s="86"/>
      <c r="EK822" s="86"/>
      <c r="EL822" s="86"/>
      <c r="EM822" s="86"/>
      <c r="EN822" s="86"/>
    </row>
    <row r="823" spans="1:144" ht="1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8"/>
      <c r="O823" s="88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AS823" s="86"/>
      <c r="AT823" s="86"/>
      <c r="AU823" s="86"/>
      <c r="AV823" s="86"/>
      <c r="AW823" s="86"/>
      <c r="AX823" s="86"/>
      <c r="AY823" s="86"/>
      <c r="AZ823" s="86"/>
      <c r="BA823" s="86"/>
      <c r="BB823" s="86"/>
      <c r="BC823" s="86"/>
      <c r="BD823" s="86"/>
      <c r="BE823" s="86"/>
      <c r="BF823" s="86"/>
      <c r="BG823" s="86"/>
      <c r="BH823" s="86"/>
      <c r="BI823" s="86"/>
      <c r="BJ823" s="86"/>
      <c r="BK823" s="86"/>
      <c r="BL823" s="86"/>
      <c r="BM823" s="86"/>
      <c r="BN823" s="86"/>
      <c r="BO823" s="86"/>
      <c r="BP823" s="86"/>
      <c r="BQ823" s="86"/>
      <c r="BR823" s="86"/>
      <c r="BS823" s="86"/>
      <c r="BT823" s="86"/>
      <c r="BU823" s="86"/>
      <c r="BV823" s="86"/>
      <c r="BW823" s="86"/>
      <c r="BX823" s="86"/>
      <c r="BY823" s="86"/>
      <c r="BZ823" s="86"/>
      <c r="CA823" s="86"/>
      <c r="CB823" s="86"/>
      <c r="CC823" s="86"/>
      <c r="CD823" s="86"/>
      <c r="CE823" s="86"/>
      <c r="CF823" s="86"/>
      <c r="CG823" s="86"/>
      <c r="CH823" s="86"/>
      <c r="CI823" s="86"/>
      <c r="CJ823" s="86"/>
      <c r="CK823" s="86"/>
      <c r="CL823" s="86"/>
      <c r="CM823" s="86"/>
      <c r="CN823" s="86"/>
      <c r="CO823" s="86"/>
      <c r="CP823" s="86"/>
      <c r="CQ823" s="86"/>
      <c r="CR823" s="86"/>
      <c r="CS823" s="86"/>
      <c r="CT823" s="86"/>
      <c r="CU823" s="86"/>
      <c r="CV823" s="86"/>
      <c r="CW823" s="86"/>
      <c r="CX823" s="86"/>
      <c r="CY823" s="86"/>
      <c r="CZ823" s="86"/>
      <c r="DA823" s="86"/>
      <c r="DB823" s="86"/>
      <c r="DC823" s="86"/>
      <c r="DD823" s="86"/>
      <c r="DE823" s="86"/>
      <c r="DF823" s="86"/>
      <c r="DG823" s="86"/>
      <c r="DH823" s="86"/>
      <c r="DI823" s="86"/>
      <c r="DJ823" s="86"/>
      <c r="DK823" s="86"/>
      <c r="DL823" s="86"/>
      <c r="DM823" s="86"/>
      <c r="DN823" s="86"/>
      <c r="DO823" s="86"/>
      <c r="DP823" s="86"/>
      <c r="DQ823" s="86"/>
      <c r="DR823" s="118"/>
      <c r="DS823" s="118"/>
      <c r="DT823" s="86"/>
      <c r="DU823" s="86"/>
      <c r="DV823" s="86"/>
      <c r="DW823" s="86"/>
      <c r="DX823" s="86"/>
      <c r="DY823" s="86"/>
      <c r="DZ823" s="86"/>
      <c r="EA823" s="86"/>
      <c r="EB823" s="86"/>
      <c r="EC823" s="86"/>
      <c r="ED823" s="86"/>
      <c r="EE823" s="86"/>
      <c r="EF823" s="86"/>
      <c r="EG823" s="86"/>
      <c r="EH823" s="86"/>
      <c r="EI823" s="86"/>
      <c r="EJ823" s="86"/>
      <c r="EK823" s="86"/>
      <c r="EL823" s="86"/>
      <c r="EM823" s="86"/>
      <c r="EN823" s="86"/>
    </row>
    <row r="824" spans="1:144" ht="1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8"/>
      <c r="O824" s="88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AS824" s="86"/>
      <c r="AT824" s="86"/>
      <c r="AU824" s="86"/>
      <c r="AV824" s="86"/>
      <c r="AW824" s="86"/>
      <c r="AX824" s="86"/>
      <c r="AY824" s="86"/>
      <c r="AZ824" s="86"/>
      <c r="BA824" s="86"/>
      <c r="BB824" s="86"/>
      <c r="BC824" s="86"/>
      <c r="BD824" s="86"/>
      <c r="BE824" s="86"/>
      <c r="BF824" s="86"/>
      <c r="BG824" s="86"/>
      <c r="BH824" s="86"/>
      <c r="BI824" s="86"/>
      <c r="BJ824" s="86"/>
      <c r="BK824" s="86"/>
      <c r="BL824" s="86"/>
      <c r="BM824" s="86"/>
      <c r="BN824" s="86"/>
      <c r="BO824" s="86"/>
      <c r="BP824" s="86"/>
      <c r="BQ824" s="86"/>
      <c r="BR824" s="86"/>
      <c r="BS824" s="86"/>
      <c r="BT824" s="86"/>
      <c r="BU824" s="86"/>
      <c r="BV824" s="86"/>
      <c r="BW824" s="86"/>
      <c r="BX824" s="86"/>
      <c r="BY824" s="86"/>
      <c r="BZ824" s="86"/>
      <c r="CA824" s="86"/>
      <c r="CB824" s="86"/>
      <c r="CC824" s="86"/>
      <c r="CD824" s="86"/>
      <c r="CE824" s="86"/>
      <c r="CF824" s="86"/>
      <c r="CG824" s="86"/>
      <c r="CH824" s="86"/>
      <c r="CI824" s="86"/>
      <c r="CJ824" s="86"/>
      <c r="CK824" s="86"/>
      <c r="CL824" s="86"/>
      <c r="CM824" s="86"/>
      <c r="CN824" s="86"/>
      <c r="CO824" s="86"/>
      <c r="CP824" s="86"/>
      <c r="CQ824" s="86"/>
      <c r="CR824" s="86"/>
      <c r="CS824" s="86"/>
      <c r="CT824" s="86"/>
      <c r="CU824" s="86"/>
      <c r="CV824" s="86"/>
      <c r="CW824" s="86"/>
      <c r="CX824" s="86"/>
      <c r="CY824" s="86"/>
      <c r="CZ824" s="86"/>
      <c r="DA824" s="86"/>
      <c r="DB824" s="86"/>
      <c r="DC824" s="86"/>
      <c r="DD824" s="86"/>
      <c r="DE824" s="86"/>
      <c r="DF824" s="86"/>
      <c r="DG824" s="86"/>
      <c r="DH824" s="86"/>
      <c r="DI824" s="86"/>
      <c r="DJ824" s="86"/>
      <c r="DK824" s="86"/>
      <c r="DL824" s="86"/>
      <c r="DM824" s="86"/>
      <c r="DN824" s="86"/>
      <c r="DO824" s="86"/>
      <c r="DP824" s="86"/>
      <c r="DQ824" s="86"/>
      <c r="DR824" s="118"/>
      <c r="DS824" s="118"/>
      <c r="DT824" s="86"/>
      <c r="DU824" s="86"/>
      <c r="DV824" s="86"/>
      <c r="DW824" s="86"/>
      <c r="DX824" s="86"/>
      <c r="DY824" s="86"/>
      <c r="DZ824" s="86"/>
      <c r="EA824" s="86"/>
      <c r="EB824" s="86"/>
      <c r="EC824" s="86"/>
      <c r="ED824" s="86"/>
      <c r="EE824" s="86"/>
      <c r="EF824" s="86"/>
      <c r="EG824" s="86"/>
      <c r="EH824" s="86"/>
      <c r="EI824" s="86"/>
      <c r="EJ824" s="86"/>
      <c r="EK824" s="86"/>
      <c r="EL824" s="86"/>
      <c r="EM824" s="86"/>
      <c r="EN824" s="86"/>
    </row>
    <row r="825" spans="1:144" ht="1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8"/>
      <c r="O825" s="88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  <c r="AV825" s="86"/>
      <c r="AW825" s="86"/>
      <c r="AX825" s="86"/>
      <c r="AY825" s="86"/>
      <c r="AZ825" s="86"/>
      <c r="BA825" s="86"/>
      <c r="BB825" s="86"/>
      <c r="BC825" s="86"/>
      <c r="BD825" s="86"/>
      <c r="BE825" s="86"/>
      <c r="BF825" s="86"/>
      <c r="BG825" s="86"/>
      <c r="BH825" s="86"/>
      <c r="BI825" s="86"/>
      <c r="BJ825" s="86"/>
      <c r="BK825" s="86"/>
      <c r="BL825" s="86"/>
      <c r="BM825" s="86"/>
      <c r="BN825" s="86"/>
      <c r="BO825" s="86"/>
      <c r="BP825" s="86"/>
      <c r="BQ825" s="86"/>
      <c r="BR825" s="86"/>
      <c r="BS825" s="86"/>
      <c r="BT825" s="86"/>
      <c r="BU825" s="86"/>
      <c r="BV825" s="86"/>
      <c r="BW825" s="86"/>
      <c r="BX825" s="86"/>
      <c r="BY825" s="86"/>
      <c r="BZ825" s="86"/>
      <c r="CA825" s="86"/>
      <c r="CB825" s="86"/>
      <c r="CC825" s="86"/>
      <c r="CD825" s="86"/>
      <c r="CE825" s="86"/>
      <c r="CF825" s="86"/>
      <c r="CG825" s="86"/>
      <c r="CH825" s="86"/>
      <c r="CI825" s="86"/>
      <c r="CJ825" s="86"/>
      <c r="CK825" s="86"/>
      <c r="CL825" s="86"/>
      <c r="CM825" s="86"/>
      <c r="CN825" s="86"/>
      <c r="CO825" s="86"/>
      <c r="CP825" s="86"/>
      <c r="CQ825" s="86"/>
      <c r="CR825" s="86"/>
      <c r="CS825" s="86"/>
      <c r="CT825" s="86"/>
      <c r="CU825" s="86"/>
      <c r="CV825" s="86"/>
      <c r="CW825" s="86"/>
      <c r="CX825" s="86"/>
      <c r="CY825" s="86"/>
      <c r="CZ825" s="86"/>
      <c r="DA825" s="86"/>
      <c r="DB825" s="86"/>
      <c r="DC825" s="86"/>
      <c r="DD825" s="86"/>
      <c r="DE825" s="86"/>
      <c r="DF825" s="86"/>
      <c r="DG825" s="86"/>
      <c r="DH825" s="86"/>
      <c r="DI825" s="86"/>
      <c r="DJ825" s="86"/>
      <c r="DK825" s="86"/>
      <c r="DL825" s="86"/>
      <c r="DM825" s="86"/>
      <c r="DN825" s="86"/>
      <c r="DO825" s="86"/>
      <c r="DP825" s="86"/>
      <c r="DQ825" s="86"/>
      <c r="DR825" s="118"/>
      <c r="DS825" s="118"/>
      <c r="DT825" s="86"/>
      <c r="DU825" s="86"/>
      <c r="DV825" s="86"/>
      <c r="DW825" s="86"/>
      <c r="DX825" s="86"/>
      <c r="DY825" s="86"/>
      <c r="DZ825" s="86"/>
      <c r="EA825" s="86"/>
      <c r="EB825" s="86"/>
      <c r="EC825" s="86"/>
      <c r="ED825" s="86"/>
      <c r="EE825" s="86"/>
      <c r="EF825" s="86"/>
      <c r="EG825" s="86"/>
      <c r="EH825" s="86"/>
      <c r="EI825" s="86"/>
      <c r="EJ825" s="86"/>
      <c r="EK825" s="86"/>
      <c r="EL825" s="86"/>
      <c r="EM825" s="86"/>
      <c r="EN825" s="86"/>
    </row>
    <row r="826" spans="1:144" ht="1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8"/>
      <c r="O826" s="88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AS826" s="86"/>
      <c r="AT826" s="86"/>
      <c r="AU826" s="86"/>
      <c r="AV826" s="86"/>
      <c r="AW826" s="86"/>
      <c r="AX826" s="86"/>
      <c r="AY826" s="86"/>
      <c r="AZ826" s="86"/>
      <c r="BA826" s="86"/>
      <c r="BB826" s="86"/>
      <c r="BC826" s="86"/>
      <c r="BD826" s="86"/>
      <c r="BE826" s="86"/>
      <c r="BF826" s="86"/>
      <c r="BG826" s="86"/>
      <c r="BH826" s="86"/>
      <c r="BI826" s="86"/>
      <c r="BJ826" s="86"/>
      <c r="BK826" s="86"/>
      <c r="BL826" s="86"/>
      <c r="BM826" s="86"/>
      <c r="BN826" s="86"/>
      <c r="BO826" s="86"/>
      <c r="BP826" s="86"/>
      <c r="BQ826" s="86"/>
      <c r="BR826" s="86"/>
      <c r="BS826" s="86"/>
      <c r="BT826" s="86"/>
      <c r="BU826" s="86"/>
      <c r="BV826" s="86"/>
      <c r="BW826" s="86"/>
      <c r="BX826" s="86"/>
      <c r="BY826" s="86"/>
      <c r="BZ826" s="86"/>
      <c r="CA826" s="86"/>
      <c r="CB826" s="86"/>
      <c r="CC826" s="86"/>
      <c r="CD826" s="86"/>
      <c r="CE826" s="86"/>
      <c r="CF826" s="86"/>
      <c r="CG826" s="86"/>
      <c r="CH826" s="86"/>
      <c r="CI826" s="86"/>
      <c r="CJ826" s="86"/>
      <c r="CK826" s="86"/>
      <c r="CL826" s="86"/>
      <c r="CM826" s="86"/>
      <c r="CN826" s="86"/>
      <c r="CO826" s="86"/>
      <c r="CP826" s="86"/>
      <c r="CQ826" s="86"/>
      <c r="CR826" s="86"/>
      <c r="CS826" s="86"/>
      <c r="CT826" s="86"/>
      <c r="CU826" s="86"/>
      <c r="CV826" s="86"/>
      <c r="CW826" s="86"/>
      <c r="CX826" s="86"/>
      <c r="CY826" s="86"/>
      <c r="CZ826" s="86"/>
      <c r="DA826" s="86"/>
      <c r="DB826" s="86"/>
      <c r="DC826" s="86"/>
      <c r="DD826" s="86"/>
      <c r="DE826" s="86"/>
      <c r="DF826" s="86"/>
      <c r="DG826" s="86"/>
      <c r="DH826" s="86"/>
      <c r="DI826" s="86"/>
      <c r="DJ826" s="86"/>
      <c r="DK826" s="86"/>
      <c r="DL826" s="86"/>
      <c r="DM826" s="86"/>
      <c r="DN826" s="86"/>
      <c r="DO826" s="86"/>
      <c r="DP826" s="86"/>
      <c r="DQ826" s="86"/>
      <c r="DR826" s="118"/>
      <c r="DS826" s="118"/>
      <c r="DT826" s="86"/>
      <c r="DU826" s="86"/>
      <c r="DV826" s="86"/>
      <c r="DW826" s="86"/>
      <c r="DX826" s="86"/>
      <c r="DY826" s="86"/>
      <c r="DZ826" s="86"/>
      <c r="EA826" s="86"/>
      <c r="EB826" s="86"/>
      <c r="EC826" s="86"/>
      <c r="ED826" s="86"/>
      <c r="EE826" s="86"/>
      <c r="EF826" s="86"/>
      <c r="EG826" s="86"/>
      <c r="EH826" s="86"/>
      <c r="EI826" s="86"/>
      <c r="EJ826" s="86"/>
      <c r="EK826" s="86"/>
      <c r="EL826" s="86"/>
      <c r="EM826" s="86"/>
      <c r="EN826" s="86"/>
    </row>
    <row r="827" spans="1:144" ht="1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8"/>
      <c r="O827" s="88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AS827" s="86"/>
      <c r="AT827" s="86"/>
      <c r="AU827" s="86"/>
      <c r="AV827" s="86"/>
      <c r="AW827" s="86"/>
      <c r="AX827" s="86"/>
      <c r="AY827" s="86"/>
      <c r="AZ827" s="86"/>
      <c r="BA827" s="86"/>
      <c r="BB827" s="86"/>
      <c r="BC827" s="86"/>
      <c r="BD827" s="86"/>
      <c r="BE827" s="86"/>
      <c r="BF827" s="86"/>
      <c r="BG827" s="86"/>
      <c r="BH827" s="86"/>
      <c r="BI827" s="86"/>
      <c r="BJ827" s="86"/>
      <c r="BK827" s="86"/>
      <c r="BL827" s="86"/>
      <c r="BM827" s="86"/>
      <c r="BN827" s="86"/>
      <c r="BO827" s="86"/>
      <c r="BP827" s="86"/>
      <c r="BQ827" s="86"/>
      <c r="BR827" s="86"/>
      <c r="BS827" s="86"/>
      <c r="BT827" s="86"/>
      <c r="BU827" s="86"/>
      <c r="BV827" s="86"/>
      <c r="BW827" s="86"/>
      <c r="BX827" s="86"/>
      <c r="BY827" s="86"/>
      <c r="BZ827" s="86"/>
      <c r="CA827" s="86"/>
      <c r="CB827" s="86"/>
      <c r="CC827" s="86"/>
      <c r="CD827" s="86"/>
      <c r="CE827" s="86"/>
      <c r="CF827" s="86"/>
      <c r="CG827" s="86"/>
      <c r="CH827" s="86"/>
      <c r="CI827" s="86"/>
      <c r="CJ827" s="86"/>
      <c r="CK827" s="86"/>
      <c r="CL827" s="86"/>
      <c r="CM827" s="86"/>
      <c r="CN827" s="86"/>
      <c r="CO827" s="86"/>
      <c r="CP827" s="86"/>
      <c r="CQ827" s="86"/>
      <c r="CR827" s="86"/>
      <c r="CS827" s="86"/>
      <c r="CT827" s="86"/>
      <c r="CU827" s="86"/>
      <c r="CV827" s="86"/>
      <c r="CW827" s="86"/>
      <c r="CX827" s="86"/>
      <c r="CY827" s="86"/>
      <c r="CZ827" s="86"/>
      <c r="DA827" s="86"/>
      <c r="DB827" s="86"/>
      <c r="DC827" s="86"/>
      <c r="DD827" s="86"/>
      <c r="DE827" s="86"/>
      <c r="DF827" s="86"/>
      <c r="DG827" s="86"/>
      <c r="DH827" s="86"/>
      <c r="DI827" s="86"/>
      <c r="DJ827" s="86"/>
      <c r="DK827" s="86"/>
      <c r="DL827" s="86"/>
      <c r="DM827" s="86"/>
      <c r="DN827" s="86"/>
      <c r="DO827" s="86"/>
      <c r="DP827" s="86"/>
      <c r="DQ827" s="86"/>
      <c r="DR827" s="118"/>
      <c r="DS827" s="118"/>
      <c r="DT827" s="86"/>
      <c r="DU827" s="86"/>
      <c r="DV827" s="86"/>
      <c r="DW827" s="86"/>
      <c r="DX827" s="86"/>
      <c r="DY827" s="86"/>
      <c r="DZ827" s="86"/>
      <c r="EA827" s="86"/>
      <c r="EB827" s="86"/>
      <c r="EC827" s="86"/>
      <c r="ED827" s="86"/>
      <c r="EE827" s="86"/>
      <c r="EF827" s="86"/>
      <c r="EG827" s="86"/>
      <c r="EH827" s="86"/>
      <c r="EI827" s="86"/>
      <c r="EJ827" s="86"/>
      <c r="EK827" s="86"/>
      <c r="EL827" s="86"/>
      <c r="EM827" s="86"/>
      <c r="EN827" s="86"/>
    </row>
    <row r="828" spans="1:144" ht="1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8"/>
      <c r="O828" s="88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86"/>
      <c r="AT828" s="86"/>
      <c r="AU828" s="86"/>
      <c r="AV828" s="86"/>
      <c r="AW828" s="86"/>
      <c r="AX828" s="86"/>
      <c r="AY828" s="86"/>
      <c r="AZ828" s="86"/>
      <c r="BA828" s="86"/>
      <c r="BB828" s="86"/>
      <c r="BC828" s="86"/>
      <c r="BD828" s="86"/>
      <c r="BE828" s="86"/>
      <c r="BF828" s="86"/>
      <c r="BG828" s="86"/>
      <c r="BH828" s="86"/>
      <c r="BI828" s="86"/>
      <c r="BJ828" s="86"/>
      <c r="BK828" s="86"/>
      <c r="BL828" s="86"/>
      <c r="BM828" s="86"/>
      <c r="BN828" s="86"/>
      <c r="BO828" s="86"/>
      <c r="BP828" s="86"/>
      <c r="BQ828" s="86"/>
      <c r="BR828" s="86"/>
      <c r="BS828" s="86"/>
      <c r="BT828" s="86"/>
      <c r="BU828" s="86"/>
      <c r="BV828" s="86"/>
      <c r="BW828" s="86"/>
      <c r="BX828" s="86"/>
      <c r="BY828" s="86"/>
      <c r="BZ828" s="86"/>
      <c r="CA828" s="86"/>
      <c r="CB828" s="86"/>
      <c r="CC828" s="86"/>
      <c r="CD828" s="86"/>
      <c r="CE828" s="86"/>
      <c r="CF828" s="86"/>
      <c r="CG828" s="86"/>
      <c r="CH828" s="86"/>
      <c r="CI828" s="86"/>
      <c r="CJ828" s="86"/>
      <c r="CK828" s="86"/>
      <c r="CL828" s="86"/>
      <c r="CM828" s="86"/>
      <c r="CN828" s="86"/>
      <c r="CO828" s="86"/>
      <c r="CP828" s="86"/>
      <c r="CQ828" s="86"/>
      <c r="CR828" s="86"/>
      <c r="CS828" s="86"/>
      <c r="CT828" s="86"/>
      <c r="CU828" s="86"/>
      <c r="CV828" s="86"/>
      <c r="CW828" s="86"/>
      <c r="CX828" s="86"/>
      <c r="CY828" s="86"/>
      <c r="CZ828" s="86"/>
      <c r="DA828" s="86"/>
      <c r="DB828" s="86"/>
      <c r="DC828" s="86"/>
      <c r="DD828" s="86"/>
      <c r="DE828" s="86"/>
      <c r="DF828" s="86"/>
      <c r="DG828" s="86"/>
      <c r="DH828" s="86"/>
      <c r="DI828" s="86"/>
      <c r="DJ828" s="86"/>
      <c r="DK828" s="86"/>
      <c r="DL828" s="86"/>
      <c r="DM828" s="86"/>
      <c r="DN828" s="86"/>
      <c r="DO828" s="86"/>
      <c r="DP828" s="86"/>
      <c r="DQ828" s="86"/>
      <c r="DR828" s="118"/>
      <c r="DS828" s="118"/>
      <c r="DT828" s="86"/>
      <c r="DU828" s="86"/>
      <c r="DV828" s="86"/>
      <c r="DW828" s="86"/>
      <c r="DX828" s="86"/>
      <c r="DY828" s="86"/>
      <c r="DZ828" s="86"/>
      <c r="EA828" s="86"/>
      <c r="EB828" s="86"/>
      <c r="EC828" s="86"/>
      <c r="ED828" s="86"/>
      <c r="EE828" s="86"/>
      <c r="EF828" s="86"/>
      <c r="EG828" s="86"/>
      <c r="EH828" s="86"/>
      <c r="EI828" s="86"/>
      <c r="EJ828" s="86"/>
      <c r="EK828" s="86"/>
      <c r="EL828" s="86"/>
      <c r="EM828" s="86"/>
      <c r="EN828" s="86"/>
    </row>
    <row r="829" spans="1:144" ht="1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8"/>
      <c r="O829" s="88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86"/>
      <c r="AT829" s="86"/>
      <c r="AU829" s="86"/>
      <c r="AV829" s="86"/>
      <c r="AW829" s="86"/>
      <c r="AX829" s="86"/>
      <c r="AY829" s="86"/>
      <c r="AZ829" s="86"/>
      <c r="BA829" s="86"/>
      <c r="BB829" s="86"/>
      <c r="BC829" s="86"/>
      <c r="BD829" s="86"/>
      <c r="BE829" s="86"/>
      <c r="BF829" s="86"/>
      <c r="BG829" s="86"/>
      <c r="BH829" s="86"/>
      <c r="BI829" s="86"/>
      <c r="BJ829" s="86"/>
      <c r="BK829" s="86"/>
      <c r="BL829" s="86"/>
      <c r="BM829" s="86"/>
      <c r="BN829" s="86"/>
      <c r="BO829" s="86"/>
      <c r="BP829" s="86"/>
      <c r="BQ829" s="86"/>
      <c r="BR829" s="86"/>
      <c r="BS829" s="86"/>
      <c r="BT829" s="86"/>
      <c r="BU829" s="86"/>
      <c r="BV829" s="86"/>
      <c r="BW829" s="86"/>
      <c r="BX829" s="86"/>
      <c r="BY829" s="86"/>
      <c r="BZ829" s="86"/>
      <c r="CA829" s="86"/>
      <c r="CB829" s="86"/>
      <c r="CC829" s="86"/>
      <c r="CD829" s="86"/>
      <c r="CE829" s="86"/>
      <c r="CF829" s="86"/>
      <c r="CG829" s="86"/>
      <c r="CH829" s="86"/>
      <c r="CI829" s="86"/>
      <c r="CJ829" s="86"/>
      <c r="CK829" s="86"/>
      <c r="CL829" s="86"/>
      <c r="CM829" s="86"/>
      <c r="CN829" s="86"/>
      <c r="CO829" s="86"/>
      <c r="CP829" s="86"/>
      <c r="CQ829" s="86"/>
      <c r="CR829" s="86"/>
      <c r="CS829" s="86"/>
      <c r="CT829" s="86"/>
      <c r="CU829" s="86"/>
      <c r="CV829" s="86"/>
      <c r="CW829" s="86"/>
      <c r="CX829" s="86"/>
      <c r="CY829" s="86"/>
      <c r="CZ829" s="86"/>
      <c r="DA829" s="86"/>
      <c r="DB829" s="86"/>
      <c r="DC829" s="86"/>
      <c r="DD829" s="86"/>
      <c r="DE829" s="86"/>
      <c r="DF829" s="86"/>
      <c r="DG829" s="86"/>
      <c r="DH829" s="86"/>
      <c r="DI829" s="86"/>
      <c r="DJ829" s="86"/>
      <c r="DK829" s="86"/>
      <c r="DL829" s="86"/>
      <c r="DM829" s="86"/>
      <c r="DN829" s="86"/>
      <c r="DO829" s="86"/>
      <c r="DP829" s="86"/>
      <c r="DQ829" s="86"/>
      <c r="DR829" s="118"/>
      <c r="DS829" s="118"/>
      <c r="DT829" s="86"/>
      <c r="DU829" s="86"/>
      <c r="DV829" s="86"/>
      <c r="DW829" s="86"/>
      <c r="DX829" s="86"/>
      <c r="DY829" s="86"/>
      <c r="DZ829" s="86"/>
      <c r="EA829" s="86"/>
      <c r="EB829" s="86"/>
      <c r="EC829" s="86"/>
      <c r="ED829" s="86"/>
      <c r="EE829" s="86"/>
      <c r="EF829" s="86"/>
      <c r="EG829" s="86"/>
      <c r="EH829" s="86"/>
      <c r="EI829" s="86"/>
      <c r="EJ829" s="86"/>
      <c r="EK829" s="86"/>
      <c r="EL829" s="86"/>
      <c r="EM829" s="86"/>
      <c r="EN829" s="86"/>
    </row>
    <row r="830" spans="1:144" ht="1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8"/>
      <c r="O830" s="88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AS830" s="86"/>
      <c r="AT830" s="86"/>
      <c r="AU830" s="86"/>
      <c r="AV830" s="86"/>
      <c r="AW830" s="86"/>
      <c r="AX830" s="86"/>
      <c r="AY830" s="86"/>
      <c r="AZ830" s="86"/>
      <c r="BA830" s="86"/>
      <c r="BB830" s="86"/>
      <c r="BC830" s="86"/>
      <c r="BD830" s="86"/>
      <c r="BE830" s="86"/>
      <c r="BF830" s="86"/>
      <c r="BG830" s="86"/>
      <c r="BH830" s="86"/>
      <c r="BI830" s="86"/>
      <c r="BJ830" s="86"/>
      <c r="BK830" s="86"/>
      <c r="BL830" s="86"/>
      <c r="BM830" s="86"/>
      <c r="BN830" s="86"/>
      <c r="BO830" s="86"/>
      <c r="BP830" s="86"/>
      <c r="BQ830" s="86"/>
      <c r="BR830" s="86"/>
      <c r="BS830" s="86"/>
      <c r="BT830" s="86"/>
      <c r="BU830" s="86"/>
      <c r="BV830" s="86"/>
      <c r="BW830" s="86"/>
      <c r="BX830" s="86"/>
      <c r="BY830" s="86"/>
      <c r="BZ830" s="86"/>
      <c r="CA830" s="86"/>
      <c r="CB830" s="86"/>
      <c r="CC830" s="86"/>
      <c r="CD830" s="86"/>
      <c r="CE830" s="86"/>
      <c r="CF830" s="86"/>
      <c r="CG830" s="86"/>
      <c r="CH830" s="86"/>
      <c r="CI830" s="86"/>
      <c r="CJ830" s="86"/>
      <c r="CK830" s="86"/>
      <c r="CL830" s="86"/>
      <c r="CM830" s="86"/>
      <c r="CN830" s="86"/>
      <c r="CO830" s="86"/>
      <c r="CP830" s="86"/>
      <c r="CQ830" s="86"/>
      <c r="CR830" s="86"/>
      <c r="CS830" s="86"/>
      <c r="CT830" s="86"/>
      <c r="CU830" s="86"/>
      <c r="CV830" s="86"/>
      <c r="CW830" s="86"/>
      <c r="CX830" s="86"/>
      <c r="CY830" s="86"/>
      <c r="CZ830" s="86"/>
      <c r="DA830" s="86"/>
      <c r="DB830" s="86"/>
      <c r="DC830" s="86"/>
      <c r="DD830" s="86"/>
      <c r="DE830" s="86"/>
      <c r="DF830" s="86"/>
      <c r="DG830" s="86"/>
      <c r="DH830" s="86"/>
      <c r="DI830" s="86"/>
      <c r="DJ830" s="86"/>
      <c r="DK830" s="86"/>
      <c r="DL830" s="86"/>
      <c r="DM830" s="86"/>
      <c r="DN830" s="86"/>
      <c r="DO830" s="86"/>
      <c r="DP830" s="86"/>
      <c r="DQ830" s="86"/>
      <c r="DR830" s="118"/>
      <c r="DS830" s="118"/>
      <c r="DT830" s="86"/>
      <c r="DU830" s="86"/>
      <c r="DV830" s="86"/>
      <c r="DW830" s="86"/>
      <c r="DX830" s="86"/>
      <c r="DY830" s="86"/>
      <c r="DZ830" s="86"/>
      <c r="EA830" s="86"/>
      <c r="EB830" s="86"/>
      <c r="EC830" s="86"/>
      <c r="ED830" s="86"/>
      <c r="EE830" s="86"/>
      <c r="EF830" s="86"/>
      <c r="EG830" s="86"/>
      <c r="EH830" s="86"/>
      <c r="EI830" s="86"/>
      <c r="EJ830" s="86"/>
      <c r="EK830" s="86"/>
      <c r="EL830" s="86"/>
      <c r="EM830" s="86"/>
      <c r="EN830" s="86"/>
    </row>
    <row r="831" spans="1:144" ht="1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8"/>
      <c r="O831" s="88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AS831" s="86"/>
      <c r="AT831" s="86"/>
      <c r="AU831" s="86"/>
      <c r="AV831" s="86"/>
      <c r="AW831" s="86"/>
      <c r="AX831" s="86"/>
      <c r="AY831" s="86"/>
      <c r="AZ831" s="86"/>
      <c r="BA831" s="86"/>
      <c r="BB831" s="86"/>
      <c r="BC831" s="86"/>
      <c r="BD831" s="86"/>
      <c r="BE831" s="86"/>
      <c r="BF831" s="86"/>
      <c r="BG831" s="86"/>
      <c r="BH831" s="86"/>
      <c r="BI831" s="86"/>
      <c r="BJ831" s="86"/>
      <c r="BK831" s="86"/>
      <c r="BL831" s="86"/>
      <c r="BM831" s="86"/>
      <c r="BN831" s="86"/>
      <c r="BO831" s="86"/>
      <c r="BP831" s="86"/>
      <c r="BQ831" s="86"/>
      <c r="BR831" s="86"/>
      <c r="BS831" s="86"/>
      <c r="BT831" s="86"/>
      <c r="BU831" s="86"/>
      <c r="BV831" s="86"/>
      <c r="BW831" s="86"/>
      <c r="BX831" s="86"/>
      <c r="BY831" s="86"/>
      <c r="BZ831" s="86"/>
      <c r="CA831" s="86"/>
      <c r="CB831" s="86"/>
      <c r="CC831" s="86"/>
      <c r="CD831" s="86"/>
      <c r="CE831" s="86"/>
      <c r="CF831" s="86"/>
      <c r="CG831" s="86"/>
      <c r="CH831" s="86"/>
      <c r="CI831" s="86"/>
      <c r="CJ831" s="86"/>
      <c r="CK831" s="86"/>
      <c r="CL831" s="86"/>
      <c r="CM831" s="86"/>
      <c r="CN831" s="86"/>
      <c r="CO831" s="86"/>
      <c r="CP831" s="86"/>
      <c r="CQ831" s="86"/>
      <c r="CR831" s="86"/>
      <c r="CS831" s="86"/>
      <c r="CT831" s="86"/>
      <c r="CU831" s="86"/>
      <c r="CV831" s="86"/>
      <c r="CW831" s="86"/>
      <c r="CX831" s="86"/>
      <c r="CY831" s="86"/>
      <c r="CZ831" s="86"/>
      <c r="DA831" s="86"/>
      <c r="DB831" s="86"/>
      <c r="DC831" s="86"/>
      <c r="DD831" s="86"/>
      <c r="DE831" s="86"/>
      <c r="DF831" s="86"/>
      <c r="DG831" s="86"/>
      <c r="DH831" s="86"/>
      <c r="DI831" s="86"/>
      <c r="DJ831" s="86"/>
      <c r="DK831" s="86"/>
      <c r="DL831" s="86"/>
      <c r="DM831" s="86"/>
      <c r="DN831" s="86"/>
      <c r="DO831" s="86"/>
      <c r="DP831" s="86"/>
      <c r="DQ831" s="86"/>
      <c r="DR831" s="118"/>
      <c r="DS831" s="118"/>
      <c r="DT831" s="86"/>
      <c r="DU831" s="86"/>
      <c r="DV831" s="86"/>
      <c r="DW831" s="86"/>
      <c r="DX831" s="86"/>
      <c r="DY831" s="86"/>
      <c r="DZ831" s="86"/>
      <c r="EA831" s="86"/>
      <c r="EB831" s="86"/>
      <c r="EC831" s="86"/>
      <c r="ED831" s="86"/>
      <c r="EE831" s="86"/>
      <c r="EF831" s="86"/>
      <c r="EG831" s="86"/>
      <c r="EH831" s="86"/>
      <c r="EI831" s="86"/>
      <c r="EJ831" s="86"/>
      <c r="EK831" s="86"/>
      <c r="EL831" s="86"/>
      <c r="EM831" s="86"/>
      <c r="EN831" s="86"/>
    </row>
    <row r="832" spans="1:144" ht="1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8"/>
      <c r="O832" s="88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AS832" s="86"/>
      <c r="AT832" s="86"/>
      <c r="AU832" s="86"/>
      <c r="AV832" s="86"/>
      <c r="AW832" s="86"/>
      <c r="AX832" s="86"/>
      <c r="AY832" s="86"/>
      <c r="AZ832" s="86"/>
      <c r="BA832" s="86"/>
      <c r="BB832" s="86"/>
      <c r="BC832" s="86"/>
      <c r="BD832" s="86"/>
      <c r="BE832" s="86"/>
      <c r="BF832" s="86"/>
      <c r="BG832" s="86"/>
      <c r="BH832" s="86"/>
      <c r="BI832" s="86"/>
      <c r="BJ832" s="86"/>
      <c r="BK832" s="86"/>
      <c r="BL832" s="86"/>
      <c r="BM832" s="86"/>
      <c r="BN832" s="86"/>
      <c r="BO832" s="86"/>
      <c r="BP832" s="86"/>
      <c r="BQ832" s="86"/>
      <c r="BR832" s="86"/>
      <c r="BS832" s="86"/>
      <c r="BT832" s="86"/>
      <c r="BU832" s="86"/>
      <c r="BV832" s="86"/>
      <c r="BW832" s="86"/>
      <c r="BX832" s="86"/>
      <c r="BY832" s="86"/>
      <c r="BZ832" s="86"/>
      <c r="CA832" s="86"/>
      <c r="CB832" s="86"/>
      <c r="CC832" s="86"/>
      <c r="CD832" s="86"/>
      <c r="CE832" s="86"/>
      <c r="CF832" s="86"/>
      <c r="CG832" s="86"/>
      <c r="CH832" s="86"/>
      <c r="CI832" s="86"/>
      <c r="CJ832" s="86"/>
      <c r="CK832" s="86"/>
      <c r="CL832" s="86"/>
      <c r="CM832" s="86"/>
      <c r="CN832" s="86"/>
      <c r="CO832" s="86"/>
      <c r="CP832" s="86"/>
      <c r="CQ832" s="86"/>
      <c r="CR832" s="86"/>
      <c r="CS832" s="86"/>
      <c r="CT832" s="86"/>
      <c r="CU832" s="86"/>
      <c r="CV832" s="86"/>
      <c r="CW832" s="86"/>
      <c r="CX832" s="86"/>
      <c r="CY832" s="86"/>
      <c r="CZ832" s="86"/>
      <c r="DA832" s="86"/>
      <c r="DB832" s="86"/>
      <c r="DC832" s="86"/>
      <c r="DD832" s="86"/>
      <c r="DE832" s="86"/>
      <c r="DF832" s="86"/>
      <c r="DG832" s="86"/>
      <c r="DH832" s="86"/>
      <c r="DI832" s="86"/>
      <c r="DJ832" s="86"/>
      <c r="DK832" s="86"/>
      <c r="DL832" s="86"/>
      <c r="DM832" s="86"/>
      <c r="DN832" s="86"/>
      <c r="DO832" s="86"/>
      <c r="DP832" s="86"/>
      <c r="DQ832" s="86"/>
      <c r="DR832" s="118"/>
      <c r="DS832" s="118"/>
      <c r="DT832" s="86"/>
      <c r="DU832" s="86"/>
      <c r="DV832" s="86"/>
      <c r="DW832" s="86"/>
      <c r="DX832" s="86"/>
      <c r="DY832" s="86"/>
      <c r="DZ832" s="86"/>
      <c r="EA832" s="86"/>
      <c r="EB832" s="86"/>
      <c r="EC832" s="86"/>
      <c r="ED832" s="86"/>
      <c r="EE832" s="86"/>
      <c r="EF832" s="86"/>
      <c r="EG832" s="86"/>
      <c r="EH832" s="86"/>
      <c r="EI832" s="86"/>
      <c r="EJ832" s="86"/>
      <c r="EK832" s="86"/>
      <c r="EL832" s="86"/>
      <c r="EM832" s="86"/>
      <c r="EN832" s="86"/>
    </row>
    <row r="833" spans="1:144" ht="1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8"/>
      <c r="O833" s="88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AS833" s="86"/>
      <c r="AT833" s="86"/>
      <c r="AU833" s="86"/>
      <c r="AV833" s="86"/>
      <c r="AW833" s="86"/>
      <c r="AX833" s="86"/>
      <c r="AY833" s="86"/>
      <c r="AZ833" s="86"/>
      <c r="BA833" s="86"/>
      <c r="BB833" s="86"/>
      <c r="BC833" s="86"/>
      <c r="BD833" s="86"/>
      <c r="BE833" s="86"/>
      <c r="BF833" s="86"/>
      <c r="BG833" s="86"/>
      <c r="BH833" s="86"/>
      <c r="BI833" s="86"/>
      <c r="BJ833" s="86"/>
      <c r="BK833" s="86"/>
      <c r="BL833" s="86"/>
      <c r="BM833" s="86"/>
      <c r="BN833" s="86"/>
      <c r="BO833" s="86"/>
      <c r="BP833" s="86"/>
      <c r="BQ833" s="86"/>
      <c r="BR833" s="86"/>
      <c r="BS833" s="86"/>
      <c r="BT833" s="86"/>
      <c r="BU833" s="86"/>
      <c r="BV833" s="86"/>
      <c r="BW833" s="86"/>
      <c r="BX833" s="86"/>
      <c r="BY833" s="86"/>
      <c r="BZ833" s="86"/>
      <c r="CA833" s="86"/>
      <c r="CB833" s="86"/>
      <c r="CC833" s="86"/>
      <c r="CD833" s="86"/>
      <c r="CE833" s="86"/>
      <c r="CF833" s="86"/>
      <c r="CG833" s="86"/>
      <c r="CH833" s="86"/>
      <c r="CI833" s="86"/>
      <c r="CJ833" s="86"/>
      <c r="CK833" s="86"/>
      <c r="CL833" s="86"/>
      <c r="CM833" s="86"/>
      <c r="CN833" s="86"/>
      <c r="CO833" s="86"/>
      <c r="CP833" s="86"/>
      <c r="CQ833" s="86"/>
      <c r="CR833" s="86"/>
      <c r="CS833" s="86"/>
      <c r="CT833" s="86"/>
      <c r="CU833" s="86"/>
      <c r="CV833" s="86"/>
      <c r="CW833" s="86"/>
      <c r="CX833" s="86"/>
      <c r="CY833" s="86"/>
      <c r="CZ833" s="86"/>
      <c r="DA833" s="86"/>
      <c r="DB833" s="86"/>
      <c r="DC833" s="86"/>
      <c r="DD833" s="86"/>
      <c r="DE833" s="86"/>
      <c r="DF833" s="86"/>
      <c r="DG833" s="86"/>
      <c r="DH833" s="86"/>
      <c r="DI833" s="86"/>
      <c r="DJ833" s="86"/>
      <c r="DK833" s="86"/>
      <c r="DL833" s="86"/>
      <c r="DM833" s="86"/>
      <c r="DN833" s="86"/>
      <c r="DO833" s="86"/>
      <c r="DP833" s="86"/>
      <c r="DQ833" s="86"/>
      <c r="DR833" s="118"/>
      <c r="DS833" s="118"/>
      <c r="DT833" s="86"/>
      <c r="DU833" s="86"/>
      <c r="DV833" s="86"/>
      <c r="DW833" s="86"/>
      <c r="DX833" s="86"/>
      <c r="DY833" s="86"/>
      <c r="DZ833" s="86"/>
      <c r="EA833" s="86"/>
      <c r="EB833" s="86"/>
      <c r="EC833" s="86"/>
      <c r="ED833" s="86"/>
      <c r="EE833" s="86"/>
      <c r="EF833" s="86"/>
      <c r="EG833" s="86"/>
      <c r="EH833" s="86"/>
      <c r="EI833" s="86"/>
      <c r="EJ833" s="86"/>
      <c r="EK833" s="86"/>
      <c r="EL833" s="86"/>
      <c r="EM833" s="86"/>
      <c r="EN833" s="86"/>
    </row>
    <row r="834" spans="1:144" ht="1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8"/>
      <c r="O834" s="88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AS834" s="86"/>
      <c r="AT834" s="86"/>
      <c r="AU834" s="86"/>
      <c r="AV834" s="86"/>
      <c r="AW834" s="86"/>
      <c r="AX834" s="86"/>
      <c r="AY834" s="86"/>
      <c r="AZ834" s="86"/>
      <c r="BA834" s="86"/>
      <c r="BB834" s="86"/>
      <c r="BC834" s="86"/>
      <c r="BD834" s="86"/>
      <c r="BE834" s="86"/>
      <c r="BF834" s="86"/>
      <c r="BG834" s="86"/>
      <c r="BH834" s="86"/>
      <c r="BI834" s="86"/>
      <c r="BJ834" s="86"/>
      <c r="BK834" s="86"/>
      <c r="BL834" s="86"/>
      <c r="BM834" s="86"/>
      <c r="BN834" s="86"/>
      <c r="BO834" s="86"/>
      <c r="BP834" s="86"/>
      <c r="BQ834" s="86"/>
      <c r="BR834" s="86"/>
      <c r="BS834" s="86"/>
      <c r="BT834" s="86"/>
      <c r="BU834" s="86"/>
      <c r="BV834" s="86"/>
      <c r="BW834" s="86"/>
      <c r="BX834" s="86"/>
      <c r="BY834" s="86"/>
      <c r="BZ834" s="86"/>
      <c r="CA834" s="86"/>
      <c r="CB834" s="86"/>
      <c r="CC834" s="86"/>
      <c r="CD834" s="86"/>
      <c r="CE834" s="86"/>
      <c r="CF834" s="86"/>
      <c r="CG834" s="86"/>
      <c r="CH834" s="86"/>
      <c r="CI834" s="86"/>
      <c r="CJ834" s="86"/>
      <c r="CK834" s="86"/>
      <c r="CL834" s="86"/>
      <c r="CM834" s="86"/>
      <c r="CN834" s="86"/>
      <c r="CO834" s="86"/>
      <c r="CP834" s="86"/>
      <c r="CQ834" s="86"/>
      <c r="CR834" s="86"/>
      <c r="CS834" s="86"/>
      <c r="CT834" s="86"/>
      <c r="CU834" s="86"/>
      <c r="CV834" s="86"/>
      <c r="CW834" s="86"/>
      <c r="CX834" s="86"/>
      <c r="CY834" s="86"/>
      <c r="CZ834" s="86"/>
      <c r="DA834" s="86"/>
      <c r="DB834" s="86"/>
      <c r="DC834" s="86"/>
      <c r="DD834" s="86"/>
      <c r="DE834" s="86"/>
      <c r="DF834" s="86"/>
      <c r="DG834" s="86"/>
      <c r="DH834" s="86"/>
      <c r="DI834" s="86"/>
      <c r="DJ834" s="86"/>
      <c r="DK834" s="86"/>
      <c r="DL834" s="86"/>
      <c r="DM834" s="86"/>
      <c r="DN834" s="86"/>
      <c r="DO834" s="86"/>
      <c r="DP834" s="86"/>
      <c r="DQ834" s="86"/>
      <c r="DR834" s="118"/>
      <c r="DS834" s="118"/>
      <c r="DT834" s="86"/>
      <c r="DU834" s="86"/>
      <c r="DV834" s="86"/>
      <c r="DW834" s="86"/>
      <c r="DX834" s="86"/>
      <c r="DY834" s="86"/>
      <c r="DZ834" s="86"/>
      <c r="EA834" s="86"/>
      <c r="EB834" s="86"/>
      <c r="EC834" s="86"/>
      <c r="ED834" s="86"/>
      <c r="EE834" s="86"/>
      <c r="EF834" s="86"/>
      <c r="EG834" s="86"/>
      <c r="EH834" s="86"/>
      <c r="EI834" s="86"/>
      <c r="EJ834" s="86"/>
      <c r="EK834" s="86"/>
      <c r="EL834" s="86"/>
      <c r="EM834" s="86"/>
      <c r="EN834" s="86"/>
    </row>
    <row r="835" spans="1:144" ht="1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8"/>
      <c r="O835" s="88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86"/>
      <c r="AT835" s="86"/>
      <c r="AU835" s="86"/>
      <c r="AV835" s="86"/>
      <c r="AW835" s="86"/>
      <c r="AX835" s="86"/>
      <c r="AY835" s="86"/>
      <c r="AZ835" s="86"/>
      <c r="BA835" s="86"/>
      <c r="BB835" s="86"/>
      <c r="BC835" s="86"/>
      <c r="BD835" s="86"/>
      <c r="BE835" s="86"/>
      <c r="BF835" s="86"/>
      <c r="BG835" s="86"/>
      <c r="BH835" s="86"/>
      <c r="BI835" s="86"/>
      <c r="BJ835" s="86"/>
      <c r="BK835" s="86"/>
      <c r="BL835" s="86"/>
      <c r="BM835" s="86"/>
      <c r="BN835" s="86"/>
      <c r="BO835" s="86"/>
      <c r="BP835" s="86"/>
      <c r="BQ835" s="86"/>
      <c r="BR835" s="86"/>
      <c r="BS835" s="86"/>
      <c r="BT835" s="86"/>
      <c r="BU835" s="86"/>
      <c r="BV835" s="86"/>
      <c r="BW835" s="86"/>
      <c r="BX835" s="86"/>
      <c r="BY835" s="86"/>
      <c r="BZ835" s="86"/>
      <c r="CA835" s="86"/>
      <c r="CB835" s="86"/>
      <c r="CC835" s="86"/>
      <c r="CD835" s="86"/>
      <c r="CE835" s="86"/>
      <c r="CF835" s="86"/>
      <c r="CG835" s="86"/>
      <c r="CH835" s="86"/>
      <c r="CI835" s="86"/>
      <c r="CJ835" s="86"/>
      <c r="CK835" s="86"/>
      <c r="CL835" s="86"/>
      <c r="CM835" s="86"/>
      <c r="CN835" s="86"/>
      <c r="CO835" s="86"/>
      <c r="CP835" s="86"/>
      <c r="CQ835" s="86"/>
      <c r="CR835" s="86"/>
      <c r="CS835" s="86"/>
      <c r="CT835" s="86"/>
      <c r="CU835" s="86"/>
      <c r="CV835" s="86"/>
      <c r="CW835" s="86"/>
      <c r="CX835" s="86"/>
      <c r="CY835" s="86"/>
      <c r="CZ835" s="86"/>
      <c r="DA835" s="86"/>
      <c r="DB835" s="86"/>
      <c r="DC835" s="86"/>
      <c r="DD835" s="86"/>
      <c r="DE835" s="86"/>
      <c r="DF835" s="86"/>
      <c r="DG835" s="86"/>
      <c r="DH835" s="86"/>
      <c r="DI835" s="86"/>
      <c r="DJ835" s="86"/>
      <c r="DK835" s="86"/>
      <c r="DL835" s="86"/>
      <c r="DM835" s="86"/>
      <c r="DN835" s="86"/>
      <c r="DO835" s="86"/>
      <c r="DP835" s="86"/>
      <c r="DQ835" s="86"/>
      <c r="DR835" s="118"/>
      <c r="DS835" s="118"/>
      <c r="DT835" s="86"/>
      <c r="DU835" s="86"/>
      <c r="DV835" s="86"/>
      <c r="DW835" s="86"/>
      <c r="DX835" s="86"/>
      <c r="DY835" s="86"/>
      <c r="DZ835" s="86"/>
      <c r="EA835" s="86"/>
      <c r="EB835" s="86"/>
      <c r="EC835" s="86"/>
      <c r="ED835" s="86"/>
      <c r="EE835" s="86"/>
      <c r="EF835" s="86"/>
      <c r="EG835" s="86"/>
      <c r="EH835" s="86"/>
      <c r="EI835" s="86"/>
      <c r="EJ835" s="86"/>
      <c r="EK835" s="86"/>
      <c r="EL835" s="86"/>
      <c r="EM835" s="86"/>
      <c r="EN835" s="86"/>
    </row>
    <row r="836" spans="1:144" ht="1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8"/>
      <c r="O836" s="88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86"/>
      <c r="AT836" s="86"/>
      <c r="AU836" s="86"/>
      <c r="AV836" s="86"/>
      <c r="AW836" s="86"/>
      <c r="AX836" s="86"/>
      <c r="AY836" s="86"/>
      <c r="AZ836" s="86"/>
      <c r="BA836" s="86"/>
      <c r="BB836" s="86"/>
      <c r="BC836" s="86"/>
      <c r="BD836" s="86"/>
      <c r="BE836" s="86"/>
      <c r="BF836" s="86"/>
      <c r="BG836" s="86"/>
      <c r="BH836" s="86"/>
      <c r="BI836" s="86"/>
      <c r="BJ836" s="86"/>
      <c r="BK836" s="86"/>
      <c r="BL836" s="86"/>
      <c r="BM836" s="86"/>
      <c r="BN836" s="86"/>
      <c r="BO836" s="86"/>
      <c r="BP836" s="86"/>
      <c r="BQ836" s="86"/>
      <c r="BR836" s="86"/>
      <c r="BS836" s="86"/>
      <c r="BT836" s="86"/>
      <c r="BU836" s="86"/>
      <c r="BV836" s="86"/>
      <c r="BW836" s="86"/>
      <c r="BX836" s="86"/>
      <c r="BY836" s="86"/>
      <c r="BZ836" s="86"/>
      <c r="CA836" s="86"/>
      <c r="CB836" s="86"/>
      <c r="CC836" s="86"/>
      <c r="CD836" s="86"/>
      <c r="CE836" s="86"/>
      <c r="CF836" s="86"/>
      <c r="CG836" s="86"/>
      <c r="CH836" s="86"/>
      <c r="CI836" s="86"/>
      <c r="CJ836" s="86"/>
      <c r="CK836" s="86"/>
      <c r="CL836" s="86"/>
      <c r="CM836" s="86"/>
      <c r="CN836" s="86"/>
      <c r="CO836" s="86"/>
      <c r="CP836" s="86"/>
      <c r="CQ836" s="86"/>
      <c r="CR836" s="86"/>
      <c r="CS836" s="86"/>
      <c r="CT836" s="86"/>
      <c r="CU836" s="86"/>
      <c r="CV836" s="86"/>
      <c r="CW836" s="86"/>
      <c r="CX836" s="86"/>
      <c r="CY836" s="86"/>
      <c r="CZ836" s="86"/>
      <c r="DA836" s="86"/>
      <c r="DB836" s="86"/>
      <c r="DC836" s="86"/>
      <c r="DD836" s="86"/>
      <c r="DE836" s="86"/>
      <c r="DF836" s="86"/>
      <c r="DG836" s="86"/>
      <c r="DH836" s="86"/>
      <c r="DI836" s="86"/>
      <c r="DJ836" s="86"/>
      <c r="DK836" s="86"/>
      <c r="DL836" s="86"/>
      <c r="DM836" s="86"/>
      <c r="DN836" s="86"/>
      <c r="DO836" s="86"/>
      <c r="DP836" s="86"/>
      <c r="DQ836" s="86"/>
      <c r="DR836" s="118"/>
      <c r="DS836" s="118"/>
      <c r="DT836" s="86"/>
      <c r="DU836" s="86"/>
      <c r="DV836" s="86"/>
      <c r="DW836" s="86"/>
      <c r="DX836" s="86"/>
      <c r="DY836" s="86"/>
      <c r="DZ836" s="86"/>
      <c r="EA836" s="86"/>
      <c r="EB836" s="86"/>
      <c r="EC836" s="86"/>
      <c r="ED836" s="86"/>
      <c r="EE836" s="86"/>
      <c r="EF836" s="86"/>
      <c r="EG836" s="86"/>
      <c r="EH836" s="86"/>
      <c r="EI836" s="86"/>
      <c r="EJ836" s="86"/>
      <c r="EK836" s="86"/>
      <c r="EL836" s="86"/>
      <c r="EM836" s="86"/>
      <c r="EN836" s="86"/>
    </row>
    <row r="837" spans="1:144" ht="1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8"/>
      <c r="O837" s="88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86"/>
      <c r="AT837" s="86"/>
      <c r="AU837" s="86"/>
      <c r="AV837" s="86"/>
      <c r="AW837" s="86"/>
      <c r="AX837" s="86"/>
      <c r="AY837" s="86"/>
      <c r="AZ837" s="86"/>
      <c r="BA837" s="86"/>
      <c r="BB837" s="86"/>
      <c r="BC837" s="86"/>
      <c r="BD837" s="86"/>
      <c r="BE837" s="86"/>
      <c r="BF837" s="86"/>
      <c r="BG837" s="86"/>
      <c r="BH837" s="86"/>
      <c r="BI837" s="86"/>
      <c r="BJ837" s="86"/>
      <c r="BK837" s="86"/>
      <c r="BL837" s="86"/>
      <c r="BM837" s="86"/>
      <c r="BN837" s="86"/>
      <c r="BO837" s="86"/>
      <c r="BP837" s="86"/>
      <c r="BQ837" s="86"/>
      <c r="BR837" s="86"/>
      <c r="BS837" s="86"/>
      <c r="BT837" s="86"/>
      <c r="BU837" s="86"/>
      <c r="BV837" s="86"/>
      <c r="BW837" s="86"/>
      <c r="BX837" s="86"/>
      <c r="BY837" s="86"/>
      <c r="BZ837" s="86"/>
      <c r="CA837" s="86"/>
      <c r="CB837" s="86"/>
      <c r="CC837" s="86"/>
      <c r="CD837" s="86"/>
      <c r="CE837" s="86"/>
      <c r="CF837" s="86"/>
      <c r="CG837" s="86"/>
      <c r="CH837" s="86"/>
      <c r="CI837" s="86"/>
      <c r="CJ837" s="86"/>
      <c r="CK837" s="86"/>
      <c r="CL837" s="86"/>
      <c r="CM837" s="86"/>
      <c r="CN837" s="86"/>
      <c r="CO837" s="86"/>
      <c r="CP837" s="86"/>
      <c r="CQ837" s="86"/>
      <c r="CR837" s="86"/>
      <c r="CS837" s="86"/>
      <c r="CT837" s="86"/>
      <c r="CU837" s="86"/>
      <c r="CV837" s="86"/>
      <c r="CW837" s="86"/>
      <c r="CX837" s="86"/>
      <c r="CY837" s="86"/>
      <c r="CZ837" s="86"/>
      <c r="DA837" s="86"/>
      <c r="DB837" s="86"/>
      <c r="DC837" s="86"/>
      <c r="DD837" s="86"/>
      <c r="DE837" s="86"/>
      <c r="DF837" s="86"/>
      <c r="DG837" s="86"/>
      <c r="DH837" s="86"/>
      <c r="DI837" s="86"/>
      <c r="DJ837" s="86"/>
      <c r="DK837" s="86"/>
      <c r="DL837" s="86"/>
      <c r="DM837" s="86"/>
      <c r="DN837" s="86"/>
      <c r="DO837" s="86"/>
      <c r="DP837" s="86"/>
      <c r="DQ837" s="86"/>
      <c r="DR837" s="118"/>
      <c r="DS837" s="118"/>
      <c r="DT837" s="86"/>
      <c r="DU837" s="86"/>
      <c r="DV837" s="86"/>
      <c r="DW837" s="86"/>
      <c r="DX837" s="86"/>
      <c r="DY837" s="86"/>
      <c r="DZ837" s="86"/>
      <c r="EA837" s="86"/>
      <c r="EB837" s="86"/>
      <c r="EC837" s="86"/>
      <c r="ED837" s="86"/>
      <c r="EE837" s="86"/>
      <c r="EF837" s="86"/>
      <c r="EG837" s="86"/>
      <c r="EH837" s="86"/>
      <c r="EI837" s="86"/>
      <c r="EJ837" s="86"/>
      <c r="EK837" s="86"/>
      <c r="EL837" s="86"/>
      <c r="EM837" s="86"/>
      <c r="EN837" s="86"/>
    </row>
    <row r="838" spans="1:144" ht="1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8"/>
      <c r="O838" s="88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86"/>
      <c r="AT838" s="86"/>
      <c r="AU838" s="86"/>
      <c r="AV838" s="86"/>
      <c r="AW838" s="86"/>
      <c r="AX838" s="86"/>
      <c r="AY838" s="86"/>
      <c r="AZ838" s="86"/>
      <c r="BA838" s="86"/>
      <c r="BB838" s="86"/>
      <c r="BC838" s="86"/>
      <c r="BD838" s="86"/>
      <c r="BE838" s="86"/>
      <c r="BF838" s="86"/>
      <c r="BG838" s="86"/>
      <c r="BH838" s="86"/>
      <c r="BI838" s="86"/>
      <c r="BJ838" s="86"/>
      <c r="BK838" s="86"/>
      <c r="BL838" s="86"/>
      <c r="BM838" s="86"/>
      <c r="BN838" s="86"/>
      <c r="BO838" s="86"/>
      <c r="BP838" s="86"/>
      <c r="BQ838" s="86"/>
      <c r="BR838" s="86"/>
      <c r="BS838" s="86"/>
      <c r="BT838" s="86"/>
      <c r="BU838" s="86"/>
      <c r="BV838" s="86"/>
      <c r="BW838" s="86"/>
      <c r="BX838" s="86"/>
      <c r="BY838" s="86"/>
      <c r="BZ838" s="86"/>
      <c r="CA838" s="86"/>
      <c r="CB838" s="86"/>
      <c r="CC838" s="86"/>
      <c r="CD838" s="86"/>
      <c r="CE838" s="86"/>
      <c r="CF838" s="86"/>
      <c r="CG838" s="86"/>
      <c r="CH838" s="86"/>
      <c r="CI838" s="86"/>
      <c r="CJ838" s="86"/>
      <c r="CK838" s="86"/>
      <c r="CL838" s="86"/>
      <c r="CM838" s="86"/>
      <c r="CN838" s="86"/>
      <c r="CO838" s="86"/>
      <c r="CP838" s="86"/>
      <c r="CQ838" s="86"/>
      <c r="CR838" s="86"/>
      <c r="CS838" s="86"/>
      <c r="CT838" s="86"/>
      <c r="CU838" s="86"/>
      <c r="CV838" s="86"/>
      <c r="CW838" s="86"/>
      <c r="CX838" s="86"/>
      <c r="CY838" s="86"/>
      <c r="CZ838" s="86"/>
      <c r="DA838" s="86"/>
      <c r="DB838" s="86"/>
      <c r="DC838" s="86"/>
      <c r="DD838" s="86"/>
      <c r="DE838" s="86"/>
      <c r="DF838" s="86"/>
      <c r="DG838" s="86"/>
      <c r="DH838" s="86"/>
      <c r="DI838" s="86"/>
      <c r="DJ838" s="86"/>
      <c r="DK838" s="86"/>
      <c r="DL838" s="86"/>
      <c r="DM838" s="86"/>
      <c r="DN838" s="86"/>
      <c r="DO838" s="86"/>
      <c r="DP838" s="86"/>
      <c r="DQ838" s="86"/>
      <c r="DR838" s="118"/>
      <c r="DS838" s="118"/>
      <c r="DT838" s="86"/>
      <c r="DU838" s="86"/>
      <c r="DV838" s="86"/>
      <c r="DW838" s="86"/>
      <c r="DX838" s="86"/>
      <c r="DY838" s="86"/>
      <c r="DZ838" s="86"/>
      <c r="EA838" s="86"/>
      <c r="EB838" s="86"/>
      <c r="EC838" s="86"/>
      <c r="ED838" s="86"/>
      <c r="EE838" s="86"/>
      <c r="EF838" s="86"/>
      <c r="EG838" s="86"/>
      <c r="EH838" s="86"/>
      <c r="EI838" s="86"/>
      <c r="EJ838" s="86"/>
      <c r="EK838" s="86"/>
      <c r="EL838" s="86"/>
      <c r="EM838" s="86"/>
      <c r="EN838" s="86"/>
    </row>
    <row r="839" spans="1:144" ht="1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8"/>
      <c r="O839" s="88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 s="86"/>
      <c r="BH839" s="86"/>
      <c r="BI839" s="86"/>
      <c r="BJ839" s="86"/>
      <c r="BK839" s="86"/>
      <c r="BL839" s="86"/>
      <c r="BM839" s="86"/>
      <c r="BN839" s="86"/>
      <c r="BO839" s="86"/>
      <c r="BP839" s="86"/>
      <c r="BQ839" s="86"/>
      <c r="BR839" s="86"/>
      <c r="BS839" s="86"/>
      <c r="BT839" s="86"/>
      <c r="BU839" s="86"/>
      <c r="BV839" s="86"/>
      <c r="BW839" s="86"/>
      <c r="BX839" s="86"/>
      <c r="BY839" s="86"/>
      <c r="BZ839" s="86"/>
      <c r="CA839" s="86"/>
      <c r="CB839" s="86"/>
      <c r="CC839" s="86"/>
      <c r="CD839" s="86"/>
      <c r="CE839" s="86"/>
      <c r="CF839" s="86"/>
      <c r="CG839" s="86"/>
      <c r="CH839" s="86"/>
      <c r="CI839" s="86"/>
      <c r="CJ839" s="86"/>
      <c r="CK839" s="86"/>
      <c r="CL839" s="86"/>
      <c r="CM839" s="86"/>
      <c r="CN839" s="86"/>
      <c r="CO839" s="86"/>
      <c r="CP839" s="86"/>
      <c r="CQ839" s="86"/>
      <c r="CR839" s="86"/>
      <c r="CS839" s="86"/>
      <c r="CT839" s="86"/>
      <c r="CU839" s="86"/>
      <c r="CV839" s="86"/>
      <c r="CW839" s="86"/>
      <c r="CX839" s="86"/>
      <c r="CY839" s="86"/>
      <c r="CZ839" s="86"/>
      <c r="DA839" s="86"/>
      <c r="DB839" s="86"/>
      <c r="DC839" s="86"/>
      <c r="DD839" s="86"/>
      <c r="DE839" s="86"/>
      <c r="DF839" s="86"/>
      <c r="DG839" s="86"/>
      <c r="DH839" s="86"/>
      <c r="DI839" s="86"/>
      <c r="DJ839" s="86"/>
      <c r="DK839" s="86"/>
      <c r="DL839" s="86"/>
      <c r="DM839" s="86"/>
      <c r="DN839" s="86"/>
      <c r="DO839" s="86"/>
      <c r="DP839" s="86"/>
      <c r="DQ839" s="86"/>
      <c r="DR839" s="118"/>
      <c r="DS839" s="118"/>
      <c r="DT839" s="86"/>
      <c r="DU839" s="86"/>
      <c r="DV839" s="86"/>
      <c r="DW839" s="86"/>
      <c r="DX839" s="86"/>
      <c r="DY839" s="86"/>
      <c r="DZ839" s="86"/>
      <c r="EA839" s="86"/>
      <c r="EB839" s="86"/>
      <c r="EC839" s="86"/>
      <c r="ED839" s="86"/>
      <c r="EE839" s="86"/>
      <c r="EF839" s="86"/>
      <c r="EG839" s="86"/>
      <c r="EH839" s="86"/>
      <c r="EI839" s="86"/>
      <c r="EJ839" s="86"/>
      <c r="EK839" s="86"/>
      <c r="EL839" s="86"/>
      <c r="EM839" s="86"/>
      <c r="EN839" s="86"/>
    </row>
    <row r="840" spans="1:144" ht="1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8"/>
      <c r="O840" s="88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AS840" s="86"/>
      <c r="AT840" s="86"/>
      <c r="AU840" s="86"/>
      <c r="AV840" s="86"/>
      <c r="AW840" s="86"/>
      <c r="AX840" s="86"/>
      <c r="AY840" s="86"/>
      <c r="AZ840" s="86"/>
      <c r="BA840" s="86"/>
      <c r="BB840" s="86"/>
      <c r="BC840" s="86"/>
      <c r="BD840" s="86"/>
      <c r="BE840" s="86"/>
      <c r="BF840" s="86"/>
      <c r="BG840" s="86"/>
      <c r="BH840" s="86"/>
      <c r="BI840" s="86"/>
      <c r="BJ840" s="86"/>
      <c r="BK840" s="86"/>
      <c r="BL840" s="86"/>
      <c r="BM840" s="86"/>
      <c r="BN840" s="86"/>
      <c r="BO840" s="86"/>
      <c r="BP840" s="86"/>
      <c r="BQ840" s="86"/>
      <c r="BR840" s="86"/>
      <c r="BS840" s="86"/>
      <c r="BT840" s="86"/>
      <c r="BU840" s="86"/>
      <c r="BV840" s="86"/>
      <c r="BW840" s="86"/>
      <c r="BX840" s="86"/>
      <c r="BY840" s="86"/>
      <c r="BZ840" s="86"/>
      <c r="CA840" s="86"/>
      <c r="CB840" s="86"/>
      <c r="CC840" s="86"/>
      <c r="CD840" s="86"/>
      <c r="CE840" s="86"/>
      <c r="CF840" s="86"/>
      <c r="CG840" s="86"/>
      <c r="CH840" s="86"/>
      <c r="CI840" s="86"/>
      <c r="CJ840" s="86"/>
      <c r="CK840" s="86"/>
      <c r="CL840" s="86"/>
      <c r="CM840" s="86"/>
      <c r="CN840" s="86"/>
      <c r="CO840" s="86"/>
      <c r="CP840" s="86"/>
      <c r="CQ840" s="86"/>
      <c r="CR840" s="86"/>
      <c r="CS840" s="86"/>
      <c r="CT840" s="86"/>
      <c r="CU840" s="86"/>
      <c r="CV840" s="86"/>
      <c r="CW840" s="86"/>
      <c r="CX840" s="86"/>
      <c r="CY840" s="86"/>
      <c r="CZ840" s="86"/>
      <c r="DA840" s="86"/>
      <c r="DB840" s="86"/>
      <c r="DC840" s="86"/>
      <c r="DD840" s="86"/>
      <c r="DE840" s="86"/>
      <c r="DF840" s="86"/>
      <c r="DG840" s="86"/>
      <c r="DH840" s="86"/>
      <c r="DI840" s="86"/>
      <c r="DJ840" s="86"/>
      <c r="DK840" s="86"/>
      <c r="DL840" s="86"/>
      <c r="DM840" s="86"/>
      <c r="DN840" s="86"/>
      <c r="DO840" s="86"/>
      <c r="DP840" s="86"/>
      <c r="DQ840" s="86"/>
      <c r="DR840" s="118"/>
      <c r="DS840" s="118"/>
      <c r="DT840" s="86"/>
      <c r="DU840" s="86"/>
      <c r="DV840" s="86"/>
      <c r="DW840" s="86"/>
      <c r="DX840" s="86"/>
      <c r="DY840" s="86"/>
      <c r="DZ840" s="86"/>
      <c r="EA840" s="86"/>
      <c r="EB840" s="86"/>
      <c r="EC840" s="86"/>
      <c r="ED840" s="86"/>
      <c r="EE840" s="86"/>
      <c r="EF840" s="86"/>
      <c r="EG840" s="86"/>
      <c r="EH840" s="86"/>
      <c r="EI840" s="86"/>
      <c r="EJ840" s="86"/>
      <c r="EK840" s="86"/>
      <c r="EL840" s="86"/>
      <c r="EM840" s="86"/>
      <c r="EN840" s="86"/>
    </row>
    <row r="841" spans="1:144" ht="1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8"/>
      <c r="O841" s="88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AS841" s="86"/>
      <c r="AT841" s="86"/>
      <c r="AU841" s="86"/>
      <c r="AV841" s="86"/>
      <c r="AW841" s="86"/>
      <c r="AX841" s="86"/>
      <c r="AY841" s="86"/>
      <c r="AZ841" s="86"/>
      <c r="BA841" s="86"/>
      <c r="BB841" s="86"/>
      <c r="BC841" s="86"/>
      <c r="BD841" s="86"/>
      <c r="BE841" s="86"/>
      <c r="BF841" s="86"/>
      <c r="BG841" s="86"/>
      <c r="BH841" s="86"/>
      <c r="BI841" s="86"/>
      <c r="BJ841" s="86"/>
      <c r="BK841" s="86"/>
      <c r="BL841" s="86"/>
      <c r="BM841" s="86"/>
      <c r="BN841" s="86"/>
      <c r="BO841" s="86"/>
      <c r="BP841" s="86"/>
      <c r="BQ841" s="86"/>
      <c r="BR841" s="86"/>
      <c r="BS841" s="86"/>
      <c r="BT841" s="86"/>
      <c r="BU841" s="86"/>
      <c r="BV841" s="86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  <c r="CO841" s="86"/>
      <c r="CP841" s="86"/>
      <c r="CQ841" s="86"/>
      <c r="CR841" s="86"/>
      <c r="CS841" s="86"/>
      <c r="CT841" s="86"/>
      <c r="CU841" s="86"/>
      <c r="CV841" s="86"/>
      <c r="CW841" s="86"/>
      <c r="CX841" s="86"/>
      <c r="CY841" s="86"/>
      <c r="CZ841" s="86"/>
      <c r="DA841" s="86"/>
      <c r="DB841" s="86"/>
      <c r="DC841" s="86"/>
      <c r="DD841" s="86"/>
      <c r="DE841" s="86"/>
      <c r="DF841" s="86"/>
      <c r="DG841" s="86"/>
      <c r="DH841" s="86"/>
      <c r="DI841" s="86"/>
      <c r="DJ841" s="86"/>
      <c r="DK841" s="86"/>
      <c r="DL841" s="86"/>
      <c r="DM841" s="86"/>
      <c r="DN841" s="86"/>
      <c r="DO841" s="86"/>
      <c r="DP841" s="86"/>
      <c r="DQ841" s="86"/>
      <c r="DR841" s="118"/>
      <c r="DS841" s="118"/>
      <c r="DT841" s="86"/>
      <c r="DU841" s="86"/>
      <c r="DV841" s="86"/>
      <c r="DW841" s="86"/>
      <c r="DX841" s="86"/>
      <c r="DY841" s="86"/>
      <c r="DZ841" s="86"/>
      <c r="EA841" s="86"/>
      <c r="EB841" s="86"/>
      <c r="EC841" s="86"/>
      <c r="ED841" s="86"/>
      <c r="EE841" s="86"/>
      <c r="EF841" s="86"/>
      <c r="EG841" s="86"/>
      <c r="EH841" s="86"/>
      <c r="EI841" s="86"/>
      <c r="EJ841" s="86"/>
      <c r="EK841" s="86"/>
      <c r="EL841" s="86"/>
      <c r="EM841" s="86"/>
      <c r="EN841" s="86"/>
    </row>
    <row r="842" spans="1:144" ht="1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8"/>
      <c r="O842" s="88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86"/>
      <c r="AT842" s="86"/>
      <c r="AU842" s="86"/>
      <c r="AV842" s="86"/>
      <c r="AW842" s="86"/>
      <c r="AX842" s="86"/>
      <c r="AY842" s="86"/>
      <c r="AZ842" s="86"/>
      <c r="BA842" s="86"/>
      <c r="BB842" s="86"/>
      <c r="BC842" s="86"/>
      <c r="BD842" s="86"/>
      <c r="BE842" s="86"/>
      <c r="BF842" s="86"/>
      <c r="BG842" s="86"/>
      <c r="BH842" s="86"/>
      <c r="BI842" s="86"/>
      <c r="BJ842" s="86"/>
      <c r="BK842" s="86"/>
      <c r="BL842" s="86"/>
      <c r="BM842" s="86"/>
      <c r="BN842" s="86"/>
      <c r="BO842" s="86"/>
      <c r="BP842" s="86"/>
      <c r="BQ842" s="86"/>
      <c r="BR842" s="86"/>
      <c r="BS842" s="86"/>
      <c r="BT842" s="86"/>
      <c r="BU842" s="86"/>
      <c r="BV842" s="86"/>
      <c r="BW842" s="86"/>
      <c r="BX842" s="86"/>
      <c r="BY842" s="86"/>
      <c r="BZ842" s="86"/>
      <c r="CA842" s="86"/>
      <c r="CB842" s="86"/>
      <c r="CC842" s="86"/>
      <c r="CD842" s="86"/>
      <c r="CE842" s="86"/>
      <c r="CF842" s="86"/>
      <c r="CG842" s="86"/>
      <c r="CH842" s="86"/>
      <c r="CI842" s="86"/>
      <c r="CJ842" s="86"/>
      <c r="CK842" s="86"/>
      <c r="CL842" s="86"/>
      <c r="CM842" s="86"/>
      <c r="CN842" s="86"/>
      <c r="CO842" s="86"/>
      <c r="CP842" s="86"/>
      <c r="CQ842" s="86"/>
      <c r="CR842" s="86"/>
      <c r="CS842" s="86"/>
      <c r="CT842" s="86"/>
      <c r="CU842" s="86"/>
      <c r="CV842" s="86"/>
      <c r="CW842" s="86"/>
      <c r="CX842" s="86"/>
      <c r="CY842" s="86"/>
      <c r="CZ842" s="86"/>
      <c r="DA842" s="86"/>
      <c r="DB842" s="86"/>
      <c r="DC842" s="86"/>
      <c r="DD842" s="86"/>
      <c r="DE842" s="86"/>
      <c r="DF842" s="86"/>
      <c r="DG842" s="86"/>
      <c r="DH842" s="86"/>
      <c r="DI842" s="86"/>
      <c r="DJ842" s="86"/>
      <c r="DK842" s="86"/>
      <c r="DL842" s="86"/>
      <c r="DM842" s="86"/>
      <c r="DN842" s="86"/>
      <c r="DO842" s="86"/>
      <c r="DP842" s="86"/>
      <c r="DQ842" s="86"/>
      <c r="DR842" s="118"/>
      <c r="DS842" s="118"/>
      <c r="DT842" s="86"/>
      <c r="DU842" s="86"/>
      <c r="DV842" s="86"/>
      <c r="DW842" s="86"/>
      <c r="DX842" s="86"/>
      <c r="DY842" s="86"/>
      <c r="DZ842" s="86"/>
      <c r="EA842" s="86"/>
      <c r="EB842" s="86"/>
      <c r="EC842" s="86"/>
      <c r="ED842" s="86"/>
      <c r="EE842" s="86"/>
      <c r="EF842" s="86"/>
      <c r="EG842" s="86"/>
      <c r="EH842" s="86"/>
      <c r="EI842" s="86"/>
      <c r="EJ842" s="86"/>
      <c r="EK842" s="86"/>
      <c r="EL842" s="86"/>
      <c r="EM842" s="86"/>
      <c r="EN842" s="86"/>
    </row>
    <row r="843" spans="1:144" ht="1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8"/>
      <c r="O843" s="88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86"/>
      <c r="AT843" s="86"/>
      <c r="AU843" s="86"/>
      <c r="AV843" s="86"/>
      <c r="AW843" s="86"/>
      <c r="AX843" s="86"/>
      <c r="AY843" s="86"/>
      <c r="AZ843" s="86"/>
      <c r="BA843" s="86"/>
      <c r="BB843" s="86"/>
      <c r="BC843" s="86"/>
      <c r="BD843" s="86"/>
      <c r="BE843" s="86"/>
      <c r="BF843" s="86"/>
      <c r="BG843" s="86"/>
      <c r="BH843" s="86"/>
      <c r="BI843" s="86"/>
      <c r="BJ843" s="86"/>
      <c r="BK843" s="86"/>
      <c r="BL843" s="86"/>
      <c r="BM843" s="86"/>
      <c r="BN843" s="86"/>
      <c r="BO843" s="86"/>
      <c r="BP843" s="86"/>
      <c r="BQ843" s="86"/>
      <c r="BR843" s="86"/>
      <c r="BS843" s="86"/>
      <c r="BT843" s="86"/>
      <c r="BU843" s="86"/>
      <c r="BV843" s="86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  <c r="CO843" s="86"/>
      <c r="CP843" s="86"/>
      <c r="CQ843" s="86"/>
      <c r="CR843" s="86"/>
      <c r="CS843" s="86"/>
      <c r="CT843" s="86"/>
      <c r="CU843" s="86"/>
      <c r="CV843" s="86"/>
      <c r="CW843" s="86"/>
      <c r="CX843" s="86"/>
      <c r="CY843" s="86"/>
      <c r="CZ843" s="86"/>
      <c r="DA843" s="86"/>
      <c r="DB843" s="86"/>
      <c r="DC843" s="86"/>
      <c r="DD843" s="86"/>
      <c r="DE843" s="86"/>
      <c r="DF843" s="86"/>
      <c r="DG843" s="86"/>
      <c r="DH843" s="86"/>
      <c r="DI843" s="86"/>
      <c r="DJ843" s="86"/>
      <c r="DK843" s="86"/>
      <c r="DL843" s="86"/>
      <c r="DM843" s="86"/>
      <c r="DN843" s="86"/>
      <c r="DO843" s="86"/>
      <c r="DP843" s="86"/>
      <c r="DQ843" s="86"/>
      <c r="DR843" s="118"/>
      <c r="DS843" s="118"/>
      <c r="DT843" s="86"/>
      <c r="DU843" s="86"/>
      <c r="DV843" s="86"/>
      <c r="DW843" s="86"/>
      <c r="DX843" s="86"/>
      <c r="DY843" s="86"/>
      <c r="DZ843" s="86"/>
      <c r="EA843" s="86"/>
      <c r="EB843" s="86"/>
      <c r="EC843" s="86"/>
      <c r="ED843" s="86"/>
      <c r="EE843" s="86"/>
      <c r="EF843" s="86"/>
      <c r="EG843" s="86"/>
      <c r="EH843" s="86"/>
      <c r="EI843" s="86"/>
      <c r="EJ843" s="86"/>
      <c r="EK843" s="86"/>
      <c r="EL843" s="86"/>
      <c r="EM843" s="86"/>
      <c r="EN843" s="86"/>
    </row>
    <row r="844" spans="1:144" ht="1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8"/>
      <c r="O844" s="88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86"/>
      <c r="AT844" s="86"/>
      <c r="AU844" s="86"/>
      <c r="AV844" s="86"/>
      <c r="AW844" s="86"/>
      <c r="AX844" s="86"/>
      <c r="AY844" s="86"/>
      <c r="AZ844" s="86"/>
      <c r="BA844" s="86"/>
      <c r="BB844" s="86"/>
      <c r="BC844" s="86"/>
      <c r="BD844" s="86"/>
      <c r="BE844" s="86"/>
      <c r="BF844" s="86"/>
      <c r="BG844" s="86"/>
      <c r="BH844" s="86"/>
      <c r="BI844" s="86"/>
      <c r="BJ844" s="86"/>
      <c r="BK844" s="86"/>
      <c r="BL844" s="86"/>
      <c r="BM844" s="86"/>
      <c r="BN844" s="86"/>
      <c r="BO844" s="86"/>
      <c r="BP844" s="86"/>
      <c r="BQ844" s="86"/>
      <c r="BR844" s="86"/>
      <c r="BS844" s="86"/>
      <c r="BT844" s="86"/>
      <c r="BU844" s="86"/>
      <c r="BV844" s="86"/>
      <c r="BW844" s="86"/>
      <c r="BX844" s="86"/>
      <c r="BY844" s="86"/>
      <c r="BZ844" s="86"/>
      <c r="CA844" s="86"/>
      <c r="CB844" s="86"/>
      <c r="CC844" s="86"/>
      <c r="CD844" s="86"/>
      <c r="CE844" s="86"/>
      <c r="CF844" s="86"/>
      <c r="CG844" s="86"/>
      <c r="CH844" s="86"/>
      <c r="CI844" s="86"/>
      <c r="CJ844" s="86"/>
      <c r="CK844" s="86"/>
      <c r="CL844" s="86"/>
      <c r="CM844" s="86"/>
      <c r="CN844" s="86"/>
      <c r="CO844" s="86"/>
      <c r="CP844" s="86"/>
      <c r="CQ844" s="86"/>
      <c r="CR844" s="86"/>
      <c r="CS844" s="86"/>
      <c r="CT844" s="86"/>
      <c r="CU844" s="86"/>
      <c r="CV844" s="86"/>
      <c r="CW844" s="86"/>
      <c r="CX844" s="86"/>
      <c r="CY844" s="86"/>
      <c r="CZ844" s="86"/>
      <c r="DA844" s="86"/>
      <c r="DB844" s="86"/>
      <c r="DC844" s="86"/>
      <c r="DD844" s="86"/>
      <c r="DE844" s="86"/>
      <c r="DF844" s="86"/>
      <c r="DG844" s="86"/>
      <c r="DH844" s="86"/>
      <c r="DI844" s="86"/>
      <c r="DJ844" s="86"/>
      <c r="DK844" s="86"/>
      <c r="DL844" s="86"/>
      <c r="DM844" s="86"/>
      <c r="DN844" s="86"/>
      <c r="DO844" s="86"/>
      <c r="DP844" s="86"/>
      <c r="DQ844" s="86"/>
      <c r="DR844" s="118"/>
      <c r="DS844" s="118"/>
      <c r="DT844" s="86"/>
      <c r="DU844" s="86"/>
      <c r="DV844" s="86"/>
      <c r="DW844" s="86"/>
      <c r="DX844" s="86"/>
      <c r="DY844" s="86"/>
      <c r="DZ844" s="86"/>
      <c r="EA844" s="86"/>
      <c r="EB844" s="86"/>
      <c r="EC844" s="86"/>
      <c r="ED844" s="86"/>
      <c r="EE844" s="86"/>
      <c r="EF844" s="86"/>
      <c r="EG844" s="86"/>
      <c r="EH844" s="86"/>
      <c r="EI844" s="86"/>
      <c r="EJ844" s="86"/>
      <c r="EK844" s="86"/>
      <c r="EL844" s="86"/>
      <c r="EM844" s="86"/>
      <c r="EN844" s="86"/>
    </row>
    <row r="845" spans="1:144" ht="1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8"/>
      <c r="O845" s="88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86"/>
      <c r="AT845" s="86"/>
      <c r="AU845" s="86"/>
      <c r="AV845" s="86"/>
      <c r="AW845" s="86"/>
      <c r="AX845" s="86"/>
      <c r="AY845" s="86"/>
      <c r="AZ845" s="86"/>
      <c r="BA845" s="86"/>
      <c r="BB845" s="86"/>
      <c r="BC845" s="86"/>
      <c r="BD845" s="86"/>
      <c r="BE845" s="86"/>
      <c r="BF845" s="86"/>
      <c r="BG845" s="86"/>
      <c r="BH845" s="86"/>
      <c r="BI845" s="86"/>
      <c r="BJ845" s="86"/>
      <c r="BK845" s="86"/>
      <c r="BL845" s="86"/>
      <c r="BM845" s="86"/>
      <c r="BN845" s="86"/>
      <c r="BO845" s="86"/>
      <c r="BP845" s="86"/>
      <c r="BQ845" s="86"/>
      <c r="BR845" s="86"/>
      <c r="BS845" s="86"/>
      <c r="BT845" s="86"/>
      <c r="BU845" s="86"/>
      <c r="BV845" s="86"/>
      <c r="BW845" s="86"/>
      <c r="BX845" s="86"/>
      <c r="BY845" s="86"/>
      <c r="BZ845" s="86"/>
      <c r="CA845" s="86"/>
      <c r="CB845" s="86"/>
      <c r="CC845" s="86"/>
      <c r="CD845" s="86"/>
      <c r="CE845" s="86"/>
      <c r="CF845" s="86"/>
      <c r="CG845" s="86"/>
      <c r="CH845" s="86"/>
      <c r="CI845" s="86"/>
      <c r="CJ845" s="86"/>
      <c r="CK845" s="86"/>
      <c r="CL845" s="86"/>
      <c r="CM845" s="86"/>
      <c r="CN845" s="86"/>
      <c r="CO845" s="86"/>
      <c r="CP845" s="86"/>
      <c r="CQ845" s="86"/>
      <c r="CR845" s="86"/>
      <c r="CS845" s="86"/>
      <c r="CT845" s="86"/>
      <c r="CU845" s="86"/>
      <c r="CV845" s="86"/>
      <c r="CW845" s="86"/>
      <c r="CX845" s="86"/>
      <c r="CY845" s="86"/>
      <c r="CZ845" s="86"/>
      <c r="DA845" s="86"/>
      <c r="DB845" s="86"/>
      <c r="DC845" s="86"/>
      <c r="DD845" s="86"/>
      <c r="DE845" s="86"/>
      <c r="DF845" s="86"/>
      <c r="DG845" s="86"/>
      <c r="DH845" s="86"/>
      <c r="DI845" s="86"/>
      <c r="DJ845" s="86"/>
      <c r="DK845" s="86"/>
      <c r="DL845" s="86"/>
      <c r="DM845" s="86"/>
      <c r="DN845" s="86"/>
      <c r="DO845" s="86"/>
      <c r="DP845" s="86"/>
      <c r="DQ845" s="86"/>
      <c r="DR845" s="118"/>
      <c r="DS845" s="118"/>
      <c r="DT845" s="86"/>
      <c r="DU845" s="86"/>
      <c r="DV845" s="86"/>
      <c r="DW845" s="86"/>
      <c r="DX845" s="86"/>
      <c r="DY845" s="86"/>
      <c r="DZ845" s="86"/>
      <c r="EA845" s="86"/>
      <c r="EB845" s="86"/>
      <c r="EC845" s="86"/>
      <c r="ED845" s="86"/>
      <c r="EE845" s="86"/>
      <c r="EF845" s="86"/>
      <c r="EG845" s="86"/>
      <c r="EH845" s="86"/>
      <c r="EI845" s="86"/>
      <c r="EJ845" s="86"/>
      <c r="EK845" s="86"/>
      <c r="EL845" s="86"/>
      <c r="EM845" s="86"/>
      <c r="EN845" s="86"/>
    </row>
    <row r="846" spans="1:144" ht="1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8"/>
      <c r="O846" s="88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86"/>
      <c r="AT846" s="86"/>
      <c r="AU846" s="86"/>
      <c r="AV846" s="86"/>
      <c r="AW846" s="86"/>
      <c r="AX846" s="86"/>
      <c r="AY846" s="86"/>
      <c r="AZ846" s="86"/>
      <c r="BA846" s="86"/>
      <c r="BB846" s="86"/>
      <c r="BC846" s="86"/>
      <c r="BD846" s="86"/>
      <c r="BE846" s="86"/>
      <c r="BF846" s="86"/>
      <c r="BG846" s="86"/>
      <c r="BH846" s="86"/>
      <c r="BI846" s="86"/>
      <c r="BJ846" s="86"/>
      <c r="BK846" s="86"/>
      <c r="BL846" s="86"/>
      <c r="BM846" s="86"/>
      <c r="BN846" s="86"/>
      <c r="BO846" s="86"/>
      <c r="BP846" s="86"/>
      <c r="BQ846" s="86"/>
      <c r="BR846" s="86"/>
      <c r="BS846" s="86"/>
      <c r="BT846" s="86"/>
      <c r="BU846" s="86"/>
      <c r="BV846" s="86"/>
      <c r="BW846" s="86"/>
      <c r="BX846" s="86"/>
      <c r="BY846" s="86"/>
      <c r="BZ846" s="86"/>
      <c r="CA846" s="86"/>
      <c r="CB846" s="86"/>
      <c r="CC846" s="86"/>
      <c r="CD846" s="86"/>
      <c r="CE846" s="86"/>
      <c r="CF846" s="86"/>
      <c r="CG846" s="86"/>
      <c r="CH846" s="86"/>
      <c r="CI846" s="86"/>
      <c r="CJ846" s="86"/>
      <c r="CK846" s="86"/>
      <c r="CL846" s="86"/>
      <c r="CM846" s="86"/>
      <c r="CN846" s="86"/>
      <c r="CO846" s="86"/>
      <c r="CP846" s="86"/>
      <c r="CQ846" s="86"/>
      <c r="CR846" s="86"/>
      <c r="CS846" s="86"/>
      <c r="CT846" s="86"/>
      <c r="CU846" s="86"/>
      <c r="CV846" s="86"/>
      <c r="CW846" s="86"/>
      <c r="CX846" s="86"/>
      <c r="CY846" s="86"/>
      <c r="CZ846" s="86"/>
      <c r="DA846" s="86"/>
      <c r="DB846" s="86"/>
      <c r="DC846" s="86"/>
      <c r="DD846" s="86"/>
      <c r="DE846" s="86"/>
      <c r="DF846" s="86"/>
      <c r="DG846" s="86"/>
      <c r="DH846" s="86"/>
      <c r="DI846" s="86"/>
      <c r="DJ846" s="86"/>
      <c r="DK846" s="86"/>
      <c r="DL846" s="86"/>
      <c r="DM846" s="86"/>
      <c r="DN846" s="86"/>
      <c r="DO846" s="86"/>
      <c r="DP846" s="86"/>
      <c r="DQ846" s="86"/>
      <c r="DR846" s="118"/>
      <c r="DS846" s="118"/>
      <c r="DT846" s="86"/>
      <c r="DU846" s="86"/>
      <c r="DV846" s="86"/>
      <c r="DW846" s="86"/>
      <c r="DX846" s="86"/>
      <c r="DY846" s="86"/>
      <c r="DZ846" s="86"/>
      <c r="EA846" s="86"/>
      <c r="EB846" s="86"/>
      <c r="EC846" s="86"/>
      <c r="ED846" s="86"/>
      <c r="EE846" s="86"/>
      <c r="EF846" s="86"/>
      <c r="EG846" s="86"/>
      <c r="EH846" s="86"/>
      <c r="EI846" s="86"/>
      <c r="EJ846" s="86"/>
      <c r="EK846" s="86"/>
      <c r="EL846" s="86"/>
      <c r="EM846" s="86"/>
      <c r="EN846" s="86"/>
    </row>
    <row r="847" spans="1:144" ht="1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8"/>
      <c r="O847" s="88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86"/>
      <c r="AT847" s="86"/>
      <c r="AU847" s="86"/>
      <c r="AV847" s="86"/>
      <c r="AW847" s="86"/>
      <c r="AX847" s="86"/>
      <c r="AY847" s="86"/>
      <c r="AZ847" s="86"/>
      <c r="BA847" s="86"/>
      <c r="BB847" s="86"/>
      <c r="BC847" s="86"/>
      <c r="BD847" s="86"/>
      <c r="BE847" s="86"/>
      <c r="BF847" s="86"/>
      <c r="BG847" s="86"/>
      <c r="BH847" s="86"/>
      <c r="BI847" s="86"/>
      <c r="BJ847" s="86"/>
      <c r="BK847" s="86"/>
      <c r="BL847" s="86"/>
      <c r="BM847" s="86"/>
      <c r="BN847" s="86"/>
      <c r="BO847" s="86"/>
      <c r="BP847" s="86"/>
      <c r="BQ847" s="86"/>
      <c r="BR847" s="86"/>
      <c r="BS847" s="86"/>
      <c r="BT847" s="86"/>
      <c r="BU847" s="86"/>
      <c r="BV847" s="86"/>
      <c r="BW847" s="86"/>
      <c r="BX847" s="86"/>
      <c r="BY847" s="86"/>
      <c r="BZ847" s="86"/>
      <c r="CA847" s="86"/>
      <c r="CB847" s="86"/>
      <c r="CC847" s="86"/>
      <c r="CD847" s="86"/>
      <c r="CE847" s="86"/>
      <c r="CF847" s="86"/>
      <c r="CG847" s="86"/>
      <c r="CH847" s="86"/>
      <c r="CI847" s="86"/>
      <c r="CJ847" s="86"/>
      <c r="CK847" s="86"/>
      <c r="CL847" s="86"/>
      <c r="CM847" s="86"/>
      <c r="CN847" s="86"/>
      <c r="CO847" s="86"/>
      <c r="CP847" s="86"/>
      <c r="CQ847" s="86"/>
      <c r="CR847" s="86"/>
      <c r="CS847" s="86"/>
      <c r="CT847" s="86"/>
      <c r="CU847" s="86"/>
      <c r="CV847" s="86"/>
      <c r="CW847" s="86"/>
      <c r="CX847" s="86"/>
      <c r="CY847" s="86"/>
      <c r="CZ847" s="86"/>
      <c r="DA847" s="86"/>
      <c r="DB847" s="86"/>
      <c r="DC847" s="86"/>
      <c r="DD847" s="86"/>
      <c r="DE847" s="86"/>
      <c r="DF847" s="86"/>
      <c r="DG847" s="86"/>
      <c r="DH847" s="86"/>
      <c r="DI847" s="86"/>
      <c r="DJ847" s="86"/>
      <c r="DK847" s="86"/>
      <c r="DL847" s="86"/>
      <c r="DM847" s="86"/>
      <c r="DN847" s="86"/>
      <c r="DO847" s="86"/>
      <c r="DP847" s="86"/>
      <c r="DQ847" s="86"/>
      <c r="DR847" s="118"/>
      <c r="DS847" s="118"/>
      <c r="DT847" s="86"/>
      <c r="DU847" s="86"/>
      <c r="DV847" s="86"/>
      <c r="DW847" s="86"/>
      <c r="DX847" s="86"/>
      <c r="DY847" s="86"/>
      <c r="DZ847" s="86"/>
      <c r="EA847" s="86"/>
      <c r="EB847" s="86"/>
      <c r="EC847" s="86"/>
      <c r="ED847" s="86"/>
      <c r="EE847" s="86"/>
      <c r="EF847" s="86"/>
      <c r="EG847" s="86"/>
      <c r="EH847" s="86"/>
      <c r="EI847" s="86"/>
      <c r="EJ847" s="86"/>
      <c r="EK847" s="86"/>
      <c r="EL847" s="86"/>
      <c r="EM847" s="86"/>
      <c r="EN847" s="86"/>
    </row>
    <row r="848" spans="1:144" ht="1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8"/>
      <c r="O848" s="88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AS848" s="86"/>
      <c r="AT848" s="86"/>
      <c r="AU848" s="86"/>
      <c r="AV848" s="86"/>
      <c r="AW848" s="86"/>
      <c r="AX848" s="86"/>
      <c r="AY848" s="86"/>
      <c r="AZ848" s="86"/>
      <c r="BA848" s="86"/>
      <c r="BB848" s="86"/>
      <c r="BC848" s="86"/>
      <c r="BD848" s="86"/>
      <c r="BE848" s="86"/>
      <c r="BF848" s="86"/>
      <c r="BG848" s="86"/>
      <c r="BH848" s="86"/>
      <c r="BI848" s="86"/>
      <c r="BJ848" s="86"/>
      <c r="BK848" s="86"/>
      <c r="BL848" s="86"/>
      <c r="BM848" s="86"/>
      <c r="BN848" s="86"/>
      <c r="BO848" s="86"/>
      <c r="BP848" s="86"/>
      <c r="BQ848" s="86"/>
      <c r="BR848" s="86"/>
      <c r="BS848" s="86"/>
      <c r="BT848" s="86"/>
      <c r="BU848" s="86"/>
      <c r="BV848" s="86"/>
      <c r="BW848" s="86"/>
      <c r="BX848" s="86"/>
      <c r="BY848" s="86"/>
      <c r="BZ848" s="86"/>
      <c r="CA848" s="86"/>
      <c r="CB848" s="86"/>
      <c r="CC848" s="86"/>
      <c r="CD848" s="86"/>
      <c r="CE848" s="86"/>
      <c r="CF848" s="86"/>
      <c r="CG848" s="86"/>
      <c r="CH848" s="86"/>
      <c r="CI848" s="86"/>
      <c r="CJ848" s="86"/>
      <c r="CK848" s="86"/>
      <c r="CL848" s="86"/>
      <c r="CM848" s="86"/>
      <c r="CN848" s="86"/>
      <c r="CO848" s="86"/>
      <c r="CP848" s="86"/>
      <c r="CQ848" s="86"/>
      <c r="CR848" s="86"/>
      <c r="CS848" s="86"/>
      <c r="CT848" s="86"/>
      <c r="CU848" s="86"/>
      <c r="CV848" s="86"/>
      <c r="CW848" s="86"/>
      <c r="CX848" s="86"/>
      <c r="CY848" s="86"/>
      <c r="CZ848" s="86"/>
      <c r="DA848" s="86"/>
      <c r="DB848" s="86"/>
      <c r="DC848" s="86"/>
      <c r="DD848" s="86"/>
      <c r="DE848" s="86"/>
      <c r="DF848" s="86"/>
      <c r="DG848" s="86"/>
      <c r="DH848" s="86"/>
      <c r="DI848" s="86"/>
      <c r="DJ848" s="86"/>
      <c r="DK848" s="86"/>
      <c r="DL848" s="86"/>
      <c r="DM848" s="86"/>
      <c r="DN848" s="86"/>
      <c r="DO848" s="86"/>
      <c r="DP848" s="86"/>
      <c r="DQ848" s="86"/>
      <c r="DR848" s="118"/>
      <c r="DS848" s="118"/>
      <c r="DT848" s="86"/>
      <c r="DU848" s="86"/>
      <c r="DV848" s="86"/>
      <c r="DW848" s="86"/>
      <c r="DX848" s="86"/>
      <c r="DY848" s="86"/>
      <c r="DZ848" s="86"/>
      <c r="EA848" s="86"/>
      <c r="EB848" s="86"/>
      <c r="EC848" s="86"/>
      <c r="ED848" s="86"/>
      <c r="EE848" s="86"/>
      <c r="EF848" s="86"/>
      <c r="EG848" s="86"/>
      <c r="EH848" s="86"/>
      <c r="EI848" s="86"/>
      <c r="EJ848" s="86"/>
      <c r="EK848" s="86"/>
      <c r="EL848" s="86"/>
      <c r="EM848" s="86"/>
      <c r="EN848" s="86"/>
    </row>
    <row r="849" spans="1:144" ht="1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8"/>
      <c r="O849" s="88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AS849" s="86"/>
      <c r="AT849" s="86"/>
      <c r="AU849" s="86"/>
      <c r="AV849" s="86"/>
      <c r="AW849" s="86"/>
      <c r="AX849" s="86"/>
      <c r="AY849" s="86"/>
      <c r="AZ849" s="86"/>
      <c r="BA849" s="86"/>
      <c r="BB849" s="86"/>
      <c r="BC849" s="86"/>
      <c r="BD849" s="86"/>
      <c r="BE849" s="86"/>
      <c r="BF849" s="86"/>
      <c r="BG849" s="86"/>
      <c r="BH849" s="86"/>
      <c r="BI849" s="86"/>
      <c r="BJ849" s="86"/>
      <c r="BK849" s="86"/>
      <c r="BL849" s="86"/>
      <c r="BM849" s="86"/>
      <c r="BN849" s="86"/>
      <c r="BO849" s="86"/>
      <c r="BP849" s="86"/>
      <c r="BQ849" s="86"/>
      <c r="BR849" s="86"/>
      <c r="BS849" s="86"/>
      <c r="BT849" s="86"/>
      <c r="BU849" s="86"/>
      <c r="BV849" s="86"/>
      <c r="BW849" s="86"/>
      <c r="BX849" s="86"/>
      <c r="BY849" s="86"/>
      <c r="BZ849" s="86"/>
      <c r="CA849" s="86"/>
      <c r="CB849" s="86"/>
      <c r="CC849" s="86"/>
      <c r="CD849" s="86"/>
      <c r="CE849" s="86"/>
      <c r="CF849" s="86"/>
      <c r="CG849" s="86"/>
      <c r="CH849" s="86"/>
      <c r="CI849" s="86"/>
      <c r="CJ849" s="86"/>
      <c r="CK849" s="86"/>
      <c r="CL849" s="86"/>
      <c r="CM849" s="86"/>
      <c r="CN849" s="86"/>
      <c r="CO849" s="86"/>
      <c r="CP849" s="86"/>
      <c r="CQ849" s="86"/>
      <c r="CR849" s="86"/>
      <c r="CS849" s="86"/>
      <c r="CT849" s="86"/>
      <c r="CU849" s="86"/>
      <c r="CV849" s="86"/>
      <c r="CW849" s="86"/>
      <c r="CX849" s="86"/>
      <c r="CY849" s="86"/>
      <c r="CZ849" s="86"/>
      <c r="DA849" s="86"/>
      <c r="DB849" s="86"/>
      <c r="DC849" s="86"/>
      <c r="DD849" s="86"/>
      <c r="DE849" s="86"/>
      <c r="DF849" s="86"/>
      <c r="DG849" s="86"/>
      <c r="DH849" s="86"/>
      <c r="DI849" s="86"/>
      <c r="DJ849" s="86"/>
      <c r="DK849" s="86"/>
      <c r="DL849" s="86"/>
      <c r="DM849" s="86"/>
      <c r="DN849" s="86"/>
      <c r="DO849" s="86"/>
      <c r="DP849" s="86"/>
      <c r="DQ849" s="86"/>
      <c r="DR849" s="118"/>
      <c r="DS849" s="118"/>
      <c r="DT849" s="86"/>
      <c r="DU849" s="86"/>
      <c r="DV849" s="86"/>
      <c r="DW849" s="86"/>
      <c r="DX849" s="86"/>
      <c r="DY849" s="86"/>
      <c r="DZ849" s="86"/>
      <c r="EA849" s="86"/>
      <c r="EB849" s="86"/>
      <c r="EC849" s="86"/>
      <c r="ED849" s="86"/>
      <c r="EE849" s="86"/>
      <c r="EF849" s="86"/>
      <c r="EG849" s="86"/>
      <c r="EH849" s="86"/>
      <c r="EI849" s="86"/>
      <c r="EJ849" s="86"/>
      <c r="EK849" s="86"/>
      <c r="EL849" s="86"/>
      <c r="EM849" s="86"/>
      <c r="EN849" s="86"/>
    </row>
    <row r="850" spans="1:144" ht="1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8"/>
      <c r="O850" s="88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AS850" s="86"/>
      <c r="AT850" s="86"/>
      <c r="AU850" s="86"/>
      <c r="AV850" s="86"/>
      <c r="AW850" s="86"/>
      <c r="AX850" s="86"/>
      <c r="AY850" s="86"/>
      <c r="AZ850" s="86"/>
      <c r="BA850" s="86"/>
      <c r="BB850" s="86"/>
      <c r="BC850" s="86"/>
      <c r="BD850" s="86"/>
      <c r="BE850" s="86"/>
      <c r="BF850" s="86"/>
      <c r="BG850" s="86"/>
      <c r="BH850" s="86"/>
      <c r="BI850" s="86"/>
      <c r="BJ850" s="86"/>
      <c r="BK850" s="86"/>
      <c r="BL850" s="86"/>
      <c r="BM850" s="86"/>
      <c r="BN850" s="86"/>
      <c r="BO850" s="86"/>
      <c r="BP850" s="86"/>
      <c r="BQ850" s="86"/>
      <c r="BR850" s="86"/>
      <c r="BS850" s="86"/>
      <c r="BT850" s="86"/>
      <c r="BU850" s="86"/>
      <c r="BV850" s="86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  <c r="CO850" s="86"/>
      <c r="CP850" s="86"/>
      <c r="CQ850" s="86"/>
      <c r="CR850" s="86"/>
      <c r="CS850" s="86"/>
      <c r="CT850" s="86"/>
      <c r="CU850" s="86"/>
      <c r="CV850" s="86"/>
      <c r="CW850" s="86"/>
      <c r="CX850" s="86"/>
      <c r="CY850" s="86"/>
      <c r="CZ850" s="86"/>
      <c r="DA850" s="86"/>
      <c r="DB850" s="86"/>
      <c r="DC850" s="86"/>
      <c r="DD850" s="86"/>
      <c r="DE850" s="86"/>
      <c r="DF850" s="86"/>
      <c r="DG850" s="86"/>
      <c r="DH850" s="86"/>
      <c r="DI850" s="86"/>
      <c r="DJ850" s="86"/>
      <c r="DK850" s="86"/>
      <c r="DL850" s="86"/>
      <c r="DM850" s="86"/>
      <c r="DN850" s="86"/>
      <c r="DO850" s="86"/>
      <c r="DP850" s="86"/>
      <c r="DQ850" s="86"/>
      <c r="DR850" s="118"/>
      <c r="DS850" s="118"/>
      <c r="DT850" s="86"/>
      <c r="DU850" s="86"/>
      <c r="DV850" s="86"/>
      <c r="DW850" s="86"/>
      <c r="DX850" s="86"/>
      <c r="DY850" s="86"/>
      <c r="DZ850" s="86"/>
      <c r="EA850" s="86"/>
      <c r="EB850" s="86"/>
      <c r="EC850" s="86"/>
      <c r="ED850" s="86"/>
      <c r="EE850" s="86"/>
      <c r="EF850" s="86"/>
      <c r="EG850" s="86"/>
      <c r="EH850" s="86"/>
      <c r="EI850" s="86"/>
      <c r="EJ850" s="86"/>
      <c r="EK850" s="86"/>
      <c r="EL850" s="86"/>
      <c r="EM850" s="86"/>
      <c r="EN850" s="86"/>
    </row>
    <row r="851" spans="1:144" ht="1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8"/>
      <c r="O851" s="88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AS851" s="86"/>
      <c r="AT851" s="86"/>
      <c r="AU851" s="86"/>
      <c r="AV851" s="86"/>
      <c r="AW851" s="86"/>
      <c r="AX851" s="86"/>
      <c r="AY851" s="86"/>
      <c r="AZ851" s="86"/>
      <c r="BA851" s="86"/>
      <c r="BB851" s="86"/>
      <c r="BC851" s="86"/>
      <c r="BD851" s="86"/>
      <c r="BE851" s="86"/>
      <c r="BF851" s="86"/>
      <c r="BG851" s="86"/>
      <c r="BH851" s="86"/>
      <c r="BI851" s="86"/>
      <c r="BJ851" s="86"/>
      <c r="BK851" s="86"/>
      <c r="BL851" s="86"/>
      <c r="BM851" s="86"/>
      <c r="BN851" s="86"/>
      <c r="BO851" s="86"/>
      <c r="BP851" s="86"/>
      <c r="BQ851" s="86"/>
      <c r="BR851" s="86"/>
      <c r="BS851" s="86"/>
      <c r="BT851" s="86"/>
      <c r="BU851" s="86"/>
      <c r="BV851" s="86"/>
      <c r="BW851" s="86"/>
      <c r="BX851" s="86"/>
      <c r="BY851" s="86"/>
      <c r="BZ851" s="86"/>
      <c r="CA851" s="86"/>
      <c r="CB851" s="86"/>
      <c r="CC851" s="86"/>
      <c r="CD851" s="86"/>
      <c r="CE851" s="86"/>
      <c r="CF851" s="86"/>
      <c r="CG851" s="86"/>
      <c r="CH851" s="86"/>
      <c r="CI851" s="86"/>
      <c r="CJ851" s="86"/>
      <c r="CK851" s="86"/>
      <c r="CL851" s="86"/>
      <c r="CM851" s="86"/>
      <c r="CN851" s="86"/>
      <c r="CO851" s="86"/>
      <c r="CP851" s="86"/>
      <c r="CQ851" s="86"/>
      <c r="CR851" s="86"/>
      <c r="CS851" s="86"/>
      <c r="CT851" s="86"/>
      <c r="CU851" s="86"/>
      <c r="CV851" s="86"/>
      <c r="CW851" s="86"/>
      <c r="CX851" s="86"/>
      <c r="CY851" s="86"/>
      <c r="CZ851" s="86"/>
      <c r="DA851" s="86"/>
      <c r="DB851" s="86"/>
      <c r="DC851" s="86"/>
      <c r="DD851" s="86"/>
      <c r="DE851" s="86"/>
      <c r="DF851" s="86"/>
      <c r="DG851" s="86"/>
      <c r="DH851" s="86"/>
      <c r="DI851" s="86"/>
      <c r="DJ851" s="86"/>
      <c r="DK851" s="86"/>
      <c r="DL851" s="86"/>
      <c r="DM851" s="86"/>
      <c r="DN851" s="86"/>
      <c r="DO851" s="86"/>
      <c r="DP851" s="86"/>
      <c r="DQ851" s="86"/>
      <c r="DR851" s="118"/>
      <c r="DS851" s="118"/>
      <c r="DT851" s="86"/>
      <c r="DU851" s="86"/>
      <c r="DV851" s="86"/>
      <c r="DW851" s="86"/>
      <c r="DX851" s="86"/>
      <c r="DY851" s="86"/>
      <c r="DZ851" s="86"/>
      <c r="EA851" s="86"/>
      <c r="EB851" s="86"/>
      <c r="EC851" s="86"/>
      <c r="ED851" s="86"/>
      <c r="EE851" s="86"/>
      <c r="EF851" s="86"/>
      <c r="EG851" s="86"/>
      <c r="EH851" s="86"/>
      <c r="EI851" s="86"/>
      <c r="EJ851" s="86"/>
      <c r="EK851" s="86"/>
      <c r="EL851" s="86"/>
      <c r="EM851" s="86"/>
      <c r="EN851" s="86"/>
    </row>
    <row r="852" spans="1:144" ht="1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8"/>
      <c r="O852" s="88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AS852" s="86"/>
      <c r="AT852" s="86"/>
      <c r="AU852" s="86"/>
      <c r="AV852" s="86"/>
      <c r="AW852" s="86"/>
      <c r="AX852" s="86"/>
      <c r="AY852" s="86"/>
      <c r="AZ852" s="86"/>
      <c r="BA852" s="86"/>
      <c r="BB852" s="86"/>
      <c r="BC852" s="86"/>
      <c r="BD852" s="86"/>
      <c r="BE852" s="86"/>
      <c r="BF852" s="86"/>
      <c r="BG852" s="86"/>
      <c r="BH852" s="86"/>
      <c r="BI852" s="86"/>
      <c r="BJ852" s="86"/>
      <c r="BK852" s="86"/>
      <c r="BL852" s="86"/>
      <c r="BM852" s="86"/>
      <c r="BN852" s="86"/>
      <c r="BO852" s="86"/>
      <c r="BP852" s="86"/>
      <c r="BQ852" s="86"/>
      <c r="BR852" s="86"/>
      <c r="BS852" s="86"/>
      <c r="BT852" s="86"/>
      <c r="BU852" s="86"/>
      <c r="BV852" s="86"/>
      <c r="BW852" s="86"/>
      <c r="BX852" s="86"/>
      <c r="BY852" s="86"/>
      <c r="BZ852" s="86"/>
      <c r="CA852" s="86"/>
      <c r="CB852" s="86"/>
      <c r="CC852" s="86"/>
      <c r="CD852" s="86"/>
      <c r="CE852" s="86"/>
      <c r="CF852" s="86"/>
      <c r="CG852" s="86"/>
      <c r="CH852" s="86"/>
      <c r="CI852" s="86"/>
      <c r="CJ852" s="86"/>
      <c r="CK852" s="86"/>
      <c r="CL852" s="86"/>
      <c r="CM852" s="86"/>
      <c r="CN852" s="86"/>
      <c r="CO852" s="86"/>
      <c r="CP852" s="86"/>
      <c r="CQ852" s="86"/>
      <c r="CR852" s="86"/>
      <c r="CS852" s="86"/>
      <c r="CT852" s="86"/>
      <c r="CU852" s="86"/>
      <c r="CV852" s="86"/>
      <c r="CW852" s="86"/>
      <c r="CX852" s="86"/>
      <c r="CY852" s="86"/>
      <c r="CZ852" s="86"/>
      <c r="DA852" s="86"/>
      <c r="DB852" s="86"/>
      <c r="DC852" s="86"/>
      <c r="DD852" s="86"/>
      <c r="DE852" s="86"/>
      <c r="DF852" s="86"/>
      <c r="DG852" s="86"/>
      <c r="DH852" s="86"/>
      <c r="DI852" s="86"/>
      <c r="DJ852" s="86"/>
      <c r="DK852" s="86"/>
      <c r="DL852" s="86"/>
      <c r="DM852" s="86"/>
      <c r="DN852" s="86"/>
      <c r="DO852" s="86"/>
      <c r="DP852" s="86"/>
      <c r="DQ852" s="86"/>
      <c r="DR852" s="118"/>
      <c r="DS852" s="118"/>
      <c r="DT852" s="86"/>
      <c r="DU852" s="86"/>
      <c r="DV852" s="86"/>
      <c r="DW852" s="86"/>
      <c r="DX852" s="86"/>
      <c r="DY852" s="86"/>
      <c r="DZ852" s="86"/>
      <c r="EA852" s="86"/>
      <c r="EB852" s="86"/>
      <c r="EC852" s="86"/>
      <c r="ED852" s="86"/>
      <c r="EE852" s="86"/>
      <c r="EF852" s="86"/>
      <c r="EG852" s="86"/>
      <c r="EH852" s="86"/>
      <c r="EI852" s="86"/>
      <c r="EJ852" s="86"/>
      <c r="EK852" s="86"/>
      <c r="EL852" s="86"/>
      <c r="EM852" s="86"/>
      <c r="EN852" s="86"/>
    </row>
    <row r="853" spans="1:144" ht="1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8"/>
      <c r="O853" s="88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AS853" s="86"/>
      <c r="AT853" s="86"/>
      <c r="AU853" s="86"/>
      <c r="AV853" s="86"/>
      <c r="AW853" s="86"/>
      <c r="AX853" s="86"/>
      <c r="AY853" s="86"/>
      <c r="AZ853" s="86"/>
      <c r="BA853" s="86"/>
      <c r="BB853" s="86"/>
      <c r="BC853" s="86"/>
      <c r="BD853" s="86"/>
      <c r="BE853" s="86"/>
      <c r="BF853" s="86"/>
      <c r="BG853" s="86"/>
      <c r="BH853" s="86"/>
      <c r="BI853" s="86"/>
      <c r="BJ853" s="86"/>
      <c r="BK853" s="86"/>
      <c r="BL853" s="86"/>
      <c r="BM853" s="86"/>
      <c r="BN853" s="86"/>
      <c r="BO853" s="86"/>
      <c r="BP853" s="86"/>
      <c r="BQ853" s="86"/>
      <c r="BR853" s="86"/>
      <c r="BS853" s="86"/>
      <c r="BT853" s="86"/>
      <c r="BU853" s="86"/>
      <c r="BV853" s="86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  <c r="CO853" s="86"/>
      <c r="CP853" s="86"/>
      <c r="CQ853" s="86"/>
      <c r="CR853" s="86"/>
      <c r="CS853" s="86"/>
      <c r="CT853" s="86"/>
      <c r="CU853" s="86"/>
      <c r="CV853" s="86"/>
      <c r="CW853" s="86"/>
      <c r="CX853" s="86"/>
      <c r="CY853" s="86"/>
      <c r="CZ853" s="86"/>
      <c r="DA853" s="86"/>
      <c r="DB853" s="86"/>
      <c r="DC853" s="86"/>
      <c r="DD853" s="86"/>
      <c r="DE853" s="86"/>
      <c r="DF853" s="86"/>
      <c r="DG853" s="86"/>
      <c r="DH853" s="86"/>
      <c r="DI853" s="86"/>
      <c r="DJ853" s="86"/>
      <c r="DK853" s="86"/>
      <c r="DL853" s="86"/>
      <c r="DM853" s="86"/>
      <c r="DN853" s="86"/>
      <c r="DO853" s="86"/>
      <c r="DP853" s="86"/>
      <c r="DQ853" s="86"/>
      <c r="DR853" s="118"/>
      <c r="DS853" s="118"/>
      <c r="DT853" s="86"/>
      <c r="DU853" s="86"/>
      <c r="DV853" s="86"/>
      <c r="DW853" s="86"/>
      <c r="DX853" s="86"/>
      <c r="DY853" s="86"/>
      <c r="DZ853" s="86"/>
      <c r="EA853" s="86"/>
      <c r="EB853" s="86"/>
      <c r="EC853" s="86"/>
      <c r="ED853" s="86"/>
      <c r="EE853" s="86"/>
      <c r="EF853" s="86"/>
      <c r="EG853" s="86"/>
      <c r="EH853" s="86"/>
      <c r="EI853" s="86"/>
      <c r="EJ853" s="86"/>
      <c r="EK853" s="86"/>
      <c r="EL853" s="86"/>
      <c r="EM853" s="86"/>
      <c r="EN853" s="86"/>
    </row>
    <row r="854" spans="1:144" ht="1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8"/>
      <c r="O854" s="88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AS854" s="86"/>
      <c r="AT854" s="86"/>
      <c r="AU854" s="86"/>
      <c r="AV854" s="86"/>
      <c r="AW854" s="86"/>
      <c r="AX854" s="86"/>
      <c r="AY854" s="86"/>
      <c r="AZ854" s="86"/>
      <c r="BA854" s="86"/>
      <c r="BB854" s="86"/>
      <c r="BC854" s="86"/>
      <c r="BD854" s="86"/>
      <c r="BE854" s="86"/>
      <c r="BF854" s="86"/>
      <c r="BG854" s="86"/>
      <c r="BH854" s="86"/>
      <c r="BI854" s="86"/>
      <c r="BJ854" s="86"/>
      <c r="BK854" s="86"/>
      <c r="BL854" s="86"/>
      <c r="BM854" s="86"/>
      <c r="BN854" s="86"/>
      <c r="BO854" s="86"/>
      <c r="BP854" s="86"/>
      <c r="BQ854" s="86"/>
      <c r="BR854" s="86"/>
      <c r="BS854" s="86"/>
      <c r="BT854" s="86"/>
      <c r="BU854" s="86"/>
      <c r="BV854" s="86"/>
      <c r="BW854" s="86"/>
      <c r="BX854" s="86"/>
      <c r="BY854" s="86"/>
      <c r="BZ854" s="86"/>
      <c r="CA854" s="86"/>
      <c r="CB854" s="86"/>
      <c r="CC854" s="86"/>
      <c r="CD854" s="86"/>
      <c r="CE854" s="86"/>
      <c r="CF854" s="86"/>
      <c r="CG854" s="86"/>
      <c r="CH854" s="86"/>
      <c r="CI854" s="86"/>
      <c r="CJ854" s="86"/>
      <c r="CK854" s="86"/>
      <c r="CL854" s="86"/>
      <c r="CM854" s="86"/>
      <c r="CN854" s="86"/>
      <c r="CO854" s="86"/>
      <c r="CP854" s="86"/>
      <c r="CQ854" s="86"/>
      <c r="CR854" s="86"/>
      <c r="CS854" s="86"/>
      <c r="CT854" s="86"/>
      <c r="CU854" s="86"/>
      <c r="CV854" s="86"/>
      <c r="CW854" s="86"/>
      <c r="CX854" s="86"/>
      <c r="CY854" s="86"/>
      <c r="CZ854" s="86"/>
      <c r="DA854" s="86"/>
      <c r="DB854" s="86"/>
      <c r="DC854" s="86"/>
      <c r="DD854" s="86"/>
      <c r="DE854" s="86"/>
      <c r="DF854" s="86"/>
      <c r="DG854" s="86"/>
      <c r="DH854" s="86"/>
      <c r="DI854" s="86"/>
      <c r="DJ854" s="86"/>
      <c r="DK854" s="86"/>
      <c r="DL854" s="86"/>
      <c r="DM854" s="86"/>
      <c r="DN854" s="86"/>
      <c r="DO854" s="86"/>
      <c r="DP854" s="86"/>
      <c r="DQ854" s="86"/>
      <c r="DR854" s="118"/>
      <c r="DS854" s="118"/>
      <c r="DT854" s="86"/>
      <c r="DU854" s="86"/>
      <c r="DV854" s="86"/>
      <c r="DW854" s="86"/>
      <c r="DX854" s="86"/>
      <c r="DY854" s="86"/>
      <c r="DZ854" s="86"/>
      <c r="EA854" s="86"/>
      <c r="EB854" s="86"/>
      <c r="EC854" s="86"/>
      <c r="ED854" s="86"/>
      <c r="EE854" s="86"/>
      <c r="EF854" s="86"/>
      <c r="EG854" s="86"/>
      <c r="EH854" s="86"/>
      <c r="EI854" s="86"/>
      <c r="EJ854" s="86"/>
      <c r="EK854" s="86"/>
      <c r="EL854" s="86"/>
      <c r="EM854" s="86"/>
      <c r="EN854" s="86"/>
    </row>
    <row r="855" spans="1:144" ht="1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8"/>
      <c r="O855" s="88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AS855" s="86"/>
      <c r="AT855" s="86"/>
      <c r="AU855" s="86"/>
      <c r="AV855" s="86"/>
      <c r="AW855" s="86"/>
      <c r="AX855" s="86"/>
      <c r="AY855" s="86"/>
      <c r="AZ855" s="86"/>
      <c r="BA855" s="86"/>
      <c r="BB855" s="86"/>
      <c r="BC855" s="86"/>
      <c r="BD855" s="86"/>
      <c r="BE855" s="86"/>
      <c r="BF855" s="86"/>
      <c r="BG855" s="86"/>
      <c r="BH855" s="86"/>
      <c r="BI855" s="86"/>
      <c r="BJ855" s="86"/>
      <c r="BK855" s="86"/>
      <c r="BL855" s="86"/>
      <c r="BM855" s="86"/>
      <c r="BN855" s="86"/>
      <c r="BO855" s="86"/>
      <c r="BP855" s="86"/>
      <c r="BQ855" s="86"/>
      <c r="BR855" s="86"/>
      <c r="BS855" s="86"/>
      <c r="BT855" s="86"/>
      <c r="BU855" s="86"/>
      <c r="BV855" s="86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  <c r="CO855" s="86"/>
      <c r="CP855" s="86"/>
      <c r="CQ855" s="86"/>
      <c r="CR855" s="86"/>
      <c r="CS855" s="86"/>
      <c r="CT855" s="86"/>
      <c r="CU855" s="86"/>
      <c r="CV855" s="86"/>
      <c r="CW855" s="86"/>
      <c r="CX855" s="86"/>
      <c r="CY855" s="86"/>
      <c r="CZ855" s="86"/>
      <c r="DA855" s="86"/>
      <c r="DB855" s="86"/>
      <c r="DC855" s="86"/>
      <c r="DD855" s="86"/>
      <c r="DE855" s="86"/>
      <c r="DF855" s="86"/>
      <c r="DG855" s="86"/>
      <c r="DH855" s="86"/>
      <c r="DI855" s="86"/>
      <c r="DJ855" s="86"/>
      <c r="DK855" s="86"/>
      <c r="DL855" s="86"/>
      <c r="DM855" s="86"/>
      <c r="DN855" s="86"/>
      <c r="DO855" s="86"/>
      <c r="DP855" s="86"/>
      <c r="DQ855" s="86"/>
      <c r="DR855" s="118"/>
      <c r="DS855" s="118"/>
      <c r="DT855" s="86"/>
      <c r="DU855" s="86"/>
      <c r="DV855" s="86"/>
      <c r="DW855" s="86"/>
      <c r="DX855" s="86"/>
      <c r="DY855" s="86"/>
      <c r="DZ855" s="86"/>
      <c r="EA855" s="86"/>
      <c r="EB855" s="86"/>
      <c r="EC855" s="86"/>
      <c r="ED855" s="86"/>
      <c r="EE855" s="86"/>
      <c r="EF855" s="86"/>
      <c r="EG855" s="86"/>
      <c r="EH855" s="86"/>
      <c r="EI855" s="86"/>
      <c r="EJ855" s="86"/>
      <c r="EK855" s="86"/>
      <c r="EL855" s="86"/>
      <c r="EM855" s="86"/>
      <c r="EN855" s="86"/>
    </row>
    <row r="856" spans="1:144" ht="1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8"/>
      <c r="O856" s="88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AS856" s="86"/>
      <c r="AT856" s="86"/>
      <c r="AU856" s="86"/>
      <c r="AV856" s="86"/>
      <c r="AW856" s="86"/>
      <c r="AX856" s="86"/>
      <c r="AY856" s="86"/>
      <c r="AZ856" s="86"/>
      <c r="BA856" s="86"/>
      <c r="BB856" s="86"/>
      <c r="BC856" s="86"/>
      <c r="BD856" s="86"/>
      <c r="BE856" s="86"/>
      <c r="BF856" s="86"/>
      <c r="BG856" s="86"/>
      <c r="BH856" s="86"/>
      <c r="BI856" s="86"/>
      <c r="BJ856" s="86"/>
      <c r="BK856" s="86"/>
      <c r="BL856" s="86"/>
      <c r="BM856" s="86"/>
      <c r="BN856" s="86"/>
      <c r="BO856" s="86"/>
      <c r="BP856" s="86"/>
      <c r="BQ856" s="86"/>
      <c r="BR856" s="86"/>
      <c r="BS856" s="86"/>
      <c r="BT856" s="86"/>
      <c r="BU856" s="86"/>
      <c r="BV856" s="86"/>
      <c r="BW856" s="86"/>
      <c r="BX856" s="86"/>
      <c r="BY856" s="86"/>
      <c r="BZ856" s="86"/>
      <c r="CA856" s="86"/>
      <c r="CB856" s="86"/>
      <c r="CC856" s="86"/>
      <c r="CD856" s="86"/>
      <c r="CE856" s="86"/>
      <c r="CF856" s="86"/>
      <c r="CG856" s="86"/>
      <c r="CH856" s="86"/>
      <c r="CI856" s="86"/>
      <c r="CJ856" s="86"/>
      <c r="CK856" s="86"/>
      <c r="CL856" s="86"/>
      <c r="CM856" s="86"/>
      <c r="CN856" s="86"/>
      <c r="CO856" s="86"/>
      <c r="CP856" s="86"/>
      <c r="CQ856" s="86"/>
      <c r="CR856" s="86"/>
      <c r="CS856" s="86"/>
      <c r="CT856" s="86"/>
      <c r="CU856" s="86"/>
      <c r="CV856" s="86"/>
      <c r="CW856" s="86"/>
      <c r="CX856" s="86"/>
      <c r="CY856" s="86"/>
      <c r="CZ856" s="86"/>
      <c r="DA856" s="86"/>
      <c r="DB856" s="86"/>
      <c r="DC856" s="86"/>
      <c r="DD856" s="86"/>
      <c r="DE856" s="86"/>
      <c r="DF856" s="86"/>
      <c r="DG856" s="86"/>
      <c r="DH856" s="86"/>
      <c r="DI856" s="86"/>
      <c r="DJ856" s="86"/>
      <c r="DK856" s="86"/>
      <c r="DL856" s="86"/>
      <c r="DM856" s="86"/>
      <c r="DN856" s="86"/>
      <c r="DO856" s="86"/>
      <c r="DP856" s="86"/>
      <c r="DQ856" s="86"/>
      <c r="DR856" s="118"/>
      <c r="DS856" s="118"/>
      <c r="DT856" s="86"/>
      <c r="DU856" s="86"/>
      <c r="DV856" s="86"/>
      <c r="DW856" s="86"/>
      <c r="DX856" s="86"/>
      <c r="DY856" s="86"/>
      <c r="DZ856" s="86"/>
      <c r="EA856" s="86"/>
      <c r="EB856" s="86"/>
      <c r="EC856" s="86"/>
      <c r="ED856" s="86"/>
      <c r="EE856" s="86"/>
      <c r="EF856" s="86"/>
      <c r="EG856" s="86"/>
      <c r="EH856" s="86"/>
      <c r="EI856" s="86"/>
      <c r="EJ856" s="86"/>
      <c r="EK856" s="86"/>
      <c r="EL856" s="86"/>
      <c r="EM856" s="86"/>
      <c r="EN856" s="86"/>
    </row>
    <row r="857" spans="1:144" ht="1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8"/>
      <c r="O857" s="88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AS857" s="86"/>
      <c r="AT857" s="86"/>
      <c r="AU857" s="86"/>
      <c r="AV857" s="86"/>
      <c r="AW857" s="86"/>
      <c r="AX857" s="86"/>
      <c r="AY857" s="86"/>
      <c r="AZ857" s="86"/>
      <c r="BA857" s="86"/>
      <c r="BB857" s="86"/>
      <c r="BC857" s="86"/>
      <c r="BD857" s="86"/>
      <c r="BE857" s="86"/>
      <c r="BF857" s="86"/>
      <c r="BG857" s="86"/>
      <c r="BH857" s="86"/>
      <c r="BI857" s="86"/>
      <c r="BJ857" s="86"/>
      <c r="BK857" s="86"/>
      <c r="BL857" s="86"/>
      <c r="BM857" s="86"/>
      <c r="BN857" s="86"/>
      <c r="BO857" s="86"/>
      <c r="BP857" s="86"/>
      <c r="BQ857" s="86"/>
      <c r="BR857" s="86"/>
      <c r="BS857" s="86"/>
      <c r="BT857" s="86"/>
      <c r="BU857" s="86"/>
      <c r="BV857" s="86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  <c r="CO857" s="86"/>
      <c r="CP857" s="86"/>
      <c r="CQ857" s="86"/>
      <c r="CR857" s="86"/>
      <c r="CS857" s="86"/>
      <c r="CT857" s="86"/>
      <c r="CU857" s="86"/>
      <c r="CV857" s="86"/>
      <c r="CW857" s="86"/>
      <c r="CX857" s="86"/>
      <c r="CY857" s="86"/>
      <c r="CZ857" s="86"/>
      <c r="DA857" s="86"/>
      <c r="DB857" s="86"/>
      <c r="DC857" s="86"/>
      <c r="DD857" s="86"/>
      <c r="DE857" s="86"/>
      <c r="DF857" s="86"/>
      <c r="DG857" s="86"/>
      <c r="DH857" s="86"/>
      <c r="DI857" s="86"/>
      <c r="DJ857" s="86"/>
      <c r="DK857" s="86"/>
      <c r="DL857" s="86"/>
      <c r="DM857" s="86"/>
      <c r="DN857" s="86"/>
      <c r="DO857" s="86"/>
      <c r="DP857" s="86"/>
      <c r="DQ857" s="86"/>
      <c r="DR857" s="118"/>
      <c r="DS857" s="118"/>
      <c r="DT857" s="86"/>
      <c r="DU857" s="86"/>
      <c r="DV857" s="86"/>
      <c r="DW857" s="86"/>
      <c r="DX857" s="86"/>
      <c r="DY857" s="86"/>
      <c r="DZ857" s="86"/>
      <c r="EA857" s="86"/>
      <c r="EB857" s="86"/>
      <c r="EC857" s="86"/>
      <c r="ED857" s="86"/>
      <c r="EE857" s="86"/>
      <c r="EF857" s="86"/>
      <c r="EG857" s="86"/>
      <c r="EH857" s="86"/>
      <c r="EI857" s="86"/>
      <c r="EJ857" s="86"/>
      <c r="EK857" s="86"/>
      <c r="EL857" s="86"/>
      <c r="EM857" s="86"/>
      <c r="EN857" s="86"/>
    </row>
    <row r="858" spans="1:144" ht="1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8"/>
      <c r="O858" s="88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AS858" s="86"/>
      <c r="AT858" s="86"/>
      <c r="AU858" s="86"/>
      <c r="AV858" s="86"/>
      <c r="AW858" s="86"/>
      <c r="AX858" s="86"/>
      <c r="AY858" s="86"/>
      <c r="AZ858" s="86"/>
      <c r="BA858" s="86"/>
      <c r="BB858" s="86"/>
      <c r="BC858" s="86"/>
      <c r="BD858" s="86"/>
      <c r="BE858" s="86"/>
      <c r="BF858" s="86"/>
      <c r="BG858" s="86"/>
      <c r="BH858" s="86"/>
      <c r="BI858" s="86"/>
      <c r="BJ858" s="86"/>
      <c r="BK858" s="86"/>
      <c r="BL858" s="86"/>
      <c r="BM858" s="86"/>
      <c r="BN858" s="86"/>
      <c r="BO858" s="86"/>
      <c r="BP858" s="86"/>
      <c r="BQ858" s="86"/>
      <c r="BR858" s="86"/>
      <c r="BS858" s="86"/>
      <c r="BT858" s="86"/>
      <c r="BU858" s="86"/>
      <c r="BV858" s="86"/>
      <c r="BW858" s="86"/>
      <c r="BX858" s="86"/>
      <c r="BY858" s="86"/>
      <c r="BZ858" s="86"/>
      <c r="CA858" s="86"/>
      <c r="CB858" s="86"/>
      <c r="CC858" s="86"/>
      <c r="CD858" s="86"/>
      <c r="CE858" s="86"/>
      <c r="CF858" s="86"/>
      <c r="CG858" s="86"/>
      <c r="CH858" s="86"/>
      <c r="CI858" s="86"/>
      <c r="CJ858" s="86"/>
      <c r="CK858" s="86"/>
      <c r="CL858" s="86"/>
      <c r="CM858" s="86"/>
      <c r="CN858" s="86"/>
      <c r="CO858" s="86"/>
      <c r="CP858" s="86"/>
      <c r="CQ858" s="86"/>
      <c r="CR858" s="86"/>
      <c r="CS858" s="86"/>
      <c r="CT858" s="86"/>
      <c r="CU858" s="86"/>
      <c r="CV858" s="86"/>
      <c r="CW858" s="86"/>
      <c r="CX858" s="86"/>
      <c r="CY858" s="86"/>
      <c r="CZ858" s="86"/>
      <c r="DA858" s="86"/>
      <c r="DB858" s="86"/>
      <c r="DC858" s="86"/>
      <c r="DD858" s="86"/>
      <c r="DE858" s="86"/>
      <c r="DF858" s="86"/>
      <c r="DG858" s="86"/>
      <c r="DH858" s="86"/>
      <c r="DI858" s="86"/>
      <c r="DJ858" s="86"/>
      <c r="DK858" s="86"/>
      <c r="DL858" s="86"/>
      <c r="DM858" s="86"/>
      <c r="DN858" s="86"/>
      <c r="DO858" s="86"/>
      <c r="DP858" s="86"/>
      <c r="DQ858" s="86"/>
      <c r="DR858" s="118"/>
      <c r="DS858" s="118"/>
      <c r="DT858" s="86"/>
      <c r="DU858" s="86"/>
      <c r="DV858" s="86"/>
      <c r="DW858" s="86"/>
      <c r="DX858" s="86"/>
      <c r="DY858" s="86"/>
      <c r="DZ858" s="86"/>
      <c r="EA858" s="86"/>
      <c r="EB858" s="86"/>
      <c r="EC858" s="86"/>
      <c r="ED858" s="86"/>
      <c r="EE858" s="86"/>
      <c r="EF858" s="86"/>
      <c r="EG858" s="86"/>
      <c r="EH858" s="86"/>
      <c r="EI858" s="86"/>
      <c r="EJ858" s="86"/>
      <c r="EK858" s="86"/>
      <c r="EL858" s="86"/>
      <c r="EM858" s="86"/>
      <c r="EN858" s="86"/>
    </row>
    <row r="859" spans="1:144" ht="1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8"/>
      <c r="O859" s="88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AS859" s="86"/>
      <c r="AT859" s="86"/>
      <c r="AU859" s="86"/>
      <c r="AV859" s="86"/>
      <c r="AW859" s="86"/>
      <c r="AX859" s="86"/>
      <c r="AY859" s="86"/>
      <c r="AZ859" s="86"/>
      <c r="BA859" s="86"/>
      <c r="BB859" s="86"/>
      <c r="BC859" s="86"/>
      <c r="BD859" s="86"/>
      <c r="BE859" s="86"/>
      <c r="BF859" s="86"/>
      <c r="BG859" s="86"/>
      <c r="BH859" s="86"/>
      <c r="BI859" s="86"/>
      <c r="BJ859" s="86"/>
      <c r="BK859" s="86"/>
      <c r="BL859" s="86"/>
      <c r="BM859" s="86"/>
      <c r="BN859" s="86"/>
      <c r="BO859" s="86"/>
      <c r="BP859" s="86"/>
      <c r="BQ859" s="86"/>
      <c r="BR859" s="86"/>
      <c r="BS859" s="86"/>
      <c r="BT859" s="86"/>
      <c r="BU859" s="86"/>
      <c r="BV859" s="86"/>
      <c r="BW859" s="86"/>
      <c r="BX859" s="86"/>
      <c r="BY859" s="86"/>
      <c r="BZ859" s="86"/>
      <c r="CA859" s="86"/>
      <c r="CB859" s="86"/>
      <c r="CC859" s="86"/>
      <c r="CD859" s="86"/>
      <c r="CE859" s="86"/>
      <c r="CF859" s="86"/>
      <c r="CG859" s="86"/>
      <c r="CH859" s="86"/>
      <c r="CI859" s="86"/>
      <c r="CJ859" s="86"/>
      <c r="CK859" s="86"/>
      <c r="CL859" s="86"/>
      <c r="CM859" s="86"/>
      <c r="CN859" s="86"/>
      <c r="CO859" s="86"/>
      <c r="CP859" s="86"/>
      <c r="CQ859" s="86"/>
      <c r="CR859" s="86"/>
      <c r="CS859" s="86"/>
      <c r="CT859" s="86"/>
      <c r="CU859" s="86"/>
      <c r="CV859" s="86"/>
      <c r="CW859" s="86"/>
      <c r="CX859" s="86"/>
      <c r="CY859" s="86"/>
      <c r="CZ859" s="86"/>
      <c r="DA859" s="86"/>
      <c r="DB859" s="86"/>
      <c r="DC859" s="86"/>
      <c r="DD859" s="86"/>
      <c r="DE859" s="86"/>
      <c r="DF859" s="86"/>
      <c r="DG859" s="86"/>
      <c r="DH859" s="86"/>
      <c r="DI859" s="86"/>
      <c r="DJ859" s="86"/>
      <c r="DK859" s="86"/>
      <c r="DL859" s="86"/>
      <c r="DM859" s="86"/>
      <c r="DN859" s="86"/>
      <c r="DO859" s="86"/>
      <c r="DP859" s="86"/>
      <c r="DQ859" s="86"/>
      <c r="DR859" s="118"/>
      <c r="DS859" s="118"/>
      <c r="DT859" s="86"/>
      <c r="DU859" s="86"/>
      <c r="DV859" s="86"/>
      <c r="DW859" s="86"/>
      <c r="DX859" s="86"/>
      <c r="DY859" s="86"/>
      <c r="DZ859" s="86"/>
      <c r="EA859" s="86"/>
      <c r="EB859" s="86"/>
      <c r="EC859" s="86"/>
      <c r="ED859" s="86"/>
      <c r="EE859" s="86"/>
      <c r="EF859" s="86"/>
      <c r="EG859" s="86"/>
      <c r="EH859" s="86"/>
      <c r="EI859" s="86"/>
      <c r="EJ859" s="86"/>
      <c r="EK859" s="86"/>
      <c r="EL859" s="86"/>
      <c r="EM859" s="86"/>
      <c r="EN859" s="86"/>
    </row>
    <row r="860" spans="1:144" ht="1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8"/>
      <c r="O860" s="88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AS860" s="86"/>
      <c r="AT860" s="86"/>
      <c r="AU860" s="86"/>
      <c r="AV860" s="86"/>
      <c r="AW860" s="86"/>
      <c r="AX860" s="86"/>
      <c r="AY860" s="86"/>
      <c r="AZ860" s="86"/>
      <c r="BA860" s="86"/>
      <c r="BB860" s="86"/>
      <c r="BC860" s="86"/>
      <c r="BD860" s="86"/>
      <c r="BE860" s="86"/>
      <c r="BF860" s="86"/>
      <c r="BG860" s="86"/>
      <c r="BH860" s="86"/>
      <c r="BI860" s="86"/>
      <c r="BJ860" s="86"/>
      <c r="BK860" s="86"/>
      <c r="BL860" s="86"/>
      <c r="BM860" s="86"/>
      <c r="BN860" s="86"/>
      <c r="BO860" s="86"/>
      <c r="BP860" s="86"/>
      <c r="BQ860" s="86"/>
      <c r="BR860" s="86"/>
      <c r="BS860" s="86"/>
      <c r="BT860" s="86"/>
      <c r="BU860" s="86"/>
      <c r="BV860" s="86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  <c r="CO860" s="86"/>
      <c r="CP860" s="86"/>
      <c r="CQ860" s="86"/>
      <c r="CR860" s="86"/>
      <c r="CS860" s="86"/>
      <c r="CT860" s="86"/>
      <c r="CU860" s="86"/>
      <c r="CV860" s="86"/>
      <c r="CW860" s="86"/>
      <c r="CX860" s="86"/>
      <c r="CY860" s="86"/>
      <c r="CZ860" s="86"/>
      <c r="DA860" s="86"/>
      <c r="DB860" s="86"/>
      <c r="DC860" s="86"/>
      <c r="DD860" s="86"/>
      <c r="DE860" s="86"/>
      <c r="DF860" s="86"/>
      <c r="DG860" s="86"/>
      <c r="DH860" s="86"/>
      <c r="DI860" s="86"/>
      <c r="DJ860" s="86"/>
      <c r="DK860" s="86"/>
      <c r="DL860" s="86"/>
      <c r="DM860" s="86"/>
      <c r="DN860" s="86"/>
      <c r="DO860" s="86"/>
      <c r="DP860" s="86"/>
      <c r="DQ860" s="86"/>
      <c r="DR860" s="118"/>
      <c r="DS860" s="118"/>
      <c r="DT860" s="86"/>
      <c r="DU860" s="86"/>
      <c r="DV860" s="86"/>
      <c r="DW860" s="86"/>
      <c r="DX860" s="86"/>
      <c r="DY860" s="86"/>
      <c r="DZ860" s="86"/>
      <c r="EA860" s="86"/>
      <c r="EB860" s="86"/>
      <c r="EC860" s="86"/>
      <c r="ED860" s="86"/>
      <c r="EE860" s="86"/>
      <c r="EF860" s="86"/>
      <c r="EG860" s="86"/>
      <c r="EH860" s="86"/>
      <c r="EI860" s="86"/>
      <c r="EJ860" s="86"/>
      <c r="EK860" s="86"/>
      <c r="EL860" s="86"/>
      <c r="EM860" s="86"/>
      <c r="EN860" s="86"/>
    </row>
    <row r="861" spans="1:144" ht="1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8"/>
      <c r="O861" s="88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AS861" s="86"/>
      <c r="AT861" s="86"/>
      <c r="AU861" s="86"/>
      <c r="AV861" s="86"/>
      <c r="AW861" s="86"/>
      <c r="AX861" s="86"/>
      <c r="AY861" s="86"/>
      <c r="AZ861" s="86"/>
      <c r="BA861" s="86"/>
      <c r="BB861" s="86"/>
      <c r="BC861" s="86"/>
      <c r="BD861" s="86"/>
      <c r="BE861" s="86"/>
      <c r="BF861" s="86"/>
      <c r="BG861" s="86"/>
      <c r="BH861" s="86"/>
      <c r="BI861" s="86"/>
      <c r="BJ861" s="86"/>
      <c r="BK861" s="86"/>
      <c r="BL861" s="86"/>
      <c r="BM861" s="86"/>
      <c r="BN861" s="86"/>
      <c r="BO861" s="86"/>
      <c r="BP861" s="86"/>
      <c r="BQ861" s="86"/>
      <c r="BR861" s="86"/>
      <c r="BS861" s="86"/>
      <c r="BT861" s="86"/>
      <c r="BU861" s="86"/>
      <c r="BV861" s="86"/>
      <c r="BW861" s="86"/>
      <c r="BX861" s="86"/>
      <c r="BY861" s="86"/>
      <c r="BZ861" s="86"/>
      <c r="CA861" s="86"/>
      <c r="CB861" s="86"/>
      <c r="CC861" s="86"/>
      <c r="CD861" s="86"/>
      <c r="CE861" s="86"/>
      <c r="CF861" s="86"/>
      <c r="CG861" s="86"/>
      <c r="CH861" s="86"/>
      <c r="CI861" s="86"/>
      <c r="CJ861" s="86"/>
      <c r="CK861" s="86"/>
      <c r="CL861" s="86"/>
      <c r="CM861" s="86"/>
      <c r="CN861" s="86"/>
      <c r="CO861" s="86"/>
      <c r="CP861" s="86"/>
      <c r="CQ861" s="86"/>
      <c r="CR861" s="86"/>
      <c r="CS861" s="86"/>
      <c r="CT861" s="86"/>
      <c r="CU861" s="86"/>
      <c r="CV861" s="86"/>
      <c r="CW861" s="86"/>
      <c r="CX861" s="86"/>
      <c r="CY861" s="86"/>
      <c r="CZ861" s="86"/>
      <c r="DA861" s="86"/>
      <c r="DB861" s="86"/>
      <c r="DC861" s="86"/>
      <c r="DD861" s="86"/>
      <c r="DE861" s="86"/>
      <c r="DF861" s="86"/>
      <c r="DG861" s="86"/>
      <c r="DH861" s="86"/>
      <c r="DI861" s="86"/>
      <c r="DJ861" s="86"/>
      <c r="DK861" s="86"/>
      <c r="DL861" s="86"/>
      <c r="DM861" s="86"/>
      <c r="DN861" s="86"/>
      <c r="DO861" s="86"/>
      <c r="DP861" s="86"/>
      <c r="DQ861" s="86"/>
      <c r="DR861" s="118"/>
      <c r="DS861" s="118"/>
      <c r="DT861" s="86"/>
      <c r="DU861" s="86"/>
      <c r="DV861" s="86"/>
      <c r="DW861" s="86"/>
      <c r="DX861" s="86"/>
      <c r="DY861" s="86"/>
      <c r="DZ861" s="86"/>
      <c r="EA861" s="86"/>
      <c r="EB861" s="86"/>
      <c r="EC861" s="86"/>
      <c r="ED861" s="86"/>
      <c r="EE861" s="86"/>
      <c r="EF861" s="86"/>
      <c r="EG861" s="86"/>
      <c r="EH861" s="86"/>
      <c r="EI861" s="86"/>
      <c r="EJ861" s="86"/>
      <c r="EK861" s="86"/>
      <c r="EL861" s="86"/>
      <c r="EM861" s="86"/>
      <c r="EN861" s="86"/>
    </row>
    <row r="862" spans="1:144" ht="1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8"/>
      <c r="O862" s="88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86"/>
      <c r="AT862" s="86"/>
      <c r="AU862" s="86"/>
      <c r="AV862" s="86"/>
      <c r="AW862" s="86"/>
      <c r="AX862" s="86"/>
      <c r="AY862" s="86"/>
      <c r="AZ862" s="86"/>
      <c r="BA862" s="86"/>
      <c r="BB862" s="86"/>
      <c r="BC862" s="86"/>
      <c r="BD862" s="86"/>
      <c r="BE862" s="86"/>
      <c r="BF862" s="86"/>
      <c r="BG862" s="86"/>
      <c r="BH862" s="86"/>
      <c r="BI862" s="86"/>
      <c r="BJ862" s="86"/>
      <c r="BK862" s="86"/>
      <c r="BL862" s="86"/>
      <c r="BM862" s="86"/>
      <c r="BN862" s="86"/>
      <c r="BO862" s="86"/>
      <c r="BP862" s="86"/>
      <c r="BQ862" s="86"/>
      <c r="BR862" s="86"/>
      <c r="BS862" s="86"/>
      <c r="BT862" s="86"/>
      <c r="BU862" s="86"/>
      <c r="BV862" s="86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  <c r="CO862" s="86"/>
      <c r="CP862" s="86"/>
      <c r="CQ862" s="86"/>
      <c r="CR862" s="86"/>
      <c r="CS862" s="86"/>
      <c r="CT862" s="86"/>
      <c r="CU862" s="86"/>
      <c r="CV862" s="86"/>
      <c r="CW862" s="86"/>
      <c r="CX862" s="86"/>
      <c r="CY862" s="86"/>
      <c r="CZ862" s="86"/>
      <c r="DA862" s="86"/>
      <c r="DB862" s="86"/>
      <c r="DC862" s="86"/>
      <c r="DD862" s="86"/>
      <c r="DE862" s="86"/>
      <c r="DF862" s="86"/>
      <c r="DG862" s="86"/>
      <c r="DH862" s="86"/>
      <c r="DI862" s="86"/>
      <c r="DJ862" s="86"/>
      <c r="DK862" s="86"/>
      <c r="DL862" s="86"/>
      <c r="DM862" s="86"/>
      <c r="DN862" s="86"/>
      <c r="DO862" s="86"/>
      <c r="DP862" s="86"/>
      <c r="DQ862" s="86"/>
      <c r="DR862" s="118"/>
      <c r="DS862" s="118"/>
      <c r="DT862" s="86"/>
      <c r="DU862" s="86"/>
      <c r="DV862" s="86"/>
      <c r="DW862" s="86"/>
      <c r="DX862" s="86"/>
      <c r="DY862" s="86"/>
      <c r="DZ862" s="86"/>
      <c r="EA862" s="86"/>
      <c r="EB862" s="86"/>
      <c r="EC862" s="86"/>
      <c r="ED862" s="86"/>
      <c r="EE862" s="86"/>
      <c r="EF862" s="86"/>
      <c r="EG862" s="86"/>
      <c r="EH862" s="86"/>
      <c r="EI862" s="86"/>
      <c r="EJ862" s="86"/>
      <c r="EK862" s="86"/>
      <c r="EL862" s="86"/>
      <c r="EM862" s="86"/>
      <c r="EN862" s="86"/>
    </row>
    <row r="863" spans="1:144" ht="1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8"/>
      <c r="O863" s="88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86"/>
      <c r="AT863" s="86"/>
      <c r="AU863" s="86"/>
      <c r="AV863" s="86"/>
      <c r="AW863" s="86"/>
      <c r="AX863" s="86"/>
      <c r="AY863" s="86"/>
      <c r="AZ863" s="86"/>
      <c r="BA863" s="86"/>
      <c r="BB863" s="86"/>
      <c r="BC863" s="86"/>
      <c r="BD863" s="86"/>
      <c r="BE863" s="86"/>
      <c r="BF863" s="86"/>
      <c r="BG863" s="86"/>
      <c r="BH863" s="86"/>
      <c r="BI863" s="86"/>
      <c r="BJ863" s="86"/>
      <c r="BK863" s="86"/>
      <c r="BL863" s="86"/>
      <c r="BM863" s="86"/>
      <c r="BN863" s="86"/>
      <c r="BO863" s="86"/>
      <c r="BP863" s="86"/>
      <c r="BQ863" s="86"/>
      <c r="BR863" s="86"/>
      <c r="BS863" s="86"/>
      <c r="BT863" s="86"/>
      <c r="BU863" s="86"/>
      <c r="BV863" s="86"/>
      <c r="BW863" s="86"/>
      <c r="BX863" s="86"/>
      <c r="BY863" s="86"/>
      <c r="BZ863" s="86"/>
      <c r="CA863" s="86"/>
      <c r="CB863" s="86"/>
      <c r="CC863" s="86"/>
      <c r="CD863" s="86"/>
      <c r="CE863" s="86"/>
      <c r="CF863" s="86"/>
      <c r="CG863" s="86"/>
      <c r="CH863" s="86"/>
      <c r="CI863" s="86"/>
      <c r="CJ863" s="86"/>
      <c r="CK863" s="86"/>
      <c r="CL863" s="86"/>
      <c r="CM863" s="86"/>
      <c r="CN863" s="86"/>
      <c r="CO863" s="86"/>
      <c r="CP863" s="86"/>
      <c r="CQ863" s="86"/>
      <c r="CR863" s="86"/>
      <c r="CS863" s="86"/>
      <c r="CT863" s="86"/>
      <c r="CU863" s="86"/>
      <c r="CV863" s="86"/>
      <c r="CW863" s="86"/>
      <c r="CX863" s="86"/>
      <c r="CY863" s="86"/>
      <c r="CZ863" s="86"/>
      <c r="DA863" s="86"/>
      <c r="DB863" s="86"/>
      <c r="DC863" s="86"/>
      <c r="DD863" s="86"/>
      <c r="DE863" s="86"/>
      <c r="DF863" s="86"/>
      <c r="DG863" s="86"/>
      <c r="DH863" s="86"/>
      <c r="DI863" s="86"/>
      <c r="DJ863" s="86"/>
      <c r="DK863" s="86"/>
      <c r="DL863" s="86"/>
      <c r="DM863" s="86"/>
      <c r="DN863" s="86"/>
      <c r="DO863" s="86"/>
      <c r="DP863" s="86"/>
      <c r="DQ863" s="86"/>
      <c r="DR863" s="118"/>
      <c r="DS863" s="118"/>
      <c r="DT863" s="86"/>
      <c r="DU863" s="86"/>
      <c r="DV863" s="86"/>
      <c r="DW863" s="86"/>
      <c r="DX863" s="86"/>
      <c r="DY863" s="86"/>
      <c r="DZ863" s="86"/>
      <c r="EA863" s="86"/>
      <c r="EB863" s="86"/>
      <c r="EC863" s="86"/>
      <c r="ED863" s="86"/>
      <c r="EE863" s="86"/>
      <c r="EF863" s="86"/>
      <c r="EG863" s="86"/>
      <c r="EH863" s="86"/>
      <c r="EI863" s="86"/>
      <c r="EJ863" s="86"/>
      <c r="EK863" s="86"/>
      <c r="EL863" s="86"/>
      <c r="EM863" s="86"/>
      <c r="EN863" s="86"/>
    </row>
    <row r="864" spans="1:144" ht="1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8"/>
      <c r="O864" s="88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AS864" s="86"/>
      <c r="AT864" s="86"/>
      <c r="AU864" s="86"/>
      <c r="AV864" s="86"/>
      <c r="AW864" s="86"/>
      <c r="AX864" s="86"/>
      <c r="AY864" s="86"/>
      <c r="AZ864" s="86"/>
      <c r="BA864" s="86"/>
      <c r="BB864" s="86"/>
      <c r="BC864" s="86"/>
      <c r="BD864" s="86"/>
      <c r="BE864" s="86"/>
      <c r="BF864" s="86"/>
      <c r="BG864" s="86"/>
      <c r="BH864" s="86"/>
      <c r="BI864" s="86"/>
      <c r="BJ864" s="86"/>
      <c r="BK864" s="86"/>
      <c r="BL864" s="86"/>
      <c r="BM864" s="86"/>
      <c r="BN864" s="86"/>
      <c r="BO864" s="86"/>
      <c r="BP864" s="86"/>
      <c r="BQ864" s="86"/>
      <c r="BR864" s="86"/>
      <c r="BS864" s="86"/>
      <c r="BT864" s="86"/>
      <c r="BU864" s="86"/>
      <c r="BV864" s="86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  <c r="CO864" s="86"/>
      <c r="CP864" s="86"/>
      <c r="CQ864" s="86"/>
      <c r="CR864" s="86"/>
      <c r="CS864" s="86"/>
      <c r="CT864" s="86"/>
      <c r="CU864" s="86"/>
      <c r="CV864" s="86"/>
      <c r="CW864" s="86"/>
      <c r="CX864" s="86"/>
      <c r="CY864" s="86"/>
      <c r="CZ864" s="86"/>
      <c r="DA864" s="86"/>
      <c r="DB864" s="86"/>
      <c r="DC864" s="86"/>
      <c r="DD864" s="86"/>
      <c r="DE864" s="86"/>
      <c r="DF864" s="86"/>
      <c r="DG864" s="86"/>
      <c r="DH864" s="86"/>
      <c r="DI864" s="86"/>
      <c r="DJ864" s="86"/>
      <c r="DK864" s="86"/>
      <c r="DL864" s="86"/>
      <c r="DM864" s="86"/>
      <c r="DN864" s="86"/>
      <c r="DO864" s="86"/>
      <c r="DP864" s="86"/>
      <c r="DQ864" s="86"/>
      <c r="DR864" s="118"/>
      <c r="DS864" s="118"/>
      <c r="DT864" s="86"/>
      <c r="DU864" s="86"/>
      <c r="DV864" s="86"/>
      <c r="DW864" s="86"/>
      <c r="DX864" s="86"/>
      <c r="DY864" s="86"/>
      <c r="DZ864" s="86"/>
      <c r="EA864" s="86"/>
      <c r="EB864" s="86"/>
      <c r="EC864" s="86"/>
      <c r="ED864" s="86"/>
      <c r="EE864" s="86"/>
      <c r="EF864" s="86"/>
      <c r="EG864" s="86"/>
      <c r="EH864" s="86"/>
      <c r="EI864" s="86"/>
      <c r="EJ864" s="86"/>
      <c r="EK864" s="86"/>
      <c r="EL864" s="86"/>
      <c r="EM864" s="86"/>
      <c r="EN864" s="86"/>
    </row>
    <row r="865" spans="1:144" ht="1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8"/>
      <c r="O865" s="88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AS865" s="86"/>
      <c r="AT865" s="86"/>
      <c r="AU865" s="86"/>
      <c r="AV865" s="86"/>
      <c r="AW865" s="86"/>
      <c r="AX865" s="86"/>
      <c r="AY865" s="86"/>
      <c r="AZ865" s="86"/>
      <c r="BA865" s="86"/>
      <c r="BB865" s="86"/>
      <c r="BC865" s="86"/>
      <c r="BD865" s="86"/>
      <c r="BE865" s="86"/>
      <c r="BF865" s="86"/>
      <c r="BG865" s="86"/>
      <c r="BH865" s="86"/>
      <c r="BI865" s="86"/>
      <c r="BJ865" s="86"/>
      <c r="BK865" s="86"/>
      <c r="BL865" s="86"/>
      <c r="BM865" s="86"/>
      <c r="BN865" s="86"/>
      <c r="BO865" s="86"/>
      <c r="BP865" s="86"/>
      <c r="BQ865" s="86"/>
      <c r="BR865" s="86"/>
      <c r="BS865" s="86"/>
      <c r="BT865" s="86"/>
      <c r="BU865" s="86"/>
      <c r="BV865" s="86"/>
      <c r="BW865" s="86"/>
      <c r="BX865" s="86"/>
      <c r="BY865" s="86"/>
      <c r="BZ865" s="86"/>
      <c r="CA865" s="86"/>
      <c r="CB865" s="86"/>
      <c r="CC865" s="86"/>
      <c r="CD865" s="86"/>
      <c r="CE865" s="86"/>
      <c r="CF865" s="86"/>
      <c r="CG865" s="86"/>
      <c r="CH865" s="86"/>
      <c r="CI865" s="86"/>
      <c r="CJ865" s="86"/>
      <c r="CK865" s="86"/>
      <c r="CL865" s="86"/>
      <c r="CM865" s="86"/>
      <c r="CN865" s="86"/>
      <c r="CO865" s="86"/>
      <c r="CP865" s="86"/>
      <c r="CQ865" s="86"/>
      <c r="CR865" s="86"/>
      <c r="CS865" s="86"/>
      <c r="CT865" s="86"/>
      <c r="CU865" s="86"/>
      <c r="CV865" s="86"/>
      <c r="CW865" s="86"/>
      <c r="CX865" s="86"/>
      <c r="CY865" s="86"/>
      <c r="CZ865" s="86"/>
      <c r="DA865" s="86"/>
      <c r="DB865" s="86"/>
      <c r="DC865" s="86"/>
      <c r="DD865" s="86"/>
      <c r="DE865" s="86"/>
      <c r="DF865" s="86"/>
      <c r="DG865" s="86"/>
      <c r="DH865" s="86"/>
      <c r="DI865" s="86"/>
      <c r="DJ865" s="86"/>
      <c r="DK865" s="86"/>
      <c r="DL865" s="86"/>
      <c r="DM865" s="86"/>
      <c r="DN865" s="86"/>
      <c r="DO865" s="86"/>
      <c r="DP865" s="86"/>
      <c r="DQ865" s="86"/>
      <c r="DR865" s="118"/>
      <c r="DS865" s="118"/>
      <c r="DT865" s="86"/>
      <c r="DU865" s="86"/>
      <c r="DV865" s="86"/>
      <c r="DW865" s="86"/>
      <c r="DX865" s="86"/>
      <c r="DY865" s="86"/>
      <c r="DZ865" s="86"/>
      <c r="EA865" s="86"/>
      <c r="EB865" s="86"/>
      <c r="EC865" s="86"/>
      <c r="ED865" s="86"/>
      <c r="EE865" s="86"/>
      <c r="EF865" s="86"/>
      <c r="EG865" s="86"/>
      <c r="EH865" s="86"/>
      <c r="EI865" s="86"/>
      <c r="EJ865" s="86"/>
      <c r="EK865" s="86"/>
      <c r="EL865" s="86"/>
      <c r="EM865" s="86"/>
      <c r="EN865" s="86"/>
    </row>
    <row r="866" spans="1:144" ht="1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8"/>
      <c r="O866" s="88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AS866" s="86"/>
      <c r="AT866" s="86"/>
      <c r="AU866" s="86"/>
      <c r="AV866" s="86"/>
      <c r="AW866" s="86"/>
      <c r="AX866" s="86"/>
      <c r="AY866" s="86"/>
      <c r="AZ866" s="86"/>
      <c r="BA866" s="86"/>
      <c r="BB866" s="86"/>
      <c r="BC866" s="86"/>
      <c r="BD866" s="86"/>
      <c r="BE866" s="86"/>
      <c r="BF866" s="86"/>
      <c r="BG866" s="86"/>
      <c r="BH866" s="86"/>
      <c r="BI866" s="86"/>
      <c r="BJ866" s="86"/>
      <c r="BK866" s="86"/>
      <c r="BL866" s="86"/>
      <c r="BM866" s="86"/>
      <c r="BN866" s="86"/>
      <c r="BO866" s="86"/>
      <c r="BP866" s="86"/>
      <c r="BQ866" s="86"/>
      <c r="BR866" s="86"/>
      <c r="BS866" s="86"/>
      <c r="BT866" s="86"/>
      <c r="BU866" s="86"/>
      <c r="BV866" s="86"/>
      <c r="BW866" s="86"/>
      <c r="BX866" s="86"/>
      <c r="BY866" s="86"/>
      <c r="BZ866" s="86"/>
      <c r="CA866" s="86"/>
      <c r="CB866" s="86"/>
      <c r="CC866" s="86"/>
      <c r="CD866" s="86"/>
      <c r="CE866" s="86"/>
      <c r="CF866" s="86"/>
      <c r="CG866" s="86"/>
      <c r="CH866" s="86"/>
      <c r="CI866" s="86"/>
      <c r="CJ866" s="86"/>
      <c r="CK866" s="86"/>
      <c r="CL866" s="86"/>
      <c r="CM866" s="86"/>
      <c r="CN866" s="86"/>
      <c r="CO866" s="86"/>
      <c r="CP866" s="86"/>
      <c r="CQ866" s="86"/>
      <c r="CR866" s="86"/>
      <c r="CS866" s="86"/>
      <c r="CT866" s="86"/>
      <c r="CU866" s="86"/>
      <c r="CV866" s="86"/>
      <c r="CW866" s="86"/>
      <c r="CX866" s="86"/>
      <c r="CY866" s="86"/>
      <c r="CZ866" s="86"/>
      <c r="DA866" s="86"/>
      <c r="DB866" s="86"/>
      <c r="DC866" s="86"/>
      <c r="DD866" s="86"/>
      <c r="DE866" s="86"/>
      <c r="DF866" s="86"/>
      <c r="DG866" s="86"/>
      <c r="DH866" s="86"/>
      <c r="DI866" s="86"/>
      <c r="DJ866" s="86"/>
      <c r="DK866" s="86"/>
      <c r="DL866" s="86"/>
      <c r="DM866" s="86"/>
      <c r="DN866" s="86"/>
      <c r="DO866" s="86"/>
      <c r="DP866" s="86"/>
      <c r="DQ866" s="86"/>
      <c r="DR866" s="118"/>
      <c r="DS866" s="118"/>
      <c r="DT866" s="86"/>
      <c r="DU866" s="86"/>
      <c r="DV866" s="86"/>
      <c r="DW866" s="86"/>
      <c r="DX866" s="86"/>
      <c r="DY866" s="86"/>
      <c r="DZ866" s="86"/>
      <c r="EA866" s="86"/>
      <c r="EB866" s="86"/>
      <c r="EC866" s="86"/>
      <c r="ED866" s="86"/>
      <c r="EE866" s="86"/>
      <c r="EF866" s="86"/>
      <c r="EG866" s="86"/>
      <c r="EH866" s="86"/>
      <c r="EI866" s="86"/>
      <c r="EJ866" s="86"/>
      <c r="EK866" s="86"/>
      <c r="EL866" s="86"/>
      <c r="EM866" s="86"/>
      <c r="EN866" s="86"/>
    </row>
    <row r="867" spans="1:144" ht="1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8"/>
      <c r="O867" s="88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AS867" s="86"/>
      <c r="AT867" s="86"/>
      <c r="AU867" s="86"/>
      <c r="AV867" s="86"/>
      <c r="AW867" s="86"/>
      <c r="AX867" s="86"/>
      <c r="AY867" s="86"/>
      <c r="AZ867" s="86"/>
      <c r="BA867" s="86"/>
      <c r="BB867" s="86"/>
      <c r="BC867" s="86"/>
      <c r="BD867" s="86"/>
      <c r="BE867" s="86"/>
      <c r="BF867" s="86"/>
      <c r="BG867" s="86"/>
      <c r="BH867" s="86"/>
      <c r="BI867" s="86"/>
      <c r="BJ867" s="86"/>
      <c r="BK867" s="86"/>
      <c r="BL867" s="86"/>
      <c r="BM867" s="86"/>
      <c r="BN867" s="86"/>
      <c r="BO867" s="86"/>
      <c r="BP867" s="86"/>
      <c r="BQ867" s="86"/>
      <c r="BR867" s="86"/>
      <c r="BS867" s="86"/>
      <c r="BT867" s="86"/>
      <c r="BU867" s="86"/>
      <c r="BV867" s="86"/>
      <c r="BW867" s="86"/>
      <c r="BX867" s="86"/>
      <c r="BY867" s="86"/>
      <c r="BZ867" s="86"/>
      <c r="CA867" s="86"/>
      <c r="CB867" s="86"/>
      <c r="CC867" s="86"/>
      <c r="CD867" s="86"/>
      <c r="CE867" s="86"/>
      <c r="CF867" s="86"/>
      <c r="CG867" s="86"/>
      <c r="CH867" s="86"/>
      <c r="CI867" s="86"/>
      <c r="CJ867" s="86"/>
      <c r="CK867" s="86"/>
      <c r="CL867" s="86"/>
      <c r="CM867" s="86"/>
      <c r="CN867" s="86"/>
      <c r="CO867" s="86"/>
      <c r="CP867" s="86"/>
      <c r="CQ867" s="86"/>
      <c r="CR867" s="86"/>
      <c r="CS867" s="86"/>
      <c r="CT867" s="86"/>
      <c r="CU867" s="86"/>
      <c r="CV867" s="86"/>
      <c r="CW867" s="86"/>
      <c r="CX867" s="86"/>
      <c r="CY867" s="86"/>
      <c r="CZ867" s="86"/>
      <c r="DA867" s="86"/>
      <c r="DB867" s="86"/>
      <c r="DC867" s="86"/>
      <c r="DD867" s="86"/>
      <c r="DE867" s="86"/>
      <c r="DF867" s="86"/>
      <c r="DG867" s="86"/>
      <c r="DH867" s="86"/>
      <c r="DI867" s="86"/>
      <c r="DJ867" s="86"/>
      <c r="DK867" s="86"/>
      <c r="DL867" s="86"/>
      <c r="DM867" s="86"/>
      <c r="DN867" s="86"/>
      <c r="DO867" s="86"/>
      <c r="DP867" s="86"/>
      <c r="DQ867" s="86"/>
      <c r="DR867" s="118"/>
      <c r="DS867" s="118"/>
      <c r="DT867" s="86"/>
      <c r="DU867" s="86"/>
      <c r="DV867" s="86"/>
      <c r="DW867" s="86"/>
      <c r="DX867" s="86"/>
      <c r="DY867" s="86"/>
      <c r="DZ867" s="86"/>
      <c r="EA867" s="86"/>
      <c r="EB867" s="86"/>
      <c r="EC867" s="86"/>
      <c r="ED867" s="86"/>
      <c r="EE867" s="86"/>
      <c r="EF867" s="86"/>
      <c r="EG867" s="86"/>
      <c r="EH867" s="86"/>
      <c r="EI867" s="86"/>
      <c r="EJ867" s="86"/>
      <c r="EK867" s="86"/>
      <c r="EL867" s="86"/>
      <c r="EM867" s="86"/>
      <c r="EN867" s="86"/>
    </row>
    <row r="868" spans="1:144" ht="1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8"/>
      <c r="O868" s="88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AS868" s="86"/>
      <c r="AT868" s="86"/>
      <c r="AU868" s="86"/>
      <c r="AV868" s="86"/>
      <c r="AW868" s="86"/>
      <c r="AX868" s="86"/>
      <c r="AY868" s="86"/>
      <c r="AZ868" s="86"/>
      <c r="BA868" s="86"/>
      <c r="BB868" s="86"/>
      <c r="BC868" s="86"/>
      <c r="BD868" s="86"/>
      <c r="BE868" s="86"/>
      <c r="BF868" s="86"/>
      <c r="BG868" s="86"/>
      <c r="BH868" s="86"/>
      <c r="BI868" s="86"/>
      <c r="BJ868" s="86"/>
      <c r="BK868" s="86"/>
      <c r="BL868" s="86"/>
      <c r="BM868" s="86"/>
      <c r="BN868" s="86"/>
      <c r="BO868" s="86"/>
      <c r="BP868" s="86"/>
      <c r="BQ868" s="86"/>
      <c r="BR868" s="86"/>
      <c r="BS868" s="86"/>
      <c r="BT868" s="86"/>
      <c r="BU868" s="86"/>
      <c r="BV868" s="86"/>
      <c r="BW868" s="86"/>
      <c r="BX868" s="86"/>
      <c r="BY868" s="86"/>
      <c r="BZ868" s="86"/>
      <c r="CA868" s="86"/>
      <c r="CB868" s="86"/>
      <c r="CC868" s="86"/>
      <c r="CD868" s="86"/>
      <c r="CE868" s="86"/>
      <c r="CF868" s="86"/>
      <c r="CG868" s="86"/>
      <c r="CH868" s="86"/>
      <c r="CI868" s="86"/>
      <c r="CJ868" s="86"/>
      <c r="CK868" s="86"/>
      <c r="CL868" s="86"/>
      <c r="CM868" s="86"/>
      <c r="CN868" s="86"/>
      <c r="CO868" s="86"/>
      <c r="CP868" s="86"/>
      <c r="CQ868" s="86"/>
      <c r="CR868" s="86"/>
      <c r="CS868" s="86"/>
      <c r="CT868" s="86"/>
      <c r="CU868" s="86"/>
      <c r="CV868" s="86"/>
      <c r="CW868" s="86"/>
      <c r="CX868" s="86"/>
      <c r="CY868" s="86"/>
      <c r="CZ868" s="86"/>
      <c r="DA868" s="86"/>
      <c r="DB868" s="86"/>
      <c r="DC868" s="86"/>
      <c r="DD868" s="86"/>
      <c r="DE868" s="86"/>
      <c r="DF868" s="86"/>
      <c r="DG868" s="86"/>
      <c r="DH868" s="86"/>
      <c r="DI868" s="86"/>
      <c r="DJ868" s="86"/>
      <c r="DK868" s="86"/>
      <c r="DL868" s="86"/>
      <c r="DM868" s="86"/>
      <c r="DN868" s="86"/>
      <c r="DO868" s="86"/>
      <c r="DP868" s="86"/>
      <c r="DQ868" s="86"/>
      <c r="DR868" s="118"/>
      <c r="DS868" s="118"/>
      <c r="DT868" s="86"/>
      <c r="DU868" s="86"/>
      <c r="DV868" s="86"/>
      <c r="DW868" s="86"/>
      <c r="DX868" s="86"/>
      <c r="DY868" s="86"/>
      <c r="DZ868" s="86"/>
      <c r="EA868" s="86"/>
      <c r="EB868" s="86"/>
      <c r="EC868" s="86"/>
      <c r="ED868" s="86"/>
      <c r="EE868" s="86"/>
      <c r="EF868" s="86"/>
      <c r="EG868" s="86"/>
      <c r="EH868" s="86"/>
      <c r="EI868" s="86"/>
      <c r="EJ868" s="86"/>
      <c r="EK868" s="86"/>
      <c r="EL868" s="86"/>
      <c r="EM868" s="86"/>
      <c r="EN868" s="86"/>
    </row>
    <row r="869" spans="1:144" ht="1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8"/>
      <c r="O869" s="88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86"/>
      <c r="AT869" s="86"/>
      <c r="AU869" s="86"/>
      <c r="AV869" s="86"/>
      <c r="AW869" s="86"/>
      <c r="AX869" s="86"/>
      <c r="AY869" s="86"/>
      <c r="AZ869" s="86"/>
      <c r="BA869" s="86"/>
      <c r="BB869" s="86"/>
      <c r="BC869" s="86"/>
      <c r="BD869" s="86"/>
      <c r="BE869" s="86"/>
      <c r="BF869" s="86"/>
      <c r="BG869" s="86"/>
      <c r="BH869" s="86"/>
      <c r="BI869" s="86"/>
      <c r="BJ869" s="86"/>
      <c r="BK869" s="86"/>
      <c r="BL869" s="86"/>
      <c r="BM869" s="86"/>
      <c r="BN869" s="86"/>
      <c r="BO869" s="86"/>
      <c r="BP869" s="86"/>
      <c r="BQ869" s="86"/>
      <c r="BR869" s="86"/>
      <c r="BS869" s="86"/>
      <c r="BT869" s="86"/>
      <c r="BU869" s="86"/>
      <c r="BV869" s="86"/>
      <c r="BW869" s="86"/>
      <c r="BX869" s="86"/>
      <c r="BY869" s="86"/>
      <c r="BZ869" s="86"/>
      <c r="CA869" s="86"/>
      <c r="CB869" s="86"/>
      <c r="CC869" s="86"/>
      <c r="CD869" s="86"/>
      <c r="CE869" s="86"/>
      <c r="CF869" s="86"/>
      <c r="CG869" s="86"/>
      <c r="CH869" s="86"/>
      <c r="CI869" s="86"/>
      <c r="CJ869" s="86"/>
      <c r="CK869" s="86"/>
      <c r="CL869" s="86"/>
      <c r="CM869" s="86"/>
      <c r="CN869" s="86"/>
      <c r="CO869" s="86"/>
      <c r="CP869" s="86"/>
      <c r="CQ869" s="86"/>
      <c r="CR869" s="86"/>
      <c r="CS869" s="86"/>
      <c r="CT869" s="86"/>
      <c r="CU869" s="86"/>
      <c r="CV869" s="86"/>
      <c r="CW869" s="86"/>
      <c r="CX869" s="86"/>
      <c r="CY869" s="86"/>
      <c r="CZ869" s="86"/>
      <c r="DA869" s="86"/>
      <c r="DB869" s="86"/>
      <c r="DC869" s="86"/>
      <c r="DD869" s="86"/>
      <c r="DE869" s="86"/>
      <c r="DF869" s="86"/>
      <c r="DG869" s="86"/>
      <c r="DH869" s="86"/>
      <c r="DI869" s="86"/>
      <c r="DJ869" s="86"/>
      <c r="DK869" s="86"/>
      <c r="DL869" s="86"/>
      <c r="DM869" s="86"/>
      <c r="DN869" s="86"/>
      <c r="DO869" s="86"/>
      <c r="DP869" s="86"/>
      <c r="DQ869" s="86"/>
      <c r="DR869" s="118"/>
      <c r="DS869" s="118"/>
      <c r="DT869" s="86"/>
      <c r="DU869" s="86"/>
      <c r="DV869" s="86"/>
      <c r="DW869" s="86"/>
      <c r="DX869" s="86"/>
      <c r="DY869" s="86"/>
      <c r="DZ869" s="86"/>
      <c r="EA869" s="86"/>
      <c r="EB869" s="86"/>
      <c r="EC869" s="86"/>
      <c r="ED869" s="86"/>
      <c r="EE869" s="86"/>
      <c r="EF869" s="86"/>
      <c r="EG869" s="86"/>
      <c r="EH869" s="86"/>
      <c r="EI869" s="86"/>
      <c r="EJ869" s="86"/>
      <c r="EK869" s="86"/>
      <c r="EL869" s="86"/>
      <c r="EM869" s="86"/>
      <c r="EN869" s="86"/>
    </row>
    <row r="870" spans="1:144" ht="1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8"/>
      <c r="O870" s="88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86"/>
      <c r="AT870" s="86"/>
      <c r="AU870" s="86"/>
      <c r="AV870" s="86"/>
      <c r="AW870" s="86"/>
      <c r="AX870" s="86"/>
      <c r="AY870" s="86"/>
      <c r="AZ870" s="86"/>
      <c r="BA870" s="86"/>
      <c r="BB870" s="86"/>
      <c r="BC870" s="86"/>
      <c r="BD870" s="86"/>
      <c r="BE870" s="86"/>
      <c r="BF870" s="86"/>
      <c r="BG870" s="86"/>
      <c r="BH870" s="86"/>
      <c r="BI870" s="86"/>
      <c r="BJ870" s="86"/>
      <c r="BK870" s="86"/>
      <c r="BL870" s="86"/>
      <c r="BM870" s="86"/>
      <c r="BN870" s="86"/>
      <c r="BO870" s="86"/>
      <c r="BP870" s="86"/>
      <c r="BQ870" s="86"/>
      <c r="BR870" s="86"/>
      <c r="BS870" s="86"/>
      <c r="BT870" s="86"/>
      <c r="BU870" s="86"/>
      <c r="BV870" s="86"/>
      <c r="BW870" s="86"/>
      <c r="BX870" s="86"/>
      <c r="BY870" s="86"/>
      <c r="BZ870" s="86"/>
      <c r="CA870" s="86"/>
      <c r="CB870" s="86"/>
      <c r="CC870" s="86"/>
      <c r="CD870" s="86"/>
      <c r="CE870" s="86"/>
      <c r="CF870" s="86"/>
      <c r="CG870" s="86"/>
      <c r="CH870" s="86"/>
      <c r="CI870" s="86"/>
      <c r="CJ870" s="86"/>
      <c r="CK870" s="86"/>
      <c r="CL870" s="86"/>
      <c r="CM870" s="86"/>
      <c r="CN870" s="86"/>
      <c r="CO870" s="86"/>
      <c r="CP870" s="86"/>
      <c r="CQ870" s="86"/>
      <c r="CR870" s="86"/>
      <c r="CS870" s="86"/>
      <c r="CT870" s="86"/>
      <c r="CU870" s="86"/>
      <c r="CV870" s="86"/>
      <c r="CW870" s="86"/>
      <c r="CX870" s="86"/>
      <c r="CY870" s="86"/>
      <c r="CZ870" s="86"/>
      <c r="DA870" s="86"/>
      <c r="DB870" s="86"/>
      <c r="DC870" s="86"/>
      <c r="DD870" s="86"/>
      <c r="DE870" s="86"/>
      <c r="DF870" s="86"/>
      <c r="DG870" s="86"/>
      <c r="DH870" s="86"/>
      <c r="DI870" s="86"/>
      <c r="DJ870" s="86"/>
      <c r="DK870" s="86"/>
      <c r="DL870" s="86"/>
      <c r="DM870" s="86"/>
      <c r="DN870" s="86"/>
      <c r="DO870" s="86"/>
      <c r="DP870" s="86"/>
      <c r="DQ870" s="86"/>
      <c r="DR870" s="118"/>
      <c r="DS870" s="118"/>
      <c r="DT870" s="86"/>
      <c r="DU870" s="86"/>
      <c r="DV870" s="86"/>
      <c r="DW870" s="86"/>
      <c r="DX870" s="86"/>
      <c r="DY870" s="86"/>
      <c r="DZ870" s="86"/>
      <c r="EA870" s="86"/>
      <c r="EB870" s="86"/>
      <c r="EC870" s="86"/>
      <c r="ED870" s="86"/>
      <c r="EE870" s="86"/>
      <c r="EF870" s="86"/>
      <c r="EG870" s="86"/>
      <c r="EH870" s="86"/>
      <c r="EI870" s="86"/>
      <c r="EJ870" s="86"/>
      <c r="EK870" s="86"/>
      <c r="EL870" s="86"/>
      <c r="EM870" s="86"/>
      <c r="EN870" s="86"/>
    </row>
    <row r="871" spans="1:144" ht="1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8"/>
      <c r="O871" s="88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86"/>
      <c r="AT871" s="86"/>
      <c r="AU871" s="86"/>
      <c r="AV871" s="86"/>
      <c r="AW871" s="86"/>
      <c r="AX871" s="86"/>
      <c r="AY871" s="86"/>
      <c r="AZ871" s="86"/>
      <c r="BA871" s="86"/>
      <c r="BB871" s="86"/>
      <c r="BC871" s="86"/>
      <c r="BD871" s="86"/>
      <c r="BE871" s="86"/>
      <c r="BF871" s="86"/>
      <c r="BG871" s="86"/>
      <c r="BH871" s="86"/>
      <c r="BI871" s="86"/>
      <c r="BJ871" s="86"/>
      <c r="BK871" s="86"/>
      <c r="BL871" s="86"/>
      <c r="BM871" s="86"/>
      <c r="BN871" s="86"/>
      <c r="BO871" s="86"/>
      <c r="BP871" s="86"/>
      <c r="BQ871" s="86"/>
      <c r="BR871" s="86"/>
      <c r="BS871" s="86"/>
      <c r="BT871" s="86"/>
      <c r="BU871" s="86"/>
      <c r="BV871" s="86"/>
      <c r="BW871" s="86"/>
      <c r="BX871" s="86"/>
      <c r="BY871" s="86"/>
      <c r="BZ871" s="86"/>
      <c r="CA871" s="86"/>
      <c r="CB871" s="86"/>
      <c r="CC871" s="86"/>
      <c r="CD871" s="86"/>
      <c r="CE871" s="86"/>
      <c r="CF871" s="86"/>
      <c r="CG871" s="86"/>
      <c r="CH871" s="86"/>
      <c r="CI871" s="86"/>
      <c r="CJ871" s="86"/>
      <c r="CK871" s="86"/>
      <c r="CL871" s="86"/>
      <c r="CM871" s="86"/>
      <c r="CN871" s="86"/>
      <c r="CO871" s="86"/>
      <c r="CP871" s="86"/>
      <c r="CQ871" s="86"/>
      <c r="CR871" s="86"/>
      <c r="CS871" s="86"/>
      <c r="CT871" s="86"/>
      <c r="CU871" s="86"/>
      <c r="CV871" s="86"/>
      <c r="CW871" s="86"/>
      <c r="CX871" s="86"/>
      <c r="CY871" s="86"/>
      <c r="CZ871" s="86"/>
      <c r="DA871" s="86"/>
      <c r="DB871" s="86"/>
      <c r="DC871" s="86"/>
      <c r="DD871" s="86"/>
      <c r="DE871" s="86"/>
      <c r="DF871" s="86"/>
      <c r="DG871" s="86"/>
      <c r="DH871" s="86"/>
      <c r="DI871" s="86"/>
      <c r="DJ871" s="86"/>
      <c r="DK871" s="86"/>
      <c r="DL871" s="86"/>
      <c r="DM871" s="86"/>
      <c r="DN871" s="86"/>
      <c r="DO871" s="86"/>
      <c r="DP871" s="86"/>
      <c r="DQ871" s="86"/>
      <c r="DR871" s="118"/>
      <c r="DS871" s="118"/>
      <c r="DT871" s="86"/>
      <c r="DU871" s="86"/>
      <c r="DV871" s="86"/>
      <c r="DW871" s="86"/>
      <c r="DX871" s="86"/>
      <c r="DY871" s="86"/>
      <c r="DZ871" s="86"/>
      <c r="EA871" s="86"/>
      <c r="EB871" s="86"/>
      <c r="EC871" s="86"/>
      <c r="ED871" s="86"/>
      <c r="EE871" s="86"/>
      <c r="EF871" s="86"/>
      <c r="EG871" s="86"/>
      <c r="EH871" s="86"/>
      <c r="EI871" s="86"/>
      <c r="EJ871" s="86"/>
      <c r="EK871" s="86"/>
      <c r="EL871" s="86"/>
      <c r="EM871" s="86"/>
      <c r="EN871" s="86"/>
    </row>
    <row r="872" spans="1:144" ht="1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8"/>
      <c r="O872" s="88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86"/>
      <c r="AT872" s="86"/>
      <c r="AU872" s="86"/>
      <c r="AV872" s="86"/>
      <c r="AW872" s="86"/>
      <c r="AX872" s="86"/>
      <c r="AY872" s="86"/>
      <c r="AZ872" s="86"/>
      <c r="BA872" s="86"/>
      <c r="BB872" s="86"/>
      <c r="BC872" s="86"/>
      <c r="BD872" s="86"/>
      <c r="BE872" s="86"/>
      <c r="BF872" s="86"/>
      <c r="BG872" s="86"/>
      <c r="BH872" s="86"/>
      <c r="BI872" s="86"/>
      <c r="BJ872" s="86"/>
      <c r="BK872" s="86"/>
      <c r="BL872" s="86"/>
      <c r="BM872" s="86"/>
      <c r="BN872" s="86"/>
      <c r="BO872" s="86"/>
      <c r="BP872" s="86"/>
      <c r="BQ872" s="86"/>
      <c r="BR872" s="86"/>
      <c r="BS872" s="86"/>
      <c r="BT872" s="86"/>
      <c r="BU872" s="86"/>
      <c r="BV872" s="86"/>
      <c r="BW872" s="86"/>
      <c r="BX872" s="86"/>
      <c r="BY872" s="86"/>
      <c r="BZ872" s="86"/>
      <c r="CA872" s="86"/>
      <c r="CB872" s="86"/>
      <c r="CC872" s="86"/>
      <c r="CD872" s="86"/>
      <c r="CE872" s="86"/>
      <c r="CF872" s="86"/>
      <c r="CG872" s="86"/>
      <c r="CH872" s="86"/>
      <c r="CI872" s="86"/>
      <c r="CJ872" s="86"/>
      <c r="CK872" s="86"/>
      <c r="CL872" s="86"/>
      <c r="CM872" s="86"/>
      <c r="CN872" s="86"/>
      <c r="CO872" s="86"/>
      <c r="CP872" s="86"/>
      <c r="CQ872" s="86"/>
      <c r="CR872" s="86"/>
      <c r="CS872" s="86"/>
      <c r="CT872" s="86"/>
      <c r="CU872" s="86"/>
      <c r="CV872" s="86"/>
      <c r="CW872" s="86"/>
      <c r="CX872" s="86"/>
      <c r="CY872" s="86"/>
      <c r="CZ872" s="86"/>
      <c r="DA872" s="86"/>
      <c r="DB872" s="86"/>
      <c r="DC872" s="86"/>
      <c r="DD872" s="86"/>
      <c r="DE872" s="86"/>
      <c r="DF872" s="86"/>
      <c r="DG872" s="86"/>
      <c r="DH872" s="86"/>
      <c r="DI872" s="86"/>
      <c r="DJ872" s="86"/>
      <c r="DK872" s="86"/>
      <c r="DL872" s="86"/>
      <c r="DM872" s="86"/>
      <c r="DN872" s="86"/>
      <c r="DO872" s="86"/>
      <c r="DP872" s="86"/>
      <c r="DQ872" s="86"/>
      <c r="DR872" s="118"/>
      <c r="DS872" s="118"/>
      <c r="DT872" s="86"/>
      <c r="DU872" s="86"/>
      <c r="DV872" s="86"/>
      <c r="DW872" s="86"/>
      <c r="DX872" s="86"/>
      <c r="DY872" s="86"/>
      <c r="DZ872" s="86"/>
      <c r="EA872" s="86"/>
      <c r="EB872" s="86"/>
      <c r="EC872" s="86"/>
      <c r="ED872" s="86"/>
      <c r="EE872" s="86"/>
      <c r="EF872" s="86"/>
      <c r="EG872" s="86"/>
      <c r="EH872" s="86"/>
      <c r="EI872" s="86"/>
      <c r="EJ872" s="86"/>
      <c r="EK872" s="86"/>
      <c r="EL872" s="86"/>
      <c r="EM872" s="86"/>
      <c r="EN872" s="86"/>
    </row>
    <row r="873" spans="1:144" ht="1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8"/>
      <c r="O873" s="88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AS873" s="86"/>
      <c r="AT873" s="86"/>
      <c r="AU873" s="86"/>
      <c r="AV873" s="86"/>
      <c r="AW873" s="86"/>
      <c r="AX873" s="86"/>
      <c r="AY873" s="86"/>
      <c r="AZ873" s="86"/>
      <c r="BA873" s="86"/>
      <c r="BB873" s="86"/>
      <c r="BC873" s="86"/>
      <c r="BD873" s="86"/>
      <c r="BE873" s="86"/>
      <c r="BF873" s="86"/>
      <c r="BG873" s="86"/>
      <c r="BH873" s="86"/>
      <c r="BI873" s="86"/>
      <c r="BJ873" s="86"/>
      <c r="BK873" s="86"/>
      <c r="BL873" s="86"/>
      <c r="BM873" s="86"/>
      <c r="BN873" s="86"/>
      <c r="BO873" s="86"/>
      <c r="BP873" s="86"/>
      <c r="BQ873" s="86"/>
      <c r="BR873" s="86"/>
      <c r="BS873" s="86"/>
      <c r="BT873" s="86"/>
      <c r="BU873" s="86"/>
      <c r="BV873" s="86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  <c r="CO873" s="86"/>
      <c r="CP873" s="86"/>
      <c r="CQ873" s="86"/>
      <c r="CR873" s="86"/>
      <c r="CS873" s="86"/>
      <c r="CT873" s="86"/>
      <c r="CU873" s="86"/>
      <c r="CV873" s="86"/>
      <c r="CW873" s="86"/>
      <c r="CX873" s="86"/>
      <c r="CY873" s="86"/>
      <c r="CZ873" s="86"/>
      <c r="DA873" s="86"/>
      <c r="DB873" s="86"/>
      <c r="DC873" s="86"/>
      <c r="DD873" s="86"/>
      <c r="DE873" s="86"/>
      <c r="DF873" s="86"/>
      <c r="DG873" s="86"/>
      <c r="DH873" s="86"/>
      <c r="DI873" s="86"/>
      <c r="DJ873" s="86"/>
      <c r="DK873" s="86"/>
      <c r="DL873" s="86"/>
      <c r="DM873" s="86"/>
      <c r="DN873" s="86"/>
      <c r="DO873" s="86"/>
      <c r="DP873" s="86"/>
      <c r="DQ873" s="86"/>
      <c r="DR873" s="118"/>
      <c r="DS873" s="118"/>
      <c r="DT873" s="86"/>
      <c r="DU873" s="86"/>
      <c r="DV873" s="86"/>
      <c r="DW873" s="86"/>
      <c r="DX873" s="86"/>
      <c r="DY873" s="86"/>
      <c r="DZ873" s="86"/>
      <c r="EA873" s="86"/>
      <c r="EB873" s="86"/>
      <c r="EC873" s="86"/>
      <c r="ED873" s="86"/>
      <c r="EE873" s="86"/>
      <c r="EF873" s="86"/>
      <c r="EG873" s="86"/>
      <c r="EH873" s="86"/>
      <c r="EI873" s="86"/>
      <c r="EJ873" s="86"/>
      <c r="EK873" s="86"/>
      <c r="EL873" s="86"/>
      <c r="EM873" s="86"/>
      <c r="EN873" s="86"/>
    </row>
    <row r="874" spans="1:144" ht="1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8"/>
      <c r="O874" s="88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AS874" s="86"/>
      <c r="AT874" s="86"/>
      <c r="AU874" s="86"/>
      <c r="AV874" s="86"/>
      <c r="AW874" s="86"/>
      <c r="AX874" s="86"/>
      <c r="AY874" s="86"/>
      <c r="AZ874" s="86"/>
      <c r="BA874" s="86"/>
      <c r="BB874" s="86"/>
      <c r="BC874" s="86"/>
      <c r="BD874" s="86"/>
      <c r="BE874" s="86"/>
      <c r="BF874" s="86"/>
      <c r="BG874" s="86"/>
      <c r="BH874" s="86"/>
      <c r="BI874" s="86"/>
      <c r="BJ874" s="86"/>
      <c r="BK874" s="86"/>
      <c r="BL874" s="86"/>
      <c r="BM874" s="86"/>
      <c r="BN874" s="86"/>
      <c r="BO874" s="86"/>
      <c r="BP874" s="86"/>
      <c r="BQ874" s="86"/>
      <c r="BR874" s="86"/>
      <c r="BS874" s="86"/>
      <c r="BT874" s="86"/>
      <c r="BU874" s="86"/>
      <c r="BV874" s="86"/>
      <c r="BW874" s="86"/>
      <c r="BX874" s="86"/>
      <c r="BY874" s="86"/>
      <c r="BZ874" s="86"/>
      <c r="CA874" s="86"/>
      <c r="CB874" s="86"/>
      <c r="CC874" s="86"/>
      <c r="CD874" s="86"/>
      <c r="CE874" s="86"/>
      <c r="CF874" s="86"/>
      <c r="CG874" s="86"/>
      <c r="CH874" s="86"/>
      <c r="CI874" s="86"/>
      <c r="CJ874" s="86"/>
      <c r="CK874" s="86"/>
      <c r="CL874" s="86"/>
      <c r="CM874" s="86"/>
      <c r="CN874" s="86"/>
      <c r="CO874" s="86"/>
      <c r="CP874" s="86"/>
      <c r="CQ874" s="86"/>
      <c r="CR874" s="86"/>
      <c r="CS874" s="86"/>
      <c r="CT874" s="86"/>
      <c r="CU874" s="86"/>
      <c r="CV874" s="86"/>
      <c r="CW874" s="86"/>
      <c r="CX874" s="86"/>
      <c r="CY874" s="86"/>
      <c r="CZ874" s="86"/>
      <c r="DA874" s="86"/>
      <c r="DB874" s="86"/>
      <c r="DC874" s="86"/>
      <c r="DD874" s="86"/>
      <c r="DE874" s="86"/>
      <c r="DF874" s="86"/>
      <c r="DG874" s="86"/>
      <c r="DH874" s="86"/>
      <c r="DI874" s="86"/>
      <c r="DJ874" s="86"/>
      <c r="DK874" s="86"/>
      <c r="DL874" s="86"/>
      <c r="DM874" s="86"/>
      <c r="DN874" s="86"/>
      <c r="DO874" s="86"/>
      <c r="DP874" s="86"/>
      <c r="DQ874" s="86"/>
      <c r="DR874" s="118"/>
      <c r="DS874" s="118"/>
      <c r="DT874" s="86"/>
      <c r="DU874" s="86"/>
      <c r="DV874" s="86"/>
      <c r="DW874" s="86"/>
      <c r="DX874" s="86"/>
      <c r="DY874" s="86"/>
      <c r="DZ874" s="86"/>
      <c r="EA874" s="86"/>
      <c r="EB874" s="86"/>
      <c r="EC874" s="86"/>
      <c r="ED874" s="86"/>
      <c r="EE874" s="86"/>
      <c r="EF874" s="86"/>
      <c r="EG874" s="86"/>
      <c r="EH874" s="86"/>
      <c r="EI874" s="86"/>
      <c r="EJ874" s="86"/>
      <c r="EK874" s="86"/>
      <c r="EL874" s="86"/>
      <c r="EM874" s="86"/>
      <c r="EN874" s="86"/>
    </row>
    <row r="875" spans="1:144" ht="1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8"/>
      <c r="O875" s="88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AS875" s="86"/>
      <c r="AT875" s="86"/>
      <c r="AU875" s="86"/>
      <c r="AV875" s="86"/>
      <c r="AW875" s="86"/>
      <c r="AX875" s="86"/>
      <c r="AY875" s="86"/>
      <c r="AZ875" s="86"/>
      <c r="BA875" s="86"/>
      <c r="BB875" s="86"/>
      <c r="BC875" s="86"/>
      <c r="BD875" s="86"/>
      <c r="BE875" s="86"/>
      <c r="BF875" s="86"/>
      <c r="BG875" s="86"/>
      <c r="BH875" s="86"/>
      <c r="BI875" s="86"/>
      <c r="BJ875" s="86"/>
      <c r="BK875" s="86"/>
      <c r="BL875" s="86"/>
      <c r="BM875" s="86"/>
      <c r="BN875" s="86"/>
      <c r="BO875" s="86"/>
      <c r="BP875" s="86"/>
      <c r="BQ875" s="86"/>
      <c r="BR875" s="86"/>
      <c r="BS875" s="86"/>
      <c r="BT875" s="86"/>
      <c r="BU875" s="86"/>
      <c r="BV875" s="86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  <c r="CO875" s="86"/>
      <c r="CP875" s="86"/>
      <c r="CQ875" s="86"/>
      <c r="CR875" s="86"/>
      <c r="CS875" s="86"/>
      <c r="CT875" s="86"/>
      <c r="CU875" s="86"/>
      <c r="CV875" s="86"/>
      <c r="CW875" s="86"/>
      <c r="CX875" s="86"/>
      <c r="CY875" s="86"/>
      <c r="CZ875" s="86"/>
      <c r="DA875" s="86"/>
      <c r="DB875" s="86"/>
      <c r="DC875" s="86"/>
      <c r="DD875" s="86"/>
      <c r="DE875" s="86"/>
      <c r="DF875" s="86"/>
      <c r="DG875" s="86"/>
      <c r="DH875" s="86"/>
      <c r="DI875" s="86"/>
      <c r="DJ875" s="86"/>
      <c r="DK875" s="86"/>
      <c r="DL875" s="86"/>
      <c r="DM875" s="86"/>
      <c r="DN875" s="86"/>
      <c r="DO875" s="86"/>
      <c r="DP875" s="86"/>
      <c r="DQ875" s="86"/>
      <c r="DR875" s="118"/>
      <c r="DS875" s="118"/>
      <c r="DT875" s="86"/>
      <c r="DU875" s="86"/>
      <c r="DV875" s="86"/>
      <c r="DW875" s="86"/>
      <c r="DX875" s="86"/>
      <c r="DY875" s="86"/>
      <c r="DZ875" s="86"/>
      <c r="EA875" s="86"/>
      <c r="EB875" s="86"/>
      <c r="EC875" s="86"/>
      <c r="ED875" s="86"/>
      <c r="EE875" s="86"/>
      <c r="EF875" s="86"/>
      <c r="EG875" s="86"/>
      <c r="EH875" s="86"/>
      <c r="EI875" s="86"/>
      <c r="EJ875" s="86"/>
      <c r="EK875" s="86"/>
      <c r="EL875" s="86"/>
      <c r="EM875" s="86"/>
      <c r="EN875" s="86"/>
    </row>
    <row r="876" spans="1:144" ht="1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8"/>
      <c r="O876" s="88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86"/>
      <c r="AT876" s="86"/>
      <c r="AU876" s="86"/>
      <c r="AV876" s="86"/>
      <c r="AW876" s="86"/>
      <c r="AX876" s="86"/>
      <c r="AY876" s="86"/>
      <c r="AZ876" s="86"/>
      <c r="BA876" s="86"/>
      <c r="BB876" s="86"/>
      <c r="BC876" s="86"/>
      <c r="BD876" s="86"/>
      <c r="BE876" s="86"/>
      <c r="BF876" s="86"/>
      <c r="BG876" s="86"/>
      <c r="BH876" s="86"/>
      <c r="BI876" s="86"/>
      <c r="BJ876" s="86"/>
      <c r="BK876" s="86"/>
      <c r="BL876" s="86"/>
      <c r="BM876" s="86"/>
      <c r="BN876" s="86"/>
      <c r="BO876" s="86"/>
      <c r="BP876" s="86"/>
      <c r="BQ876" s="86"/>
      <c r="BR876" s="86"/>
      <c r="BS876" s="86"/>
      <c r="BT876" s="86"/>
      <c r="BU876" s="86"/>
      <c r="BV876" s="86"/>
      <c r="BW876" s="86"/>
      <c r="BX876" s="86"/>
      <c r="BY876" s="86"/>
      <c r="BZ876" s="86"/>
      <c r="CA876" s="86"/>
      <c r="CB876" s="86"/>
      <c r="CC876" s="86"/>
      <c r="CD876" s="86"/>
      <c r="CE876" s="86"/>
      <c r="CF876" s="86"/>
      <c r="CG876" s="86"/>
      <c r="CH876" s="86"/>
      <c r="CI876" s="86"/>
      <c r="CJ876" s="86"/>
      <c r="CK876" s="86"/>
      <c r="CL876" s="86"/>
      <c r="CM876" s="86"/>
      <c r="CN876" s="86"/>
      <c r="CO876" s="86"/>
      <c r="CP876" s="86"/>
      <c r="CQ876" s="86"/>
      <c r="CR876" s="86"/>
      <c r="CS876" s="86"/>
      <c r="CT876" s="86"/>
      <c r="CU876" s="86"/>
      <c r="CV876" s="86"/>
      <c r="CW876" s="86"/>
      <c r="CX876" s="86"/>
      <c r="CY876" s="86"/>
      <c r="CZ876" s="86"/>
      <c r="DA876" s="86"/>
      <c r="DB876" s="86"/>
      <c r="DC876" s="86"/>
      <c r="DD876" s="86"/>
      <c r="DE876" s="86"/>
      <c r="DF876" s="86"/>
      <c r="DG876" s="86"/>
      <c r="DH876" s="86"/>
      <c r="DI876" s="86"/>
      <c r="DJ876" s="86"/>
      <c r="DK876" s="86"/>
      <c r="DL876" s="86"/>
      <c r="DM876" s="86"/>
      <c r="DN876" s="86"/>
      <c r="DO876" s="86"/>
      <c r="DP876" s="86"/>
      <c r="DQ876" s="86"/>
      <c r="DR876" s="118"/>
      <c r="DS876" s="118"/>
      <c r="DT876" s="86"/>
      <c r="DU876" s="86"/>
      <c r="DV876" s="86"/>
      <c r="DW876" s="86"/>
      <c r="DX876" s="86"/>
      <c r="DY876" s="86"/>
      <c r="DZ876" s="86"/>
      <c r="EA876" s="86"/>
      <c r="EB876" s="86"/>
      <c r="EC876" s="86"/>
      <c r="ED876" s="86"/>
      <c r="EE876" s="86"/>
      <c r="EF876" s="86"/>
      <c r="EG876" s="86"/>
      <c r="EH876" s="86"/>
      <c r="EI876" s="86"/>
      <c r="EJ876" s="86"/>
      <c r="EK876" s="86"/>
      <c r="EL876" s="86"/>
      <c r="EM876" s="86"/>
      <c r="EN876" s="86"/>
    </row>
    <row r="877" spans="1:144" ht="1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8"/>
      <c r="O877" s="88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 s="86"/>
      <c r="BH877" s="86"/>
      <c r="BI877" s="86"/>
      <c r="BJ877" s="86"/>
      <c r="BK877" s="86"/>
      <c r="BL877" s="86"/>
      <c r="BM877" s="86"/>
      <c r="BN877" s="86"/>
      <c r="BO877" s="86"/>
      <c r="BP877" s="86"/>
      <c r="BQ877" s="86"/>
      <c r="BR877" s="86"/>
      <c r="BS877" s="86"/>
      <c r="BT877" s="86"/>
      <c r="BU877" s="86"/>
      <c r="BV877" s="86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  <c r="CO877" s="86"/>
      <c r="CP877" s="86"/>
      <c r="CQ877" s="86"/>
      <c r="CR877" s="86"/>
      <c r="CS877" s="86"/>
      <c r="CT877" s="86"/>
      <c r="CU877" s="86"/>
      <c r="CV877" s="86"/>
      <c r="CW877" s="86"/>
      <c r="CX877" s="86"/>
      <c r="CY877" s="86"/>
      <c r="CZ877" s="86"/>
      <c r="DA877" s="86"/>
      <c r="DB877" s="86"/>
      <c r="DC877" s="86"/>
      <c r="DD877" s="86"/>
      <c r="DE877" s="86"/>
      <c r="DF877" s="86"/>
      <c r="DG877" s="86"/>
      <c r="DH877" s="86"/>
      <c r="DI877" s="86"/>
      <c r="DJ877" s="86"/>
      <c r="DK877" s="86"/>
      <c r="DL877" s="86"/>
      <c r="DM877" s="86"/>
      <c r="DN877" s="86"/>
      <c r="DO877" s="86"/>
      <c r="DP877" s="86"/>
      <c r="DQ877" s="86"/>
      <c r="DR877" s="118"/>
      <c r="DS877" s="118"/>
      <c r="DT877" s="86"/>
      <c r="DU877" s="86"/>
      <c r="DV877" s="86"/>
      <c r="DW877" s="86"/>
      <c r="DX877" s="86"/>
      <c r="DY877" s="86"/>
      <c r="DZ877" s="86"/>
      <c r="EA877" s="86"/>
      <c r="EB877" s="86"/>
      <c r="EC877" s="86"/>
      <c r="ED877" s="86"/>
      <c r="EE877" s="86"/>
      <c r="EF877" s="86"/>
      <c r="EG877" s="86"/>
      <c r="EH877" s="86"/>
      <c r="EI877" s="86"/>
      <c r="EJ877" s="86"/>
      <c r="EK877" s="86"/>
      <c r="EL877" s="86"/>
      <c r="EM877" s="86"/>
      <c r="EN877" s="86"/>
    </row>
    <row r="878" spans="1:144" ht="1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8"/>
      <c r="O878" s="88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86"/>
      <c r="AT878" s="86"/>
      <c r="AU878" s="86"/>
      <c r="AV878" s="86"/>
      <c r="AW878" s="86"/>
      <c r="AX878" s="86"/>
      <c r="AY878" s="86"/>
      <c r="AZ878" s="86"/>
      <c r="BA878" s="86"/>
      <c r="BB878" s="86"/>
      <c r="BC878" s="86"/>
      <c r="BD878" s="86"/>
      <c r="BE878" s="86"/>
      <c r="BF878" s="86"/>
      <c r="BG878" s="86"/>
      <c r="BH878" s="86"/>
      <c r="BI878" s="86"/>
      <c r="BJ878" s="86"/>
      <c r="BK878" s="86"/>
      <c r="BL878" s="86"/>
      <c r="BM878" s="86"/>
      <c r="BN878" s="86"/>
      <c r="BO878" s="86"/>
      <c r="BP878" s="86"/>
      <c r="BQ878" s="86"/>
      <c r="BR878" s="86"/>
      <c r="BS878" s="86"/>
      <c r="BT878" s="86"/>
      <c r="BU878" s="86"/>
      <c r="BV878" s="86"/>
      <c r="BW878" s="86"/>
      <c r="BX878" s="86"/>
      <c r="BY878" s="86"/>
      <c r="BZ878" s="86"/>
      <c r="CA878" s="86"/>
      <c r="CB878" s="86"/>
      <c r="CC878" s="86"/>
      <c r="CD878" s="86"/>
      <c r="CE878" s="86"/>
      <c r="CF878" s="86"/>
      <c r="CG878" s="86"/>
      <c r="CH878" s="86"/>
      <c r="CI878" s="86"/>
      <c r="CJ878" s="86"/>
      <c r="CK878" s="86"/>
      <c r="CL878" s="86"/>
      <c r="CM878" s="86"/>
      <c r="CN878" s="86"/>
      <c r="CO878" s="86"/>
      <c r="CP878" s="86"/>
      <c r="CQ878" s="86"/>
      <c r="CR878" s="86"/>
      <c r="CS878" s="86"/>
      <c r="CT878" s="86"/>
      <c r="CU878" s="86"/>
      <c r="CV878" s="86"/>
      <c r="CW878" s="86"/>
      <c r="CX878" s="86"/>
      <c r="CY878" s="86"/>
      <c r="CZ878" s="86"/>
      <c r="DA878" s="86"/>
      <c r="DB878" s="86"/>
      <c r="DC878" s="86"/>
      <c r="DD878" s="86"/>
      <c r="DE878" s="86"/>
      <c r="DF878" s="86"/>
      <c r="DG878" s="86"/>
      <c r="DH878" s="86"/>
      <c r="DI878" s="86"/>
      <c r="DJ878" s="86"/>
      <c r="DK878" s="86"/>
      <c r="DL878" s="86"/>
      <c r="DM878" s="86"/>
      <c r="DN878" s="86"/>
      <c r="DO878" s="86"/>
      <c r="DP878" s="86"/>
      <c r="DQ878" s="86"/>
      <c r="DR878" s="118"/>
      <c r="DS878" s="118"/>
      <c r="DT878" s="86"/>
      <c r="DU878" s="86"/>
      <c r="DV878" s="86"/>
      <c r="DW878" s="86"/>
      <c r="DX878" s="86"/>
      <c r="DY878" s="86"/>
      <c r="DZ878" s="86"/>
      <c r="EA878" s="86"/>
      <c r="EB878" s="86"/>
      <c r="EC878" s="86"/>
      <c r="ED878" s="86"/>
      <c r="EE878" s="86"/>
      <c r="EF878" s="86"/>
      <c r="EG878" s="86"/>
      <c r="EH878" s="86"/>
      <c r="EI878" s="86"/>
      <c r="EJ878" s="86"/>
      <c r="EK878" s="86"/>
      <c r="EL878" s="86"/>
      <c r="EM878" s="86"/>
      <c r="EN878" s="86"/>
    </row>
    <row r="879" spans="1:144" ht="1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8"/>
      <c r="O879" s="88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86"/>
      <c r="AT879" s="86"/>
      <c r="AU879" s="86"/>
      <c r="AV879" s="86"/>
      <c r="AW879" s="86"/>
      <c r="AX879" s="86"/>
      <c r="AY879" s="86"/>
      <c r="AZ879" s="86"/>
      <c r="BA879" s="86"/>
      <c r="BB879" s="86"/>
      <c r="BC879" s="86"/>
      <c r="BD879" s="86"/>
      <c r="BE879" s="86"/>
      <c r="BF879" s="86"/>
      <c r="BG879" s="86"/>
      <c r="BH879" s="86"/>
      <c r="BI879" s="86"/>
      <c r="BJ879" s="86"/>
      <c r="BK879" s="86"/>
      <c r="BL879" s="86"/>
      <c r="BM879" s="86"/>
      <c r="BN879" s="86"/>
      <c r="BO879" s="86"/>
      <c r="BP879" s="86"/>
      <c r="BQ879" s="86"/>
      <c r="BR879" s="86"/>
      <c r="BS879" s="86"/>
      <c r="BT879" s="86"/>
      <c r="BU879" s="86"/>
      <c r="BV879" s="86"/>
      <c r="BW879" s="86"/>
      <c r="BX879" s="86"/>
      <c r="BY879" s="86"/>
      <c r="BZ879" s="86"/>
      <c r="CA879" s="86"/>
      <c r="CB879" s="86"/>
      <c r="CC879" s="86"/>
      <c r="CD879" s="86"/>
      <c r="CE879" s="86"/>
      <c r="CF879" s="86"/>
      <c r="CG879" s="86"/>
      <c r="CH879" s="86"/>
      <c r="CI879" s="86"/>
      <c r="CJ879" s="86"/>
      <c r="CK879" s="86"/>
      <c r="CL879" s="86"/>
      <c r="CM879" s="86"/>
      <c r="CN879" s="86"/>
      <c r="CO879" s="86"/>
      <c r="CP879" s="86"/>
      <c r="CQ879" s="86"/>
      <c r="CR879" s="86"/>
      <c r="CS879" s="86"/>
      <c r="CT879" s="86"/>
      <c r="CU879" s="86"/>
      <c r="CV879" s="86"/>
      <c r="CW879" s="86"/>
      <c r="CX879" s="86"/>
      <c r="CY879" s="86"/>
      <c r="CZ879" s="86"/>
      <c r="DA879" s="86"/>
      <c r="DB879" s="86"/>
      <c r="DC879" s="86"/>
      <c r="DD879" s="86"/>
      <c r="DE879" s="86"/>
      <c r="DF879" s="86"/>
      <c r="DG879" s="86"/>
      <c r="DH879" s="86"/>
      <c r="DI879" s="86"/>
      <c r="DJ879" s="86"/>
      <c r="DK879" s="86"/>
      <c r="DL879" s="86"/>
      <c r="DM879" s="86"/>
      <c r="DN879" s="86"/>
      <c r="DO879" s="86"/>
      <c r="DP879" s="86"/>
      <c r="DQ879" s="86"/>
      <c r="DR879" s="118"/>
      <c r="DS879" s="118"/>
      <c r="DT879" s="86"/>
      <c r="DU879" s="86"/>
      <c r="DV879" s="86"/>
      <c r="DW879" s="86"/>
      <c r="DX879" s="86"/>
      <c r="DY879" s="86"/>
      <c r="DZ879" s="86"/>
      <c r="EA879" s="86"/>
      <c r="EB879" s="86"/>
      <c r="EC879" s="86"/>
      <c r="ED879" s="86"/>
      <c r="EE879" s="86"/>
      <c r="EF879" s="86"/>
      <c r="EG879" s="86"/>
      <c r="EH879" s="86"/>
      <c r="EI879" s="86"/>
      <c r="EJ879" s="86"/>
      <c r="EK879" s="86"/>
      <c r="EL879" s="86"/>
      <c r="EM879" s="86"/>
      <c r="EN879" s="86"/>
    </row>
    <row r="880" spans="1:144" ht="1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8"/>
      <c r="O880" s="88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86"/>
      <c r="AT880" s="86"/>
      <c r="AU880" s="86"/>
      <c r="AV880" s="86"/>
      <c r="AW880" s="86"/>
      <c r="AX880" s="86"/>
      <c r="AY880" s="86"/>
      <c r="AZ880" s="86"/>
      <c r="BA880" s="86"/>
      <c r="BB880" s="86"/>
      <c r="BC880" s="86"/>
      <c r="BD880" s="86"/>
      <c r="BE880" s="86"/>
      <c r="BF880" s="86"/>
      <c r="BG880" s="86"/>
      <c r="BH880" s="86"/>
      <c r="BI880" s="86"/>
      <c r="BJ880" s="86"/>
      <c r="BK880" s="86"/>
      <c r="BL880" s="86"/>
      <c r="BM880" s="86"/>
      <c r="BN880" s="86"/>
      <c r="BO880" s="86"/>
      <c r="BP880" s="86"/>
      <c r="BQ880" s="86"/>
      <c r="BR880" s="86"/>
      <c r="BS880" s="86"/>
      <c r="BT880" s="86"/>
      <c r="BU880" s="86"/>
      <c r="BV880" s="86"/>
      <c r="BW880" s="86"/>
      <c r="BX880" s="86"/>
      <c r="BY880" s="86"/>
      <c r="BZ880" s="86"/>
      <c r="CA880" s="86"/>
      <c r="CB880" s="86"/>
      <c r="CC880" s="86"/>
      <c r="CD880" s="86"/>
      <c r="CE880" s="86"/>
      <c r="CF880" s="86"/>
      <c r="CG880" s="86"/>
      <c r="CH880" s="86"/>
      <c r="CI880" s="86"/>
      <c r="CJ880" s="86"/>
      <c r="CK880" s="86"/>
      <c r="CL880" s="86"/>
      <c r="CM880" s="86"/>
      <c r="CN880" s="86"/>
      <c r="CO880" s="86"/>
      <c r="CP880" s="86"/>
      <c r="CQ880" s="86"/>
      <c r="CR880" s="86"/>
      <c r="CS880" s="86"/>
      <c r="CT880" s="86"/>
      <c r="CU880" s="86"/>
      <c r="CV880" s="86"/>
      <c r="CW880" s="86"/>
      <c r="CX880" s="86"/>
      <c r="CY880" s="86"/>
      <c r="CZ880" s="86"/>
      <c r="DA880" s="86"/>
      <c r="DB880" s="86"/>
      <c r="DC880" s="86"/>
      <c r="DD880" s="86"/>
      <c r="DE880" s="86"/>
      <c r="DF880" s="86"/>
      <c r="DG880" s="86"/>
      <c r="DH880" s="86"/>
      <c r="DI880" s="86"/>
      <c r="DJ880" s="86"/>
      <c r="DK880" s="86"/>
      <c r="DL880" s="86"/>
      <c r="DM880" s="86"/>
      <c r="DN880" s="86"/>
      <c r="DO880" s="86"/>
      <c r="DP880" s="86"/>
      <c r="DQ880" s="86"/>
      <c r="DR880" s="118"/>
      <c r="DS880" s="118"/>
      <c r="DT880" s="86"/>
      <c r="DU880" s="86"/>
      <c r="DV880" s="86"/>
      <c r="DW880" s="86"/>
      <c r="DX880" s="86"/>
      <c r="DY880" s="86"/>
      <c r="DZ880" s="86"/>
      <c r="EA880" s="86"/>
      <c r="EB880" s="86"/>
      <c r="EC880" s="86"/>
      <c r="ED880" s="86"/>
      <c r="EE880" s="86"/>
      <c r="EF880" s="86"/>
      <c r="EG880" s="86"/>
      <c r="EH880" s="86"/>
      <c r="EI880" s="86"/>
      <c r="EJ880" s="86"/>
      <c r="EK880" s="86"/>
      <c r="EL880" s="86"/>
      <c r="EM880" s="86"/>
      <c r="EN880" s="86"/>
    </row>
    <row r="881" spans="1:144" ht="1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8"/>
      <c r="O881" s="88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86"/>
      <c r="BE881" s="86"/>
      <c r="BF881" s="86"/>
      <c r="BG881" s="86"/>
      <c r="BH881" s="86"/>
      <c r="BI881" s="86"/>
      <c r="BJ881" s="86"/>
      <c r="BK881" s="86"/>
      <c r="BL881" s="86"/>
      <c r="BM881" s="86"/>
      <c r="BN881" s="86"/>
      <c r="BO881" s="86"/>
      <c r="BP881" s="86"/>
      <c r="BQ881" s="86"/>
      <c r="BR881" s="86"/>
      <c r="BS881" s="86"/>
      <c r="BT881" s="86"/>
      <c r="BU881" s="86"/>
      <c r="BV881" s="86"/>
      <c r="BW881" s="86"/>
      <c r="BX881" s="86"/>
      <c r="BY881" s="86"/>
      <c r="BZ881" s="86"/>
      <c r="CA881" s="86"/>
      <c r="CB881" s="86"/>
      <c r="CC881" s="86"/>
      <c r="CD881" s="86"/>
      <c r="CE881" s="86"/>
      <c r="CF881" s="86"/>
      <c r="CG881" s="86"/>
      <c r="CH881" s="86"/>
      <c r="CI881" s="86"/>
      <c r="CJ881" s="86"/>
      <c r="CK881" s="86"/>
      <c r="CL881" s="86"/>
      <c r="CM881" s="86"/>
      <c r="CN881" s="86"/>
      <c r="CO881" s="86"/>
      <c r="CP881" s="86"/>
      <c r="CQ881" s="86"/>
      <c r="CR881" s="86"/>
      <c r="CS881" s="86"/>
      <c r="CT881" s="86"/>
      <c r="CU881" s="86"/>
      <c r="CV881" s="86"/>
      <c r="CW881" s="86"/>
      <c r="CX881" s="86"/>
      <c r="CY881" s="86"/>
      <c r="CZ881" s="86"/>
      <c r="DA881" s="86"/>
      <c r="DB881" s="86"/>
      <c r="DC881" s="86"/>
      <c r="DD881" s="86"/>
      <c r="DE881" s="86"/>
      <c r="DF881" s="86"/>
      <c r="DG881" s="86"/>
      <c r="DH881" s="86"/>
      <c r="DI881" s="86"/>
      <c r="DJ881" s="86"/>
      <c r="DK881" s="86"/>
      <c r="DL881" s="86"/>
      <c r="DM881" s="86"/>
      <c r="DN881" s="86"/>
      <c r="DO881" s="86"/>
      <c r="DP881" s="86"/>
      <c r="DQ881" s="86"/>
      <c r="DR881" s="118"/>
      <c r="DS881" s="118"/>
      <c r="DT881" s="86"/>
      <c r="DU881" s="86"/>
      <c r="DV881" s="86"/>
      <c r="DW881" s="86"/>
      <c r="DX881" s="86"/>
      <c r="DY881" s="86"/>
      <c r="DZ881" s="86"/>
      <c r="EA881" s="86"/>
      <c r="EB881" s="86"/>
      <c r="EC881" s="86"/>
      <c r="ED881" s="86"/>
      <c r="EE881" s="86"/>
      <c r="EF881" s="86"/>
      <c r="EG881" s="86"/>
      <c r="EH881" s="86"/>
      <c r="EI881" s="86"/>
      <c r="EJ881" s="86"/>
      <c r="EK881" s="86"/>
      <c r="EL881" s="86"/>
      <c r="EM881" s="86"/>
      <c r="EN881" s="86"/>
    </row>
    <row r="882" spans="1:144" ht="1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8"/>
      <c r="O882" s="88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AS882" s="86"/>
      <c r="AT882" s="86"/>
      <c r="AU882" s="86"/>
      <c r="AV882" s="86"/>
      <c r="AW882" s="86"/>
      <c r="AX882" s="86"/>
      <c r="AY882" s="86"/>
      <c r="AZ882" s="86"/>
      <c r="BA882" s="86"/>
      <c r="BB882" s="86"/>
      <c r="BC882" s="86"/>
      <c r="BD882" s="86"/>
      <c r="BE882" s="86"/>
      <c r="BF882" s="86"/>
      <c r="BG882" s="86"/>
      <c r="BH882" s="86"/>
      <c r="BI882" s="86"/>
      <c r="BJ882" s="86"/>
      <c r="BK882" s="86"/>
      <c r="BL882" s="86"/>
      <c r="BM882" s="86"/>
      <c r="BN882" s="86"/>
      <c r="BO882" s="86"/>
      <c r="BP882" s="86"/>
      <c r="BQ882" s="86"/>
      <c r="BR882" s="86"/>
      <c r="BS882" s="86"/>
      <c r="BT882" s="86"/>
      <c r="BU882" s="86"/>
      <c r="BV882" s="86"/>
      <c r="BW882" s="86"/>
      <c r="BX882" s="86"/>
      <c r="BY882" s="86"/>
      <c r="BZ882" s="86"/>
      <c r="CA882" s="86"/>
      <c r="CB882" s="86"/>
      <c r="CC882" s="86"/>
      <c r="CD882" s="86"/>
      <c r="CE882" s="86"/>
      <c r="CF882" s="86"/>
      <c r="CG882" s="86"/>
      <c r="CH882" s="86"/>
      <c r="CI882" s="86"/>
      <c r="CJ882" s="86"/>
      <c r="CK882" s="86"/>
      <c r="CL882" s="86"/>
      <c r="CM882" s="86"/>
      <c r="CN882" s="86"/>
      <c r="CO882" s="86"/>
      <c r="CP882" s="86"/>
      <c r="CQ882" s="86"/>
      <c r="CR882" s="86"/>
      <c r="CS882" s="86"/>
      <c r="CT882" s="86"/>
      <c r="CU882" s="86"/>
      <c r="CV882" s="86"/>
      <c r="CW882" s="86"/>
      <c r="CX882" s="86"/>
      <c r="CY882" s="86"/>
      <c r="CZ882" s="86"/>
      <c r="DA882" s="86"/>
      <c r="DB882" s="86"/>
      <c r="DC882" s="86"/>
      <c r="DD882" s="86"/>
      <c r="DE882" s="86"/>
      <c r="DF882" s="86"/>
      <c r="DG882" s="86"/>
      <c r="DH882" s="86"/>
      <c r="DI882" s="86"/>
      <c r="DJ882" s="86"/>
      <c r="DK882" s="86"/>
      <c r="DL882" s="86"/>
      <c r="DM882" s="86"/>
      <c r="DN882" s="86"/>
      <c r="DO882" s="86"/>
      <c r="DP882" s="86"/>
      <c r="DQ882" s="86"/>
      <c r="DR882" s="118"/>
      <c r="DS882" s="118"/>
      <c r="DT882" s="86"/>
      <c r="DU882" s="86"/>
      <c r="DV882" s="86"/>
      <c r="DW882" s="86"/>
      <c r="DX882" s="86"/>
      <c r="DY882" s="86"/>
      <c r="DZ882" s="86"/>
      <c r="EA882" s="86"/>
      <c r="EB882" s="86"/>
      <c r="EC882" s="86"/>
      <c r="ED882" s="86"/>
      <c r="EE882" s="86"/>
      <c r="EF882" s="86"/>
      <c r="EG882" s="86"/>
      <c r="EH882" s="86"/>
      <c r="EI882" s="86"/>
      <c r="EJ882" s="86"/>
      <c r="EK882" s="86"/>
      <c r="EL882" s="86"/>
      <c r="EM882" s="86"/>
      <c r="EN882" s="86"/>
    </row>
    <row r="883" spans="1:144" ht="1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8"/>
      <c r="O883" s="88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AS883" s="86"/>
      <c r="AT883" s="86"/>
      <c r="AU883" s="86"/>
      <c r="AV883" s="86"/>
      <c r="AW883" s="86"/>
      <c r="AX883" s="86"/>
      <c r="AY883" s="86"/>
      <c r="AZ883" s="86"/>
      <c r="BA883" s="86"/>
      <c r="BB883" s="86"/>
      <c r="BC883" s="86"/>
      <c r="BD883" s="86"/>
      <c r="BE883" s="86"/>
      <c r="BF883" s="86"/>
      <c r="BG883" s="86"/>
      <c r="BH883" s="86"/>
      <c r="BI883" s="86"/>
      <c r="BJ883" s="86"/>
      <c r="BK883" s="86"/>
      <c r="BL883" s="86"/>
      <c r="BM883" s="86"/>
      <c r="BN883" s="86"/>
      <c r="BO883" s="86"/>
      <c r="BP883" s="86"/>
      <c r="BQ883" s="86"/>
      <c r="BR883" s="86"/>
      <c r="BS883" s="86"/>
      <c r="BT883" s="86"/>
      <c r="BU883" s="86"/>
      <c r="BV883" s="86"/>
      <c r="BW883" s="86"/>
      <c r="BX883" s="86"/>
      <c r="BY883" s="86"/>
      <c r="BZ883" s="86"/>
      <c r="CA883" s="86"/>
      <c r="CB883" s="86"/>
      <c r="CC883" s="86"/>
      <c r="CD883" s="86"/>
      <c r="CE883" s="86"/>
      <c r="CF883" s="86"/>
      <c r="CG883" s="86"/>
      <c r="CH883" s="86"/>
      <c r="CI883" s="86"/>
      <c r="CJ883" s="86"/>
      <c r="CK883" s="86"/>
      <c r="CL883" s="86"/>
      <c r="CM883" s="86"/>
      <c r="CN883" s="86"/>
      <c r="CO883" s="86"/>
      <c r="CP883" s="86"/>
      <c r="CQ883" s="86"/>
      <c r="CR883" s="86"/>
      <c r="CS883" s="86"/>
      <c r="CT883" s="86"/>
      <c r="CU883" s="86"/>
      <c r="CV883" s="86"/>
      <c r="CW883" s="86"/>
      <c r="CX883" s="86"/>
      <c r="CY883" s="86"/>
      <c r="CZ883" s="86"/>
      <c r="DA883" s="86"/>
      <c r="DB883" s="86"/>
      <c r="DC883" s="86"/>
      <c r="DD883" s="86"/>
      <c r="DE883" s="86"/>
      <c r="DF883" s="86"/>
      <c r="DG883" s="86"/>
      <c r="DH883" s="86"/>
      <c r="DI883" s="86"/>
      <c r="DJ883" s="86"/>
      <c r="DK883" s="86"/>
      <c r="DL883" s="86"/>
      <c r="DM883" s="86"/>
      <c r="DN883" s="86"/>
      <c r="DO883" s="86"/>
      <c r="DP883" s="86"/>
      <c r="DQ883" s="86"/>
      <c r="DR883" s="118"/>
      <c r="DS883" s="118"/>
      <c r="DT883" s="86"/>
      <c r="DU883" s="86"/>
      <c r="DV883" s="86"/>
      <c r="DW883" s="86"/>
      <c r="DX883" s="86"/>
      <c r="DY883" s="86"/>
      <c r="DZ883" s="86"/>
      <c r="EA883" s="86"/>
      <c r="EB883" s="86"/>
      <c r="EC883" s="86"/>
      <c r="ED883" s="86"/>
      <c r="EE883" s="86"/>
      <c r="EF883" s="86"/>
      <c r="EG883" s="86"/>
      <c r="EH883" s="86"/>
      <c r="EI883" s="86"/>
      <c r="EJ883" s="86"/>
      <c r="EK883" s="86"/>
      <c r="EL883" s="86"/>
      <c r="EM883" s="86"/>
      <c r="EN883" s="86"/>
    </row>
    <row r="884" spans="1:144" ht="1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8"/>
      <c r="O884" s="88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AS884" s="86"/>
      <c r="AT884" s="86"/>
      <c r="AU884" s="86"/>
      <c r="AV884" s="86"/>
      <c r="AW884" s="86"/>
      <c r="AX884" s="86"/>
      <c r="AY884" s="86"/>
      <c r="AZ884" s="86"/>
      <c r="BA884" s="86"/>
      <c r="BB884" s="86"/>
      <c r="BC884" s="86"/>
      <c r="BD884" s="86"/>
      <c r="BE884" s="86"/>
      <c r="BF884" s="86"/>
      <c r="BG884" s="86"/>
      <c r="BH884" s="86"/>
      <c r="BI884" s="86"/>
      <c r="BJ884" s="86"/>
      <c r="BK884" s="86"/>
      <c r="BL884" s="86"/>
      <c r="BM884" s="86"/>
      <c r="BN884" s="86"/>
      <c r="BO884" s="86"/>
      <c r="BP884" s="86"/>
      <c r="BQ884" s="86"/>
      <c r="BR884" s="86"/>
      <c r="BS884" s="86"/>
      <c r="BT884" s="86"/>
      <c r="BU884" s="86"/>
      <c r="BV884" s="86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  <c r="CO884" s="86"/>
      <c r="CP884" s="86"/>
      <c r="CQ884" s="86"/>
      <c r="CR884" s="86"/>
      <c r="CS884" s="86"/>
      <c r="CT884" s="86"/>
      <c r="CU884" s="86"/>
      <c r="CV884" s="86"/>
      <c r="CW884" s="86"/>
      <c r="CX884" s="86"/>
      <c r="CY884" s="86"/>
      <c r="CZ884" s="86"/>
      <c r="DA884" s="86"/>
      <c r="DB884" s="86"/>
      <c r="DC884" s="86"/>
      <c r="DD884" s="86"/>
      <c r="DE884" s="86"/>
      <c r="DF884" s="86"/>
      <c r="DG884" s="86"/>
      <c r="DH884" s="86"/>
      <c r="DI884" s="86"/>
      <c r="DJ884" s="86"/>
      <c r="DK884" s="86"/>
      <c r="DL884" s="86"/>
      <c r="DM884" s="86"/>
      <c r="DN884" s="86"/>
      <c r="DO884" s="86"/>
      <c r="DP884" s="86"/>
      <c r="DQ884" s="86"/>
      <c r="DR884" s="118"/>
      <c r="DS884" s="118"/>
      <c r="DT884" s="86"/>
      <c r="DU884" s="86"/>
      <c r="DV884" s="86"/>
      <c r="DW884" s="86"/>
      <c r="DX884" s="86"/>
      <c r="DY884" s="86"/>
      <c r="DZ884" s="86"/>
      <c r="EA884" s="86"/>
      <c r="EB884" s="86"/>
      <c r="EC884" s="86"/>
      <c r="ED884" s="86"/>
      <c r="EE884" s="86"/>
      <c r="EF884" s="86"/>
      <c r="EG884" s="86"/>
      <c r="EH884" s="86"/>
      <c r="EI884" s="86"/>
      <c r="EJ884" s="86"/>
      <c r="EK884" s="86"/>
      <c r="EL884" s="86"/>
      <c r="EM884" s="86"/>
      <c r="EN884" s="86"/>
    </row>
    <row r="885" spans="1:144" ht="1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8"/>
      <c r="O885" s="88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AS885" s="86"/>
      <c r="AT885" s="86"/>
      <c r="AU885" s="86"/>
      <c r="AV885" s="86"/>
      <c r="AW885" s="86"/>
      <c r="AX885" s="86"/>
      <c r="AY885" s="86"/>
      <c r="AZ885" s="86"/>
      <c r="BA885" s="86"/>
      <c r="BB885" s="86"/>
      <c r="BC885" s="86"/>
      <c r="BD885" s="86"/>
      <c r="BE885" s="86"/>
      <c r="BF885" s="86"/>
      <c r="BG885" s="86"/>
      <c r="BH885" s="86"/>
      <c r="BI885" s="86"/>
      <c r="BJ885" s="86"/>
      <c r="BK885" s="86"/>
      <c r="BL885" s="86"/>
      <c r="BM885" s="86"/>
      <c r="BN885" s="86"/>
      <c r="BO885" s="86"/>
      <c r="BP885" s="86"/>
      <c r="BQ885" s="86"/>
      <c r="BR885" s="86"/>
      <c r="BS885" s="86"/>
      <c r="BT885" s="86"/>
      <c r="BU885" s="86"/>
      <c r="BV885" s="86"/>
      <c r="BW885" s="86"/>
      <c r="BX885" s="86"/>
      <c r="BY885" s="86"/>
      <c r="BZ885" s="86"/>
      <c r="CA885" s="86"/>
      <c r="CB885" s="86"/>
      <c r="CC885" s="86"/>
      <c r="CD885" s="86"/>
      <c r="CE885" s="86"/>
      <c r="CF885" s="86"/>
      <c r="CG885" s="86"/>
      <c r="CH885" s="86"/>
      <c r="CI885" s="86"/>
      <c r="CJ885" s="86"/>
      <c r="CK885" s="86"/>
      <c r="CL885" s="86"/>
      <c r="CM885" s="86"/>
      <c r="CN885" s="86"/>
      <c r="CO885" s="86"/>
      <c r="CP885" s="86"/>
      <c r="CQ885" s="86"/>
      <c r="CR885" s="86"/>
      <c r="CS885" s="86"/>
      <c r="CT885" s="86"/>
      <c r="CU885" s="86"/>
      <c r="CV885" s="86"/>
      <c r="CW885" s="86"/>
      <c r="CX885" s="86"/>
      <c r="CY885" s="86"/>
      <c r="CZ885" s="86"/>
      <c r="DA885" s="86"/>
      <c r="DB885" s="86"/>
      <c r="DC885" s="86"/>
      <c r="DD885" s="86"/>
      <c r="DE885" s="86"/>
      <c r="DF885" s="86"/>
      <c r="DG885" s="86"/>
      <c r="DH885" s="86"/>
      <c r="DI885" s="86"/>
      <c r="DJ885" s="86"/>
      <c r="DK885" s="86"/>
      <c r="DL885" s="86"/>
      <c r="DM885" s="86"/>
      <c r="DN885" s="86"/>
      <c r="DO885" s="86"/>
      <c r="DP885" s="86"/>
      <c r="DQ885" s="86"/>
      <c r="DR885" s="118"/>
      <c r="DS885" s="118"/>
      <c r="DT885" s="86"/>
      <c r="DU885" s="86"/>
      <c r="DV885" s="86"/>
      <c r="DW885" s="86"/>
      <c r="DX885" s="86"/>
      <c r="DY885" s="86"/>
      <c r="DZ885" s="86"/>
      <c r="EA885" s="86"/>
      <c r="EB885" s="86"/>
      <c r="EC885" s="86"/>
      <c r="ED885" s="86"/>
      <c r="EE885" s="86"/>
      <c r="EF885" s="86"/>
      <c r="EG885" s="86"/>
      <c r="EH885" s="86"/>
      <c r="EI885" s="86"/>
      <c r="EJ885" s="86"/>
      <c r="EK885" s="86"/>
      <c r="EL885" s="86"/>
      <c r="EM885" s="86"/>
      <c r="EN885" s="86"/>
    </row>
    <row r="886" spans="1:144" ht="1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8"/>
      <c r="O886" s="88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AS886" s="86"/>
      <c r="AT886" s="86"/>
      <c r="AU886" s="86"/>
      <c r="AV886" s="86"/>
      <c r="AW886" s="86"/>
      <c r="AX886" s="86"/>
      <c r="AY886" s="86"/>
      <c r="AZ886" s="86"/>
      <c r="BA886" s="86"/>
      <c r="BB886" s="86"/>
      <c r="BC886" s="86"/>
      <c r="BD886" s="86"/>
      <c r="BE886" s="86"/>
      <c r="BF886" s="86"/>
      <c r="BG886" s="86"/>
      <c r="BH886" s="86"/>
      <c r="BI886" s="86"/>
      <c r="BJ886" s="86"/>
      <c r="BK886" s="86"/>
      <c r="BL886" s="86"/>
      <c r="BM886" s="86"/>
      <c r="BN886" s="86"/>
      <c r="BO886" s="86"/>
      <c r="BP886" s="86"/>
      <c r="BQ886" s="86"/>
      <c r="BR886" s="86"/>
      <c r="BS886" s="86"/>
      <c r="BT886" s="86"/>
      <c r="BU886" s="86"/>
      <c r="BV886" s="86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  <c r="CO886" s="86"/>
      <c r="CP886" s="86"/>
      <c r="CQ886" s="86"/>
      <c r="CR886" s="86"/>
      <c r="CS886" s="86"/>
      <c r="CT886" s="86"/>
      <c r="CU886" s="86"/>
      <c r="CV886" s="86"/>
      <c r="CW886" s="86"/>
      <c r="CX886" s="86"/>
      <c r="CY886" s="86"/>
      <c r="CZ886" s="86"/>
      <c r="DA886" s="86"/>
      <c r="DB886" s="86"/>
      <c r="DC886" s="86"/>
      <c r="DD886" s="86"/>
      <c r="DE886" s="86"/>
      <c r="DF886" s="86"/>
      <c r="DG886" s="86"/>
      <c r="DH886" s="86"/>
      <c r="DI886" s="86"/>
      <c r="DJ886" s="86"/>
      <c r="DK886" s="86"/>
      <c r="DL886" s="86"/>
      <c r="DM886" s="86"/>
      <c r="DN886" s="86"/>
      <c r="DO886" s="86"/>
      <c r="DP886" s="86"/>
      <c r="DQ886" s="86"/>
      <c r="DR886" s="118"/>
      <c r="DS886" s="118"/>
      <c r="DT886" s="86"/>
      <c r="DU886" s="86"/>
      <c r="DV886" s="86"/>
      <c r="DW886" s="86"/>
      <c r="DX886" s="86"/>
      <c r="DY886" s="86"/>
      <c r="DZ886" s="86"/>
      <c r="EA886" s="86"/>
      <c r="EB886" s="86"/>
      <c r="EC886" s="86"/>
      <c r="ED886" s="86"/>
      <c r="EE886" s="86"/>
      <c r="EF886" s="86"/>
      <c r="EG886" s="86"/>
      <c r="EH886" s="86"/>
      <c r="EI886" s="86"/>
      <c r="EJ886" s="86"/>
      <c r="EK886" s="86"/>
      <c r="EL886" s="86"/>
      <c r="EM886" s="86"/>
      <c r="EN886" s="86"/>
    </row>
    <row r="887" spans="1:144" ht="1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8"/>
      <c r="O887" s="88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AS887" s="86"/>
      <c r="AT887" s="86"/>
      <c r="AU887" s="86"/>
      <c r="AV887" s="86"/>
      <c r="AW887" s="86"/>
      <c r="AX887" s="86"/>
      <c r="AY887" s="86"/>
      <c r="AZ887" s="86"/>
      <c r="BA887" s="86"/>
      <c r="BB887" s="86"/>
      <c r="BC887" s="86"/>
      <c r="BD887" s="86"/>
      <c r="BE887" s="86"/>
      <c r="BF887" s="86"/>
      <c r="BG887" s="86"/>
      <c r="BH887" s="86"/>
      <c r="BI887" s="86"/>
      <c r="BJ887" s="86"/>
      <c r="BK887" s="86"/>
      <c r="BL887" s="86"/>
      <c r="BM887" s="86"/>
      <c r="BN887" s="86"/>
      <c r="BO887" s="86"/>
      <c r="BP887" s="86"/>
      <c r="BQ887" s="86"/>
      <c r="BR887" s="86"/>
      <c r="BS887" s="86"/>
      <c r="BT887" s="86"/>
      <c r="BU887" s="86"/>
      <c r="BV887" s="86"/>
      <c r="BW887" s="86"/>
      <c r="BX887" s="86"/>
      <c r="BY887" s="86"/>
      <c r="BZ887" s="86"/>
      <c r="CA887" s="86"/>
      <c r="CB887" s="86"/>
      <c r="CC887" s="86"/>
      <c r="CD887" s="86"/>
      <c r="CE887" s="86"/>
      <c r="CF887" s="86"/>
      <c r="CG887" s="86"/>
      <c r="CH887" s="86"/>
      <c r="CI887" s="86"/>
      <c r="CJ887" s="86"/>
      <c r="CK887" s="86"/>
      <c r="CL887" s="86"/>
      <c r="CM887" s="86"/>
      <c r="CN887" s="86"/>
      <c r="CO887" s="86"/>
      <c r="CP887" s="86"/>
      <c r="CQ887" s="86"/>
      <c r="CR887" s="86"/>
      <c r="CS887" s="86"/>
      <c r="CT887" s="86"/>
      <c r="CU887" s="86"/>
      <c r="CV887" s="86"/>
      <c r="CW887" s="86"/>
      <c r="CX887" s="86"/>
      <c r="CY887" s="86"/>
      <c r="CZ887" s="86"/>
      <c r="DA887" s="86"/>
      <c r="DB887" s="86"/>
      <c r="DC887" s="86"/>
      <c r="DD887" s="86"/>
      <c r="DE887" s="86"/>
      <c r="DF887" s="86"/>
      <c r="DG887" s="86"/>
      <c r="DH887" s="86"/>
      <c r="DI887" s="86"/>
      <c r="DJ887" s="86"/>
      <c r="DK887" s="86"/>
      <c r="DL887" s="86"/>
      <c r="DM887" s="86"/>
      <c r="DN887" s="86"/>
      <c r="DO887" s="86"/>
      <c r="DP887" s="86"/>
      <c r="DQ887" s="86"/>
      <c r="DR887" s="118"/>
      <c r="DS887" s="118"/>
      <c r="DT887" s="86"/>
      <c r="DU887" s="86"/>
      <c r="DV887" s="86"/>
      <c r="DW887" s="86"/>
      <c r="DX887" s="86"/>
      <c r="DY887" s="86"/>
      <c r="DZ887" s="86"/>
      <c r="EA887" s="86"/>
      <c r="EB887" s="86"/>
      <c r="EC887" s="86"/>
      <c r="ED887" s="86"/>
      <c r="EE887" s="86"/>
      <c r="EF887" s="86"/>
      <c r="EG887" s="86"/>
      <c r="EH887" s="86"/>
      <c r="EI887" s="86"/>
      <c r="EJ887" s="86"/>
      <c r="EK887" s="86"/>
      <c r="EL887" s="86"/>
      <c r="EM887" s="86"/>
      <c r="EN887" s="86"/>
    </row>
    <row r="888" spans="1:144" ht="1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8"/>
      <c r="O888" s="88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AS888" s="86"/>
      <c r="AT888" s="86"/>
      <c r="AU888" s="86"/>
      <c r="AV888" s="86"/>
      <c r="AW888" s="86"/>
      <c r="AX888" s="86"/>
      <c r="AY888" s="86"/>
      <c r="AZ888" s="86"/>
      <c r="BA888" s="86"/>
      <c r="BB888" s="86"/>
      <c r="BC888" s="86"/>
      <c r="BD888" s="86"/>
      <c r="BE888" s="86"/>
      <c r="BF888" s="86"/>
      <c r="BG888" s="86"/>
      <c r="BH888" s="86"/>
      <c r="BI888" s="86"/>
      <c r="BJ888" s="86"/>
      <c r="BK888" s="86"/>
      <c r="BL888" s="86"/>
      <c r="BM888" s="86"/>
      <c r="BN888" s="86"/>
      <c r="BO888" s="86"/>
      <c r="BP888" s="86"/>
      <c r="BQ888" s="86"/>
      <c r="BR888" s="86"/>
      <c r="BS888" s="86"/>
      <c r="BT888" s="86"/>
      <c r="BU888" s="86"/>
      <c r="BV888" s="86"/>
      <c r="BW888" s="86"/>
      <c r="BX888" s="86"/>
      <c r="BY888" s="86"/>
      <c r="BZ888" s="86"/>
      <c r="CA888" s="86"/>
      <c r="CB888" s="86"/>
      <c r="CC888" s="86"/>
      <c r="CD888" s="86"/>
      <c r="CE888" s="86"/>
      <c r="CF888" s="86"/>
      <c r="CG888" s="86"/>
      <c r="CH888" s="86"/>
      <c r="CI888" s="86"/>
      <c r="CJ888" s="86"/>
      <c r="CK888" s="86"/>
      <c r="CL888" s="86"/>
      <c r="CM888" s="86"/>
      <c r="CN888" s="86"/>
      <c r="CO888" s="86"/>
      <c r="CP888" s="86"/>
      <c r="CQ888" s="86"/>
      <c r="CR888" s="86"/>
      <c r="CS888" s="86"/>
      <c r="CT888" s="86"/>
      <c r="CU888" s="86"/>
      <c r="CV888" s="86"/>
      <c r="CW888" s="86"/>
      <c r="CX888" s="86"/>
      <c r="CY888" s="86"/>
      <c r="CZ888" s="86"/>
      <c r="DA888" s="86"/>
      <c r="DB888" s="86"/>
      <c r="DC888" s="86"/>
      <c r="DD888" s="86"/>
      <c r="DE888" s="86"/>
      <c r="DF888" s="86"/>
      <c r="DG888" s="86"/>
      <c r="DH888" s="86"/>
      <c r="DI888" s="86"/>
      <c r="DJ888" s="86"/>
      <c r="DK888" s="86"/>
      <c r="DL888" s="86"/>
      <c r="DM888" s="86"/>
      <c r="DN888" s="86"/>
      <c r="DO888" s="86"/>
      <c r="DP888" s="86"/>
      <c r="DQ888" s="86"/>
      <c r="DR888" s="118"/>
      <c r="DS888" s="118"/>
      <c r="DT888" s="86"/>
      <c r="DU888" s="86"/>
      <c r="DV888" s="86"/>
      <c r="DW888" s="86"/>
      <c r="DX888" s="86"/>
      <c r="DY888" s="86"/>
      <c r="DZ888" s="86"/>
      <c r="EA888" s="86"/>
      <c r="EB888" s="86"/>
      <c r="EC888" s="86"/>
      <c r="ED888" s="86"/>
      <c r="EE888" s="86"/>
      <c r="EF888" s="86"/>
      <c r="EG888" s="86"/>
      <c r="EH888" s="86"/>
      <c r="EI888" s="86"/>
      <c r="EJ888" s="86"/>
      <c r="EK888" s="86"/>
      <c r="EL888" s="86"/>
      <c r="EM888" s="86"/>
      <c r="EN888" s="86"/>
    </row>
    <row r="889" spans="1:144" ht="1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8"/>
      <c r="O889" s="88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AS889" s="86"/>
      <c r="AT889" s="86"/>
      <c r="AU889" s="86"/>
      <c r="AV889" s="86"/>
      <c r="AW889" s="86"/>
      <c r="AX889" s="86"/>
      <c r="AY889" s="86"/>
      <c r="AZ889" s="86"/>
      <c r="BA889" s="86"/>
      <c r="BB889" s="86"/>
      <c r="BC889" s="86"/>
      <c r="BD889" s="86"/>
      <c r="BE889" s="86"/>
      <c r="BF889" s="86"/>
      <c r="BG889" s="86"/>
      <c r="BH889" s="86"/>
      <c r="BI889" s="86"/>
      <c r="BJ889" s="86"/>
      <c r="BK889" s="86"/>
      <c r="BL889" s="86"/>
      <c r="BM889" s="86"/>
      <c r="BN889" s="86"/>
      <c r="BO889" s="86"/>
      <c r="BP889" s="86"/>
      <c r="BQ889" s="86"/>
      <c r="BR889" s="86"/>
      <c r="BS889" s="86"/>
      <c r="BT889" s="86"/>
      <c r="BU889" s="86"/>
      <c r="BV889" s="86"/>
      <c r="BW889" s="86"/>
      <c r="BX889" s="86"/>
      <c r="BY889" s="86"/>
      <c r="BZ889" s="86"/>
      <c r="CA889" s="86"/>
      <c r="CB889" s="86"/>
      <c r="CC889" s="86"/>
      <c r="CD889" s="86"/>
      <c r="CE889" s="86"/>
      <c r="CF889" s="86"/>
      <c r="CG889" s="86"/>
      <c r="CH889" s="86"/>
      <c r="CI889" s="86"/>
      <c r="CJ889" s="86"/>
      <c r="CK889" s="86"/>
      <c r="CL889" s="86"/>
      <c r="CM889" s="86"/>
      <c r="CN889" s="86"/>
      <c r="CO889" s="86"/>
      <c r="CP889" s="86"/>
      <c r="CQ889" s="86"/>
      <c r="CR889" s="86"/>
      <c r="CS889" s="86"/>
      <c r="CT889" s="86"/>
      <c r="CU889" s="86"/>
      <c r="CV889" s="86"/>
      <c r="CW889" s="86"/>
      <c r="CX889" s="86"/>
      <c r="CY889" s="86"/>
      <c r="CZ889" s="86"/>
      <c r="DA889" s="86"/>
      <c r="DB889" s="86"/>
      <c r="DC889" s="86"/>
      <c r="DD889" s="86"/>
      <c r="DE889" s="86"/>
      <c r="DF889" s="86"/>
      <c r="DG889" s="86"/>
      <c r="DH889" s="86"/>
      <c r="DI889" s="86"/>
      <c r="DJ889" s="86"/>
      <c r="DK889" s="86"/>
      <c r="DL889" s="86"/>
      <c r="DM889" s="86"/>
      <c r="DN889" s="86"/>
      <c r="DO889" s="86"/>
      <c r="DP889" s="86"/>
      <c r="DQ889" s="86"/>
      <c r="DR889" s="118"/>
      <c r="DS889" s="118"/>
      <c r="DT889" s="86"/>
      <c r="DU889" s="86"/>
      <c r="DV889" s="86"/>
      <c r="DW889" s="86"/>
      <c r="DX889" s="86"/>
      <c r="DY889" s="86"/>
      <c r="DZ889" s="86"/>
      <c r="EA889" s="86"/>
      <c r="EB889" s="86"/>
      <c r="EC889" s="86"/>
      <c r="ED889" s="86"/>
      <c r="EE889" s="86"/>
      <c r="EF889" s="86"/>
      <c r="EG889" s="86"/>
      <c r="EH889" s="86"/>
      <c r="EI889" s="86"/>
      <c r="EJ889" s="86"/>
      <c r="EK889" s="86"/>
      <c r="EL889" s="86"/>
      <c r="EM889" s="86"/>
      <c r="EN889" s="86"/>
    </row>
    <row r="890" spans="1:144" ht="1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8"/>
      <c r="O890" s="88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H890" s="86"/>
      <c r="BI890" s="86"/>
      <c r="BJ890" s="86"/>
      <c r="BK890" s="86"/>
      <c r="BL890" s="86"/>
      <c r="BM890" s="86"/>
      <c r="BN890" s="86"/>
      <c r="BO890" s="86"/>
      <c r="BP890" s="86"/>
      <c r="BQ890" s="86"/>
      <c r="BR890" s="86"/>
      <c r="BS890" s="86"/>
      <c r="BT890" s="86"/>
      <c r="BU890" s="86"/>
      <c r="BV890" s="86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86"/>
      <c r="CT890" s="86"/>
      <c r="CU890" s="86"/>
      <c r="CV890" s="86"/>
      <c r="CW890" s="86"/>
      <c r="CX890" s="86"/>
      <c r="CY890" s="86"/>
      <c r="CZ890" s="86"/>
      <c r="DA890" s="86"/>
      <c r="DB890" s="86"/>
      <c r="DC890" s="86"/>
      <c r="DD890" s="86"/>
      <c r="DE890" s="86"/>
      <c r="DF890" s="86"/>
      <c r="DG890" s="86"/>
      <c r="DH890" s="86"/>
      <c r="DI890" s="86"/>
      <c r="DJ890" s="86"/>
      <c r="DK890" s="86"/>
      <c r="DL890" s="86"/>
      <c r="DM890" s="86"/>
      <c r="DN890" s="86"/>
      <c r="DO890" s="86"/>
      <c r="DP890" s="86"/>
      <c r="DQ890" s="86"/>
      <c r="DR890" s="118"/>
      <c r="DS890" s="118"/>
      <c r="DT890" s="86"/>
      <c r="DU890" s="86"/>
      <c r="DV890" s="86"/>
      <c r="DW890" s="86"/>
      <c r="DX890" s="86"/>
      <c r="DY890" s="86"/>
      <c r="DZ890" s="86"/>
      <c r="EA890" s="86"/>
      <c r="EB890" s="86"/>
      <c r="EC890" s="86"/>
      <c r="ED890" s="86"/>
      <c r="EE890" s="86"/>
      <c r="EF890" s="86"/>
      <c r="EG890" s="86"/>
      <c r="EH890" s="86"/>
      <c r="EI890" s="86"/>
      <c r="EJ890" s="86"/>
      <c r="EK890" s="86"/>
      <c r="EL890" s="86"/>
      <c r="EM890" s="86"/>
      <c r="EN890" s="86"/>
    </row>
    <row r="891" spans="1:144" ht="1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8"/>
      <c r="O891" s="88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AS891" s="86"/>
      <c r="AT891" s="86"/>
      <c r="AU891" s="86"/>
      <c r="AV891" s="86"/>
      <c r="AW891" s="86"/>
      <c r="AX891" s="86"/>
      <c r="AY891" s="86"/>
      <c r="AZ891" s="86"/>
      <c r="BA891" s="86"/>
      <c r="BB891" s="86"/>
      <c r="BC891" s="86"/>
      <c r="BD891" s="86"/>
      <c r="BE891" s="86"/>
      <c r="BF891" s="86"/>
      <c r="BG891" s="86"/>
      <c r="BH891" s="86"/>
      <c r="BI891" s="86"/>
      <c r="BJ891" s="86"/>
      <c r="BK891" s="86"/>
      <c r="BL891" s="86"/>
      <c r="BM891" s="86"/>
      <c r="BN891" s="86"/>
      <c r="BO891" s="86"/>
      <c r="BP891" s="86"/>
      <c r="BQ891" s="86"/>
      <c r="BR891" s="86"/>
      <c r="BS891" s="86"/>
      <c r="BT891" s="86"/>
      <c r="BU891" s="86"/>
      <c r="BV891" s="86"/>
      <c r="BW891" s="86"/>
      <c r="BX891" s="86"/>
      <c r="BY891" s="86"/>
      <c r="BZ891" s="86"/>
      <c r="CA891" s="86"/>
      <c r="CB891" s="86"/>
      <c r="CC891" s="86"/>
      <c r="CD891" s="86"/>
      <c r="CE891" s="86"/>
      <c r="CF891" s="86"/>
      <c r="CG891" s="86"/>
      <c r="CH891" s="86"/>
      <c r="CI891" s="86"/>
      <c r="CJ891" s="86"/>
      <c r="CK891" s="86"/>
      <c r="CL891" s="86"/>
      <c r="CM891" s="86"/>
      <c r="CN891" s="86"/>
      <c r="CO891" s="86"/>
      <c r="CP891" s="86"/>
      <c r="CQ891" s="86"/>
      <c r="CR891" s="86"/>
      <c r="CS891" s="86"/>
      <c r="CT891" s="86"/>
      <c r="CU891" s="86"/>
      <c r="CV891" s="86"/>
      <c r="CW891" s="86"/>
      <c r="CX891" s="86"/>
      <c r="CY891" s="86"/>
      <c r="CZ891" s="86"/>
      <c r="DA891" s="86"/>
      <c r="DB891" s="86"/>
      <c r="DC891" s="86"/>
      <c r="DD891" s="86"/>
      <c r="DE891" s="86"/>
      <c r="DF891" s="86"/>
      <c r="DG891" s="86"/>
      <c r="DH891" s="86"/>
      <c r="DI891" s="86"/>
      <c r="DJ891" s="86"/>
      <c r="DK891" s="86"/>
      <c r="DL891" s="86"/>
      <c r="DM891" s="86"/>
      <c r="DN891" s="86"/>
      <c r="DO891" s="86"/>
      <c r="DP891" s="86"/>
      <c r="DQ891" s="86"/>
      <c r="DR891" s="118"/>
      <c r="DS891" s="118"/>
      <c r="DT891" s="86"/>
      <c r="DU891" s="86"/>
      <c r="DV891" s="86"/>
      <c r="DW891" s="86"/>
      <c r="DX891" s="86"/>
      <c r="DY891" s="86"/>
      <c r="DZ891" s="86"/>
      <c r="EA891" s="86"/>
      <c r="EB891" s="86"/>
      <c r="EC891" s="86"/>
      <c r="ED891" s="86"/>
      <c r="EE891" s="86"/>
      <c r="EF891" s="86"/>
      <c r="EG891" s="86"/>
      <c r="EH891" s="86"/>
      <c r="EI891" s="86"/>
      <c r="EJ891" s="86"/>
      <c r="EK891" s="86"/>
      <c r="EL891" s="86"/>
      <c r="EM891" s="86"/>
      <c r="EN891" s="86"/>
    </row>
    <row r="892" spans="1:144" ht="1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8"/>
      <c r="O892" s="88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H892" s="86"/>
      <c r="BI892" s="86"/>
      <c r="BJ892" s="86"/>
      <c r="BK892" s="86"/>
      <c r="BL892" s="86"/>
      <c r="BM892" s="86"/>
      <c r="BN892" s="86"/>
      <c r="BO892" s="86"/>
      <c r="BP892" s="86"/>
      <c r="BQ892" s="86"/>
      <c r="BR892" s="86"/>
      <c r="BS892" s="86"/>
      <c r="BT892" s="86"/>
      <c r="BU892" s="86"/>
      <c r="BV892" s="86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86"/>
      <c r="CT892" s="86"/>
      <c r="CU892" s="86"/>
      <c r="CV892" s="86"/>
      <c r="CW892" s="86"/>
      <c r="CX892" s="86"/>
      <c r="CY892" s="86"/>
      <c r="CZ892" s="86"/>
      <c r="DA892" s="86"/>
      <c r="DB892" s="86"/>
      <c r="DC892" s="86"/>
      <c r="DD892" s="86"/>
      <c r="DE892" s="86"/>
      <c r="DF892" s="86"/>
      <c r="DG892" s="86"/>
      <c r="DH892" s="86"/>
      <c r="DI892" s="86"/>
      <c r="DJ892" s="86"/>
      <c r="DK892" s="86"/>
      <c r="DL892" s="86"/>
      <c r="DM892" s="86"/>
      <c r="DN892" s="86"/>
      <c r="DO892" s="86"/>
      <c r="DP892" s="86"/>
      <c r="DQ892" s="86"/>
      <c r="DR892" s="118"/>
      <c r="DS892" s="118"/>
      <c r="DT892" s="86"/>
      <c r="DU892" s="86"/>
      <c r="DV892" s="86"/>
      <c r="DW892" s="86"/>
      <c r="DX892" s="86"/>
      <c r="DY892" s="86"/>
      <c r="DZ892" s="86"/>
      <c r="EA892" s="86"/>
      <c r="EB892" s="86"/>
      <c r="EC892" s="86"/>
      <c r="ED892" s="86"/>
      <c r="EE892" s="86"/>
      <c r="EF892" s="86"/>
      <c r="EG892" s="86"/>
      <c r="EH892" s="86"/>
      <c r="EI892" s="86"/>
      <c r="EJ892" s="86"/>
      <c r="EK892" s="86"/>
      <c r="EL892" s="86"/>
      <c r="EM892" s="86"/>
      <c r="EN892" s="86"/>
    </row>
    <row r="893" spans="1:144" ht="1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8"/>
      <c r="O893" s="88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AS893" s="86"/>
      <c r="AT893" s="86"/>
      <c r="AU893" s="86"/>
      <c r="AV893" s="86"/>
      <c r="AW893" s="86"/>
      <c r="AX893" s="86"/>
      <c r="AY893" s="86"/>
      <c r="AZ893" s="86"/>
      <c r="BA893" s="86"/>
      <c r="BB893" s="86"/>
      <c r="BC893" s="86"/>
      <c r="BD893" s="86"/>
      <c r="BE893" s="86"/>
      <c r="BF893" s="86"/>
      <c r="BG893" s="86"/>
      <c r="BH893" s="86"/>
      <c r="BI893" s="86"/>
      <c r="BJ893" s="86"/>
      <c r="BK893" s="86"/>
      <c r="BL893" s="86"/>
      <c r="BM893" s="86"/>
      <c r="BN893" s="86"/>
      <c r="BO893" s="86"/>
      <c r="BP893" s="86"/>
      <c r="BQ893" s="86"/>
      <c r="BR893" s="86"/>
      <c r="BS893" s="86"/>
      <c r="BT893" s="86"/>
      <c r="BU893" s="86"/>
      <c r="BV893" s="86"/>
      <c r="BW893" s="86"/>
      <c r="BX893" s="86"/>
      <c r="BY893" s="86"/>
      <c r="BZ893" s="86"/>
      <c r="CA893" s="86"/>
      <c r="CB893" s="86"/>
      <c r="CC893" s="86"/>
      <c r="CD893" s="86"/>
      <c r="CE893" s="86"/>
      <c r="CF893" s="86"/>
      <c r="CG893" s="86"/>
      <c r="CH893" s="86"/>
      <c r="CI893" s="86"/>
      <c r="CJ893" s="86"/>
      <c r="CK893" s="86"/>
      <c r="CL893" s="86"/>
      <c r="CM893" s="86"/>
      <c r="CN893" s="86"/>
      <c r="CO893" s="86"/>
      <c r="CP893" s="86"/>
      <c r="CQ893" s="86"/>
      <c r="CR893" s="86"/>
      <c r="CS893" s="86"/>
      <c r="CT893" s="86"/>
      <c r="CU893" s="86"/>
      <c r="CV893" s="86"/>
      <c r="CW893" s="86"/>
      <c r="CX893" s="86"/>
      <c r="CY893" s="86"/>
      <c r="CZ893" s="86"/>
      <c r="DA893" s="86"/>
      <c r="DB893" s="86"/>
      <c r="DC893" s="86"/>
      <c r="DD893" s="86"/>
      <c r="DE893" s="86"/>
      <c r="DF893" s="86"/>
      <c r="DG893" s="86"/>
      <c r="DH893" s="86"/>
      <c r="DI893" s="86"/>
      <c r="DJ893" s="86"/>
      <c r="DK893" s="86"/>
      <c r="DL893" s="86"/>
      <c r="DM893" s="86"/>
      <c r="DN893" s="86"/>
      <c r="DO893" s="86"/>
      <c r="DP893" s="86"/>
      <c r="DQ893" s="86"/>
      <c r="DR893" s="118"/>
      <c r="DS893" s="118"/>
      <c r="DT893" s="86"/>
      <c r="DU893" s="86"/>
      <c r="DV893" s="86"/>
      <c r="DW893" s="86"/>
      <c r="DX893" s="86"/>
      <c r="DY893" s="86"/>
      <c r="DZ893" s="86"/>
      <c r="EA893" s="86"/>
      <c r="EB893" s="86"/>
      <c r="EC893" s="86"/>
      <c r="ED893" s="86"/>
      <c r="EE893" s="86"/>
      <c r="EF893" s="86"/>
      <c r="EG893" s="86"/>
      <c r="EH893" s="86"/>
      <c r="EI893" s="86"/>
      <c r="EJ893" s="86"/>
      <c r="EK893" s="86"/>
      <c r="EL893" s="86"/>
      <c r="EM893" s="86"/>
      <c r="EN893" s="86"/>
    </row>
    <row r="894" spans="1:144" ht="1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8"/>
      <c r="O894" s="88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AS894" s="86"/>
      <c r="AT894" s="86"/>
      <c r="AU894" s="86"/>
      <c r="AV894" s="86"/>
      <c r="AW894" s="86"/>
      <c r="AX894" s="86"/>
      <c r="AY894" s="86"/>
      <c r="AZ894" s="86"/>
      <c r="BA894" s="86"/>
      <c r="BB894" s="86"/>
      <c r="BC894" s="86"/>
      <c r="BD894" s="86"/>
      <c r="BE894" s="86"/>
      <c r="BF894" s="86"/>
      <c r="BG894" s="86"/>
      <c r="BH894" s="86"/>
      <c r="BI894" s="86"/>
      <c r="BJ894" s="86"/>
      <c r="BK894" s="86"/>
      <c r="BL894" s="86"/>
      <c r="BM894" s="86"/>
      <c r="BN894" s="86"/>
      <c r="BO894" s="86"/>
      <c r="BP894" s="86"/>
      <c r="BQ894" s="86"/>
      <c r="BR894" s="86"/>
      <c r="BS894" s="86"/>
      <c r="BT894" s="86"/>
      <c r="BU894" s="86"/>
      <c r="BV894" s="86"/>
      <c r="BW894" s="86"/>
      <c r="BX894" s="86"/>
      <c r="BY894" s="86"/>
      <c r="BZ894" s="86"/>
      <c r="CA894" s="86"/>
      <c r="CB894" s="86"/>
      <c r="CC894" s="86"/>
      <c r="CD894" s="86"/>
      <c r="CE894" s="86"/>
      <c r="CF894" s="86"/>
      <c r="CG894" s="86"/>
      <c r="CH894" s="86"/>
      <c r="CI894" s="86"/>
      <c r="CJ894" s="86"/>
      <c r="CK894" s="86"/>
      <c r="CL894" s="86"/>
      <c r="CM894" s="86"/>
      <c r="CN894" s="86"/>
      <c r="CO894" s="86"/>
      <c r="CP894" s="86"/>
      <c r="CQ894" s="86"/>
      <c r="CR894" s="86"/>
      <c r="CS894" s="86"/>
      <c r="CT894" s="86"/>
      <c r="CU894" s="86"/>
      <c r="CV894" s="86"/>
      <c r="CW894" s="86"/>
      <c r="CX894" s="86"/>
      <c r="CY894" s="86"/>
      <c r="CZ894" s="86"/>
      <c r="DA894" s="86"/>
      <c r="DB894" s="86"/>
      <c r="DC894" s="86"/>
      <c r="DD894" s="86"/>
      <c r="DE894" s="86"/>
      <c r="DF894" s="86"/>
      <c r="DG894" s="86"/>
      <c r="DH894" s="86"/>
      <c r="DI894" s="86"/>
      <c r="DJ894" s="86"/>
      <c r="DK894" s="86"/>
      <c r="DL894" s="86"/>
      <c r="DM894" s="86"/>
      <c r="DN894" s="86"/>
      <c r="DO894" s="86"/>
      <c r="DP894" s="86"/>
      <c r="DQ894" s="86"/>
      <c r="DR894" s="118"/>
      <c r="DS894" s="118"/>
      <c r="DT894" s="86"/>
      <c r="DU894" s="86"/>
      <c r="DV894" s="86"/>
      <c r="DW894" s="86"/>
      <c r="DX894" s="86"/>
      <c r="DY894" s="86"/>
      <c r="DZ894" s="86"/>
      <c r="EA894" s="86"/>
      <c r="EB894" s="86"/>
      <c r="EC894" s="86"/>
      <c r="ED894" s="86"/>
      <c r="EE894" s="86"/>
      <c r="EF894" s="86"/>
      <c r="EG894" s="86"/>
      <c r="EH894" s="86"/>
      <c r="EI894" s="86"/>
      <c r="EJ894" s="86"/>
      <c r="EK894" s="86"/>
      <c r="EL894" s="86"/>
      <c r="EM894" s="86"/>
      <c r="EN894" s="86"/>
    </row>
    <row r="895" spans="1:144" ht="1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8"/>
      <c r="O895" s="88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AS895" s="86"/>
      <c r="AT895" s="86"/>
      <c r="AU895" s="86"/>
      <c r="AV895" s="86"/>
      <c r="AW895" s="86"/>
      <c r="AX895" s="86"/>
      <c r="AY895" s="86"/>
      <c r="AZ895" s="86"/>
      <c r="BA895" s="86"/>
      <c r="BB895" s="86"/>
      <c r="BC895" s="86"/>
      <c r="BD895" s="86"/>
      <c r="BE895" s="86"/>
      <c r="BF895" s="86"/>
      <c r="BG895" s="86"/>
      <c r="BH895" s="86"/>
      <c r="BI895" s="86"/>
      <c r="BJ895" s="86"/>
      <c r="BK895" s="86"/>
      <c r="BL895" s="86"/>
      <c r="BM895" s="86"/>
      <c r="BN895" s="86"/>
      <c r="BO895" s="86"/>
      <c r="BP895" s="86"/>
      <c r="BQ895" s="86"/>
      <c r="BR895" s="86"/>
      <c r="BS895" s="86"/>
      <c r="BT895" s="86"/>
      <c r="BU895" s="86"/>
      <c r="BV895" s="86"/>
      <c r="BW895" s="86"/>
      <c r="BX895" s="86"/>
      <c r="BY895" s="86"/>
      <c r="BZ895" s="86"/>
      <c r="CA895" s="86"/>
      <c r="CB895" s="86"/>
      <c r="CC895" s="86"/>
      <c r="CD895" s="86"/>
      <c r="CE895" s="86"/>
      <c r="CF895" s="86"/>
      <c r="CG895" s="86"/>
      <c r="CH895" s="86"/>
      <c r="CI895" s="86"/>
      <c r="CJ895" s="86"/>
      <c r="CK895" s="86"/>
      <c r="CL895" s="86"/>
      <c r="CM895" s="86"/>
      <c r="CN895" s="86"/>
      <c r="CO895" s="86"/>
      <c r="CP895" s="86"/>
      <c r="CQ895" s="86"/>
      <c r="CR895" s="86"/>
      <c r="CS895" s="86"/>
      <c r="CT895" s="86"/>
      <c r="CU895" s="86"/>
      <c r="CV895" s="86"/>
      <c r="CW895" s="86"/>
      <c r="CX895" s="86"/>
      <c r="CY895" s="86"/>
      <c r="CZ895" s="86"/>
      <c r="DA895" s="86"/>
      <c r="DB895" s="86"/>
      <c r="DC895" s="86"/>
      <c r="DD895" s="86"/>
      <c r="DE895" s="86"/>
      <c r="DF895" s="86"/>
      <c r="DG895" s="86"/>
      <c r="DH895" s="86"/>
      <c r="DI895" s="86"/>
      <c r="DJ895" s="86"/>
      <c r="DK895" s="86"/>
      <c r="DL895" s="86"/>
      <c r="DM895" s="86"/>
      <c r="DN895" s="86"/>
      <c r="DO895" s="86"/>
      <c r="DP895" s="86"/>
      <c r="DQ895" s="86"/>
      <c r="DR895" s="118"/>
      <c r="DS895" s="118"/>
      <c r="DT895" s="86"/>
      <c r="DU895" s="86"/>
      <c r="DV895" s="86"/>
      <c r="DW895" s="86"/>
      <c r="DX895" s="86"/>
      <c r="DY895" s="86"/>
      <c r="DZ895" s="86"/>
      <c r="EA895" s="86"/>
      <c r="EB895" s="86"/>
      <c r="EC895" s="86"/>
      <c r="ED895" s="86"/>
      <c r="EE895" s="86"/>
      <c r="EF895" s="86"/>
      <c r="EG895" s="86"/>
      <c r="EH895" s="86"/>
      <c r="EI895" s="86"/>
      <c r="EJ895" s="86"/>
      <c r="EK895" s="86"/>
      <c r="EL895" s="86"/>
      <c r="EM895" s="86"/>
      <c r="EN895" s="86"/>
    </row>
    <row r="896" spans="1:144" ht="1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8"/>
      <c r="O896" s="88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86"/>
      <c r="AT896" s="86"/>
      <c r="AU896" s="86"/>
      <c r="AV896" s="86"/>
      <c r="AW896" s="86"/>
      <c r="AX896" s="86"/>
      <c r="AY896" s="86"/>
      <c r="AZ896" s="86"/>
      <c r="BA896" s="86"/>
      <c r="BB896" s="86"/>
      <c r="BC896" s="86"/>
      <c r="BD896" s="86"/>
      <c r="BE896" s="86"/>
      <c r="BF896" s="86"/>
      <c r="BG896" s="86"/>
      <c r="BH896" s="86"/>
      <c r="BI896" s="86"/>
      <c r="BJ896" s="86"/>
      <c r="BK896" s="86"/>
      <c r="BL896" s="86"/>
      <c r="BM896" s="86"/>
      <c r="BN896" s="86"/>
      <c r="BO896" s="86"/>
      <c r="BP896" s="86"/>
      <c r="BQ896" s="86"/>
      <c r="BR896" s="86"/>
      <c r="BS896" s="86"/>
      <c r="BT896" s="86"/>
      <c r="BU896" s="86"/>
      <c r="BV896" s="86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  <c r="CO896" s="86"/>
      <c r="CP896" s="86"/>
      <c r="CQ896" s="86"/>
      <c r="CR896" s="86"/>
      <c r="CS896" s="86"/>
      <c r="CT896" s="86"/>
      <c r="CU896" s="86"/>
      <c r="CV896" s="86"/>
      <c r="CW896" s="86"/>
      <c r="CX896" s="86"/>
      <c r="CY896" s="86"/>
      <c r="CZ896" s="86"/>
      <c r="DA896" s="86"/>
      <c r="DB896" s="86"/>
      <c r="DC896" s="86"/>
      <c r="DD896" s="86"/>
      <c r="DE896" s="86"/>
      <c r="DF896" s="86"/>
      <c r="DG896" s="86"/>
      <c r="DH896" s="86"/>
      <c r="DI896" s="86"/>
      <c r="DJ896" s="86"/>
      <c r="DK896" s="86"/>
      <c r="DL896" s="86"/>
      <c r="DM896" s="86"/>
      <c r="DN896" s="86"/>
      <c r="DO896" s="86"/>
      <c r="DP896" s="86"/>
      <c r="DQ896" s="86"/>
      <c r="DR896" s="118"/>
      <c r="DS896" s="118"/>
      <c r="DT896" s="86"/>
      <c r="DU896" s="86"/>
      <c r="DV896" s="86"/>
      <c r="DW896" s="86"/>
      <c r="DX896" s="86"/>
      <c r="DY896" s="86"/>
      <c r="DZ896" s="86"/>
      <c r="EA896" s="86"/>
      <c r="EB896" s="86"/>
      <c r="EC896" s="86"/>
      <c r="ED896" s="86"/>
      <c r="EE896" s="86"/>
      <c r="EF896" s="86"/>
      <c r="EG896" s="86"/>
      <c r="EH896" s="86"/>
      <c r="EI896" s="86"/>
      <c r="EJ896" s="86"/>
      <c r="EK896" s="86"/>
      <c r="EL896" s="86"/>
      <c r="EM896" s="86"/>
      <c r="EN896" s="86"/>
    </row>
    <row r="897" spans="1:144" ht="1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8"/>
      <c r="O897" s="88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86"/>
      <c r="CT897" s="86"/>
      <c r="CU897" s="86"/>
      <c r="CV897" s="86"/>
      <c r="CW897" s="86"/>
      <c r="CX897" s="86"/>
      <c r="CY897" s="86"/>
      <c r="CZ897" s="86"/>
      <c r="DA897" s="86"/>
      <c r="DB897" s="86"/>
      <c r="DC897" s="86"/>
      <c r="DD897" s="86"/>
      <c r="DE897" s="86"/>
      <c r="DF897" s="86"/>
      <c r="DG897" s="86"/>
      <c r="DH897" s="86"/>
      <c r="DI897" s="86"/>
      <c r="DJ897" s="86"/>
      <c r="DK897" s="86"/>
      <c r="DL897" s="86"/>
      <c r="DM897" s="86"/>
      <c r="DN897" s="86"/>
      <c r="DO897" s="86"/>
      <c r="DP897" s="86"/>
      <c r="DQ897" s="86"/>
      <c r="DR897" s="118"/>
      <c r="DS897" s="118"/>
      <c r="DT897" s="86"/>
      <c r="DU897" s="86"/>
      <c r="DV897" s="86"/>
      <c r="DW897" s="86"/>
      <c r="DX897" s="86"/>
      <c r="DY897" s="86"/>
      <c r="DZ897" s="86"/>
      <c r="EA897" s="86"/>
      <c r="EB897" s="86"/>
      <c r="EC897" s="86"/>
      <c r="ED897" s="86"/>
      <c r="EE897" s="86"/>
      <c r="EF897" s="86"/>
      <c r="EG897" s="86"/>
      <c r="EH897" s="86"/>
      <c r="EI897" s="86"/>
      <c r="EJ897" s="86"/>
      <c r="EK897" s="86"/>
      <c r="EL897" s="86"/>
      <c r="EM897" s="86"/>
      <c r="EN897" s="86"/>
    </row>
    <row r="898" spans="1:144" ht="1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8"/>
      <c r="O898" s="88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AS898" s="86"/>
      <c r="AT898" s="86"/>
      <c r="AU898" s="86"/>
      <c r="AV898" s="86"/>
      <c r="AW898" s="86"/>
      <c r="AX898" s="86"/>
      <c r="AY898" s="86"/>
      <c r="AZ898" s="86"/>
      <c r="BA898" s="86"/>
      <c r="BB898" s="86"/>
      <c r="BC898" s="86"/>
      <c r="BD898" s="86"/>
      <c r="BE898" s="86"/>
      <c r="BF898" s="86"/>
      <c r="BG898" s="86"/>
      <c r="BH898" s="86"/>
      <c r="BI898" s="86"/>
      <c r="BJ898" s="86"/>
      <c r="BK898" s="86"/>
      <c r="BL898" s="86"/>
      <c r="BM898" s="86"/>
      <c r="BN898" s="86"/>
      <c r="BO898" s="86"/>
      <c r="BP898" s="86"/>
      <c r="BQ898" s="86"/>
      <c r="BR898" s="86"/>
      <c r="BS898" s="86"/>
      <c r="BT898" s="86"/>
      <c r="BU898" s="86"/>
      <c r="BV898" s="86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  <c r="CO898" s="86"/>
      <c r="CP898" s="86"/>
      <c r="CQ898" s="86"/>
      <c r="CR898" s="86"/>
      <c r="CS898" s="86"/>
      <c r="CT898" s="86"/>
      <c r="CU898" s="86"/>
      <c r="CV898" s="86"/>
      <c r="CW898" s="86"/>
      <c r="CX898" s="86"/>
      <c r="CY898" s="86"/>
      <c r="CZ898" s="86"/>
      <c r="DA898" s="86"/>
      <c r="DB898" s="86"/>
      <c r="DC898" s="86"/>
      <c r="DD898" s="86"/>
      <c r="DE898" s="86"/>
      <c r="DF898" s="86"/>
      <c r="DG898" s="86"/>
      <c r="DH898" s="86"/>
      <c r="DI898" s="86"/>
      <c r="DJ898" s="86"/>
      <c r="DK898" s="86"/>
      <c r="DL898" s="86"/>
      <c r="DM898" s="86"/>
      <c r="DN898" s="86"/>
      <c r="DO898" s="86"/>
      <c r="DP898" s="86"/>
      <c r="DQ898" s="86"/>
      <c r="DR898" s="118"/>
      <c r="DS898" s="118"/>
      <c r="DT898" s="86"/>
      <c r="DU898" s="86"/>
      <c r="DV898" s="86"/>
      <c r="DW898" s="86"/>
      <c r="DX898" s="86"/>
      <c r="DY898" s="86"/>
      <c r="DZ898" s="86"/>
      <c r="EA898" s="86"/>
      <c r="EB898" s="86"/>
      <c r="EC898" s="86"/>
      <c r="ED898" s="86"/>
      <c r="EE898" s="86"/>
      <c r="EF898" s="86"/>
      <c r="EG898" s="86"/>
      <c r="EH898" s="86"/>
      <c r="EI898" s="86"/>
      <c r="EJ898" s="86"/>
      <c r="EK898" s="86"/>
      <c r="EL898" s="86"/>
      <c r="EM898" s="86"/>
      <c r="EN898" s="86"/>
    </row>
    <row r="899" spans="1:144" ht="1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8"/>
      <c r="O899" s="88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AS899" s="86"/>
      <c r="AT899" s="86"/>
      <c r="AU899" s="86"/>
      <c r="AV899" s="86"/>
      <c r="AW899" s="86"/>
      <c r="AX899" s="86"/>
      <c r="AY899" s="86"/>
      <c r="AZ899" s="86"/>
      <c r="BA899" s="86"/>
      <c r="BB899" s="86"/>
      <c r="BC899" s="86"/>
      <c r="BD899" s="86"/>
      <c r="BE899" s="86"/>
      <c r="BF899" s="86"/>
      <c r="BG899" s="86"/>
      <c r="BH899" s="86"/>
      <c r="BI899" s="86"/>
      <c r="BJ899" s="86"/>
      <c r="BK899" s="86"/>
      <c r="BL899" s="86"/>
      <c r="BM899" s="86"/>
      <c r="BN899" s="86"/>
      <c r="BO899" s="86"/>
      <c r="BP899" s="86"/>
      <c r="BQ899" s="86"/>
      <c r="BR899" s="86"/>
      <c r="BS899" s="86"/>
      <c r="BT899" s="86"/>
      <c r="BU899" s="86"/>
      <c r="BV899" s="86"/>
      <c r="BW899" s="86"/>
      <c r="BX899" s="86"/>
      <c r="BY899" s="86"/>
      <c r="BZ899" s="86"/>
      <c r="CA899" s="86"/>
      <c r="CB899" s="86"/>
      <c r="CC899" s="86"/>
      <c r="CD899" s="86"/>
      <c r="CE899" s="86"/>
      <c r="CF899" s="86"/>
      <c r="CG899" s="86"/>
      <c r="CH899" s="86"/>
      <c r="CI899" s="86"/>
      <c r="CJ899" s="86"/>
      <c r="CK899" s="86"/>
      <c r="CL899" s="86"/>
      <c r="CM899" s="86"/>
      <c r="CN899" s="86"/>
      <c r="CO899" s="86"/>
      <c r="CP899" s="86"/>
      <c r="CQ899" s="86"/>
      <c r="CR899" s="86"/>
      <c r="CS899" s="86"/>
      <c r="CT899" s="86"/>
      <c r="CU899" s="86"/>
      <c r="CV899" s="86"/>
      <c r="CW899" s="86"/>
      <c r="CX899" s="86"/>
      <c r="CY899" s="86"/>
      <c r="CZ899" s="86"/>
      <c r="DA899" s="86"/>
      <c r="DB899" s="86"/>
      <c r="DC899" s="86"/>
      <c r="DD899" s="86"/>
      <c r="DE899" s="86"/>
      <c r="DF899" s="86"/>
      <c r="DG899" s="86"/>
      <c r="DH899" s="86"/>
      <c r="DI899" s="86"/>
      <c r="DJ899" s="86"/>
      <c r="DK899" s="86"/>
      <c r="DL899" s="86"/>
      <c r="DM899" s="86"/>
      <c r="DN899" s="86"/>
      <c r="DO899" s="86"/>
      <c r="DP899" s="86"/>
      <c r="DQ899" s="86"/>
      <c r="DR899" s="118"/>
      <c r="DS899" s="118"/>
      <c r="DT899" s="86"/>
      <c r="DU899" s="86"/>
      <c r="DV899" s="86"/>
      <c r="DW899" s="86"/>
      <c r="DX899" s="86"/>
      <c r="DY899" s="86"/>
      <c r="DZ899" s="86"/>
      <c r="EA899" s="86"/>
      <c r="EB899" s="86"/>
      <c r="EC899" s="86"/>
      <c r="ED899" s="86"/>
      <c r="EE899" s="86"/>
      <c r="EF899" s="86"/>
      <c r="EG899" s="86"/>
      <c r="EH899" s="86"/>
      <c r="EI899" s="86"/>
      <c r="EJ899" s="86"/>
      <c r="EK899" s="86"/>
      <c r="EL899" s="86"/>
      <c r="EM899" s="86"/>
      <c r="EN899" s="86"/>
    </row>
    <row r="900" spans="1:144" ht="1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8"/>
      <c r="O900" s="88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86"/>
      <c r="CT900" s="86"/>
      <c r="CU900" s="86"/>
      <c r="CV900" s="86"/>
      <c r="CW900" s="86"/>
      <c r="CX900" s="86"/>
      <c r="CY900" s="86"/>
      <c r="CZ900" s="86"/>
      <c r="DA900" s="86"/>
      <c r="DB900" s="86"/>
      <c r="DC900" s="86"/>
      <c r="DD900" s="86"/>
      <c r="DE900" s="86"/>
      <c r="DF900" s="86"/>
      <c r="DG900" s="86"/>
      <c r="DH900" s="86"/>
      <c r="DI900" s="86"/>
      <c r="DJ900" s="86"/>
      <c r="DK900" s="86"/>
      <c r="DL900" s="86"/>
      <c r="DM900" s="86"/>
      <c r="DN900" s="86"/>
      <c r="DO900" s="86"/>
      <c r="DP900" s="86"/>
      <c r="DQ900" s="86"/>
      <c r="DR900" s="118"/>
      <c r="DS900" s="118"/>
      <c r="DT900" s="86"/>
      <c r="DU900" s="86"/>
      <c r="DV900" s="86"/>
      <c r="DW900" s="86"/>
      <c r="DX900" s="86"/>
      <c r="DY900" s="86"/>
      <c r="DZ900" s="86"/>
      <c r="EA900" s="86"/>
      <c r="EB900" s="86"/>
      <c r="EC900" s="86"/>
      <c r="ED900" s="86"/>
      <c r="EE900" s="86"/>
      <c r="EF900" s="86"/>
      <c r="EG900" s="86"/>
      <c r="EH900" s="86"/>
      <c r="EI900" s="86"/>
      <c r="EJ900" s="86"/>
      <c r="EK900" s="86"/>
      <c r="EL900" s="86"/>
      <c r="EM900" s="86"/>
      <c r="EN900" s="86"/>
    </row>
    <row r="901" spans="1:144" ht="1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8"/>
      <c r="O901" s="88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AS901" s="86"/>
      <c r="AT901" s="86"/>
      <c r="AU901" s="86"/>
      <c r="AV901" s="86"/>
      <c r="AW901" s="86"/>
      <c r="AX901" s="86"/>
      <c r="AY901" s="86"/>
      <c r="AZ901" s="86"/>
      <c r="BA901" s="86"/>
      <c r="BB901" s="86"/>
      <c r="BC901" s="86"/>
      <c r="BD901" s="86"/>
      <c r="BE901" s="86"/>
      <c r="BF901" s="86"/>
      <c r="BG901" s="86"/>
      <c r="BH901" s="86"/>
      <c r="BI901" s="86"/>
      <c r="BJ901" s="86"/>
      <c r="BK901" s="86"/>
      <c r="BL901" s="86"/>
      <c r="BM901" s="86"/>
      <c r="BN901" s="86"/>
      <c r="BO901" s="86"/>
      <c r="BP901" s="86"/>
      <c r="BQ901" s="86"/>
      <c r="BR901" s="86"/>
      <c r="BS901" s="86"/>
      <c r="BT901" s="86"/>
      <c r="BU901" s="86"/>
      <c r="BV901" s="86"/>
      <c r="BW901" s="86"/>
      <c r="BX901" s="86"/>
      <c r="BY901" s="86"/>
      <c r="BZ901" s="86"/>
      <c r="CA901" s="86"/>
      <c r="CB901" s="86"/>
      <c r="CC901" s="86"/>
      <c r="CD901" s="86"/>
      <c r="CE901" s="86"/>
      <c r="CF901" s="86"/>
      <c r="CG901" s="86"/>
      <c r="CH901" s="86"/>
      <c r="CI901" s="86"/>
      <c r="CJ901" s="86"/>
      <c r="CK901" s="86"/>
      <c r="CL901" s="86"/>
      <c r="CM901" s="86"/>
      <c r="CN901" s="86"/>
      <c r="CO901" s="86"/>
      <c r="CP901" s="86"/>
      <c r="CQ901" s="86"/>
      <c r="CR901" s="86"/>
      <c r="CS901" s="86"/>
      <c r="CT901" s="86"/>
      <c r="CU901" s="86"/>
      <c r="CV901" s="86"/>
      <c r="CW901" s="86"/>
      <c r="CX901" s="86"/>
      <c r="CY901" s="86"/>
      <c r="CZ901" s="86"/>
      <c r="DA901" s="86"/>
      <c r="DB901" s="86"/>
      <c r="DC901" s="86"/>
      <c r="DD901" s="86"/>
      <c r="DE901" s="86"/>
      <c r="DF901" s="86"/>
      <c r="DG901" s="86"/>
      <c r="DH901" s="86"/>
      <c r="DI901" s="86"/>
      <c r="DJ901" s="86"/>
      <c r="DK901" s="86"/>
      <c r="DL901" s="86"/>
      <c r="DM901" s="86"/>
      <c r="DN901" s="86"/>
      <c r="DO901" s="86"/>
      <c r="DP901" s="86"/>
      <c r="DQ901" s="86"/>
      <c r="DR901" s="118"/>
      <c r="DS901" s="118"/>
      <c r="DT901" s="86"/>
      <c r="DU901" s="86"/>
      <c r="DV901" s="86"/>
      <c r="DW901" s="86"/>
      <c r="DX901" s="86"/>
      <c r="DY901" s="86"/>
      <c r="DZ901" s="86"/>
      <c r="EA901" s="86"/>
      <c r="EB901" s="86"/>
      <c r="EC901" s="86"/>
      <c r="ED901" s="86"/>
      <c r="EE901" s="86"/>
      <c r="EF901" s="86"/>
      <c r="EG901" s="86"/>
      <c r="EH901" s="86"/>
      <c r="EI901" s="86"/>
      <c r="EJ901" s="86"/>
      <c r="EK901" s="86"/>
      <c r="EL901" s="86"/>
      <c r="EM901" s="86"/>
      <c r="EN901" s="86"/>
    </row>
    <row r="902" spans="1:144" ht="1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8"/>
      <c r="O902" s="88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AS902" s="86"/>
      <c r="AT902" s="86"/>
      <c r="AU902" s="86"/>
      <c r="AV902" s="86"/>
      <c r="AW902" s="86"/>
      <c r="AX902" s="86"/>
      <c r="AY902" s="86"/>
      <c r="AZ902" s="86"/>
      <c r="BA902" s="86"/>
      <c r="BB902" s="86"/>
      <c r="BC902" s="86"/>
      <c r="BD902" s="86"/>
      <c r="BE902" s="86"/>
      <c r="BF902" s="86"/>
      <c r="BG902" s="86"/>
      <c r="BH902" s="86"/>
      <c r="BI902" s="86"/>
      <c r="BJ902" s="86"/>
      <c r="BK902" s="86"/>
      <c r="BL902" s="86"/>
      <c r="BM902" s="86"/>
      <c r="BN902" s="86"/>
      <c r="BO902" s="86"/>
      <c r="BP902" s="86"/>
      <c r="BQ902" s="86"/>
      <c r="BR902" s="86"/>
      <c r="BS902" s="86"/>
      <c r="BT902" s="86"/>
      <c r="BU902" s="86"/>
      <c r="BV902" s="86"/>
      <c r="BW902" s="86"/>
      <c r="BX902" s="86"/>
      <c r="BY902" s="86"/>
      <c r="BZ902" s="86"/>
      <c r="CA902" s="86"/>
      <c r="CB902" s="86"/>
      <c r="CC902" s="86"/>
      <c r="CD902" s="86"/>
      <c r="CE902" s="86"/>
      <c r="CF902" s="86"/>
      <c r="CG902" s="86"/>
      <c r="CH902" s="86"/>
      <c r="CI902" s="86"/>
      <c r="CJ902" s="86"/>
      <c r="CK902" s="86"/>
      <c r="CL902" s="86"/>
      <c r="CM902" s="86"/>
      <c r="CN902" s="86"/>
      <c r="CO902" s="86"/>
      <c r="CP902" s="86"/>
      <c r="CQ902" s="86"/>
      <c r="CR902" s="86"/>
      <c r="CS902" s="86"/>
      <c r="CT902" s="86"/>
      <c r="CU902" s="86"/>
      <c r="CV902" s="86"/>
      <c r="CW902" s="86"/>
      <c r="CX902" s="86"/>
      <c r="CY902" s="86"/>
      <c r="CZ902" s="86"/>
      <c r="DA902" s="86"/>
      <c r="DB902" s="86"/>
      <c r="DC902" s="86"/>
      <c r="DD902" s="86"/>
      <c r="DE902" s="86"/>
      <c r="DF902" s="86"/>
      <c r="DG902" s="86"/>
      <c r="DH902" s="86"/>
      <c r="DI902" s="86"/>
      <c r="DJ902" s="86"/>
      <c r="DK902" s="86"/>
      <c r="DL902" s="86"/>
      <c r="DM902" s="86"/>
      <c r="DN902" s="86"/>
      <c r="DO902" s="86"/>
      <c r="DP902" s="86"/>
      <c r="DQ902" s="86"/>
      <c r="DR902" s="118"/>
      <c r="DS902" s="118"/>
      <c r="DT902" s="86"/>
      <c r="DU902" s="86"/>
      <c r="DV902" s="86"/>
      <c r="DW902" s="86"/>
      <c r="DX902" s="86"/>
      <c r="DY902" s="86"/>
      <c r="DZ902" s="86"/>
      <c r="EA902" s="86"/>
      <c r="EB902" s="86"/>
      <c r="EC902" s="86"/>
      <c r="ED902" s="86"/>
      <c r="EE902" s="86"/>
      <c r="EF902" s="86"/>
      <c r="EG902" s="86"/>
      <c r="EH902" s="86"/>
      <c r="EI902" s="86"/>
      <c r="EJ902" s="86"/>
      <c r="EK902" s="86"/>
      <c r="EL902" s="86"/>
      <c r="EM902" s="86"/>
      <c r="EN902" s="86"/>
    </row>
    <row r="903" spans="1:144" ht="1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8"/>
      <c r="O903" s="88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86"/>
      <c r="AT903" s="86"/>
      <c r="AU903" s="86"/>
      <c r="AV903" s="86"/>
      <c r="AW903" s="86"/>
      <c r="AX903" s="86"/>
      <c r="AY903" s="86"/>
      <c r="AZ903" s="86"/>
      <c r="BA903" s="86"/>
      <c r="BB903" s="86"/>
      <c r="BC903" s="86"/>
      <c r="BD903" s="86"/>
      <c r="BE903" s="86"/>
      <c r="BF903" s="86"/>
      <c r="BG903" s="86"/>
      <c r="BH903" s="86"/>
      <c r="BI903" s="86"/>
      <c r="BJ903" s="86"/>
      <c r="BK903" s="86"/>
      <c r="BL903" s="86"/>
      <c r="BM903" s="86"/>
      <c r="BN903" s="86"/>
      <c r="BO903" s="86"/>
      <c r="BP903" s="86"/>
      <c r="BQ903" s="86"/>
      <c r="BR903" s="86"/>
      <c r="BS903" s="86"/>
      <c r="BT903" s="86"/>
      <c r="BU903" s="86"/>
      <c r="BV903" s="86"/>
      <c r="BW903" s="86"/>
      <c r="BX903" s="86"/>
      <c r="BY903" s="86"/>
      <c r="BZ903" s="86"/>
      <c r="CA903" s="86"/>
      <c r="CB903" s="86"/>
      <c r="CC903" s="86"/>
      <c r="CD903" s="86"/>
      <c r="CE903" s="86"/>
      <c r="CF903" s="86"/>
      <c r="CG903" s="86"/>
      <c r="CH903" s="86"/>
      <c r="CI903" s="86"/>
      <c r="CJ903" s="86"/>
      <c r="CK903" s="86"/>
      <c r="CL903" s="86"/>
      <c r="CM903" s="86"/>
      <c r="CN903" s="86"/>
      <c r="CO903" s="86"/>
      <c r="CP903" s="86"/>
      <c r="CQ903" s="86"/>
      <c r="CR903" s="86"/>
      <c r="CS903" s="86"/>
      <c r="CT903" s="86"/>
      <c r="CU903" s="86"/>
      <c r="CV903" s="86"/>
      <c r="CW903" s="86"/>
      <c r="CX903" s="86"/>
      <c r="CY903" s="86"/>
      <c r="CZ903" s="86"/>
      <c r="DA903" s="86"/>
      <c r="DB903" s="86"/>
      <c r="DC903" s="86"/>
      <c r="DD903" s="86"/>
      <c r="DE903" s="86"/>
      <c r="DF903" s="86"/>
      <c r="DG903" s="86"/>
      <c r="DH903" s="86"/>
      <c r="DI903" s="86"/>
      <c r="DJ903" s="86"/>
      <c r="DK903" s="86"/>
      <c r="DL903" s="86"/>
      <c r="DM903" s="86"/>
      <c r="DN903" s="86"/>
      <c r="DO903" s="86"/>
      <c r="DP903" s="86"/>
      <c r="DQ903" s="86"/>
      <c r="DR903" s="118"/>
      <c r="DS903" s="118"/>
      <c r="DT903" s="86"/>
      <c r="DU903" s="86"/>
      <c r="DV903" s="86"/>
      <c r="DW903" s="86"/>
      <c r="DX903" s="86"/>
      <c r="DY903" s="86"/>
      <c r="DZ903" s="86"/>
      <c r="EA903" s="86"/>
      <c r="EB903" s="86"/>
      <c r="EC903" s="86"/>
      <c r="ED903" s="86"/>
      <c r="EE903" s="86"/>
      <c r="EF903" s="86"/>
      <c r="EG903" s="86"/>
      <c r="EH903" s="86"/>
      <c r="EI903" s="86"/>
      <c r="EJ903" s="86"/>
      <c r="EK903" s="86"/>
      <c r="EL903" s="86"/>
      <c r="EM903" s="86"/>
      <c r="EN903" s="86"/>
    </row>
    <row r="904" spans="1:144" ht="1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8"/>
      <c r="O904" s="88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H904" s="86"/>
      <c r="BI904" s="86"/>
      <c r="BJ904" s="86"/>
      <c r="BK904" s="86"/>
      <c r="BL904" s="86"/>
      <c r="BM904" s="86"/>
      <c r="BN904" s="86"/>
      <c r="BO904" s="86"/>
      <c r="BP904" s="86"/>
      <c r="BQ904" s="86"/>
      <c r="BR904" s="86"/>
      <c r="BS904" s="86"/>
      <c r="BT904" s="86"/>
      <c r="BU904" s="86"/>
      <c r="BV904" s="86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86"/>
      <c r="CS904" s="86"/>
      <c r="CT904" s="86"/>
      <c r="CU904" s="86"/>
      <c r="CV904" s="86"/>
      <c r="CW904" s="86"/>
      <c r="CX904" s="86"/>
      <c r="CY904" s="86"/>
      <c r="CZ904" s="86"/>
      <c r="DA904" s="86"/>
      <c r="DB904" s="86"/>
      <c r="DC904" s="86"/>
      <c r="DD904" s="86"/>
      <c r="DE904" s="86"/>
      <c r="DF904" s="86"/>
      <c r="DG904" s="86"/>
      <c r="DH904" s="86"/>
      <c r="DI904" s="86"/>
      <c r="DJ904" s="86"/>
      <c r="DK904" s="86"/>
      <c r="DL904" s="86"/>
      <c r="DM904" s="86"/>
      <c r="DN904" s="86"/>
      <c r="DO904" s="86"/>
      <c r="DP904" s="86"/>
      <c r="DQ904" s="86"/>
      <c r="DR904" s="118"/>
      <c r="DS904" s="118"/>
      <c r="DT904" s="86"/>
      <c r="DU904" s="86"/>
      <c r="DV904" s="86"/>
      <c r="DW904" s="86"/>
      <c r="DX904" s="86"/>
      <c r="DY904" s="86"/>
      <c r="DZ904" s="86"/>
      <c r="EA904" s="86"/>
      <c r="EB904" s="86"/>
      <c r="EC904" s="86"/>
      <c r="ED904" s="86"/>
      <c r="EE904" s="86"/>
      <c r="EF904" s="86"/>
      <c r="EG904" s="86"/>
      <c r="EH904" s="86"/>
      <c r="EI904" s="86"/>
      <c r="EJ904" s="86"/>
      <c r="EK904" s="86"/>
      <c r="EL904" s="86"/>
      <c r="EM904" s="86"/>
      <c r="EN904" s="86"/>
    </row>
    <row r="905" spans="1:144" ht="1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8"/>
      <c r="O905" s="88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86"/>
      <c r="AT905" s="86"/>
      <c r="AU905" s="86"/>
      <c r="AV905" s="86"/>
      <c r="AW905" s="86"/>
      <c r="AX905" s="86"/>
      <c r="AY905" s="86"/>
      <c r="AZ905" s="86"/>
      <c r="BA905" s="86"/>
      <c r="BB905" s="86"/>
      <c r="BC905" s="86"/>
      <c r="BD905" s="86"/>
      <c r="BE905" s="86"/>
      <c r="BF905" s="86"/>
      <c r="BG905" s="86"/>
      <c r="BH905" s="86"/>
      <c r="BI905" s="86"/>
      <c r="BJ905" s="86"/>
      <c r="BK905" s="86"/>
      <c r="BL905" s="86"/>
      <c r="BM905" s="86"/>
      <c r="BN905" s="86"/>
      <c r="BO905" s="86"/>
      <c r="BP905" s="86"/>
      <c r="BQ905" s="86"/>
      <c r="BR905" s="86"/>
      <c r="BS905" s="86"/>
      <c r="BT905" s="86"/>
      <c r="BU905" s="86"/>
      <c r="BV905" s="86"/>
      <c r="BW905" s="86"/>
      <c r="BX905" s="86"/>
      <c r="BY905" s="86"/>
      <c r="BZ905" s="86"/>
      <c r="CA905" s="86"/>
      <c r="CB905" s="86"/>
      <c r="CC905" s="86"/>
      <c r="CD905" s="86"/>
      <c r="CE905" s="86"/>
      <c r="CF905" s="86"/>
      <c r="CG905" s="86"/>
      <c r="CH905" s="86"/>
      <c r="CI905" s="86"/>
      <c r="CJ905" s="86"/>
      <c r="CK905" s="86"/>
      <c r="CL905" s="86"/>
      <c r="CM905" s="86"/>
      <c r="CN905" s="86"/>
      <c r="CO905" s="86"/>
      <c r="CP905" s="86"/>
      <c r="CQ905" s="86"/>
      <c r="CR905" s="86"/>
      <c r="CS905" s="86"/>
      <c r="CT905" s="86"/>
      <c r="CU905" s="86"/>
      <c r="CV905" s="86"/>
      <c r="CW905" s="86"/>
      <c r="CX905" s="86"/>
      <c r="CY905" s="86"/>
      <c r="CZ905" s="86"/>
      <c r="DA905" s="86"/>
      <c r="DB905" s="86"/>
      <c r="DC905" s="86"/>
      <c r="DD905" s="86"/>
      <c r="DE905" s="86"/>
      <c r="DF905" s="86"/>
      <c r="DG905" s="86"/>
      <c r="DH905" s="86"/>
      <c r="DI905" s="86"/>
      <c r="DJ905" s="86"/>
      <c r="DK905" s="86"/>
      <c r="DL905" s="86"/>
      <c r="DM905" s="86"/>
      <c r="DN905" s="86"/>
      <c r="DO905" s="86"/>
      <c r="DP905" s="86"/>
      <c r="DQ905" s="86"/>
      <c r="DR905" s="118"/>
      <c r="DS905" s="118"/>
      <c r="DT905" s="86"/>
      <c r="DU905" s="86"/>
      <c r="DV905" s="86"/>
      <c r="DW905" s="86"/>
      <c r="DX905" s="86"/>
      <c r="DY905" s="86"/>
      <c r="DZ905" s="86"/>
      <c r="EA905" s="86"/>
      <c r="EB905" s="86"/>
      <c r="EC905" s="86"/>
      <c r="ED905" s="86"/>
      <c r="EE905" s="86"/>
      <c r="EF905" s="86"/>
      <c r="EG905" s="86"/>
      <c r="EH905" s="86"/>
      <c r="EI905" s="86"/>
      <c r="EJ905" s="86"/>
      <c r="EK905" s="86"/>
      <c r="EL905" s="86"/>
      <c r="EM905" s="86"/>
      <c r="EN905" s="86"/>
    </row>
    <row r="906" spans="1:144" ht="1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8"/>
      <c r="O906" s="88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86"/>
      <c r="AT906" s="86"/>
      <c r="AU906" s="86"/>
      <c r="AV906" s="86"/>
      <c r="AW906" s="86"/>
      <c r="AX906" s="86"/>
      <c r="AY906" s="86"/>
      <c r="AZ906" s="86"/>
      <c r="BA906" s="86"/>
      <c r="BB906" s="86"/>
      <c r="BC906" s="86"/>
      <c r="BD906" s="86"/>
      <c r="BE906" s="86"/>
      <c r="BF906" s="86"/>
      <c r="BG906" s="86"/>
      <c r="BH906" s="86"/>
      <c r="BI906" s="86"/>
      <c r="BJ906" s="86"/>
      <c r="BK906" s="86"/>
      <c r="BL906" s="86"/>
      <c r="BM906" s="86"/>
      <c r="BN906" s="86"/>
      <c r="BO906" s="86"/>
      <c r="BP906" s="86"/>
      <c r="BQ906" s="86"/>
      <c r="BR906" s="86"/>
      <c r="BS906" s="86"/>
      <c r="BT906" s="86"/>
      <c r="BU906" s="86"/>
      <c r="BV906" s="86"/>
      <c r="BW906" s="86"/>
      <c r="BX906" s="86"/>
      <c r="BY906" s="86"/>
      <c r="BZ906" s="86"/>
      <c r="CA906" s="86"/>
      <c r="CB906" s="86"/>
      <c r="CC906" s="86"/>
      <c r="CD906" s="86"/>
      <c r="CE906" s="86"/>
      <c r="CF906" s="86"/>
      <c r="CG906" s="86"/>
      <c r="CH906" s="86"/>
      <c r="CI906" s="86"/>
      <c r="CJ906" s="86"/>
      <c r="CK906" s="86"/>
      <c r="CL906" s="86"/>
      <c r="CM906" s="86"/>
      <c r="CN906" s="86"/>
      <c r="CO906" s="86"/>
      <c r="CP906" s="86"/>
      <c r="CQ906" s="86"/>
      <c r="CR906" s="86"/>
      <c r="CS906" s="86"/>
      <c r="CT906" s="86"/>
      <c r="CU906" s="86"/>
      <c r="CV906" s="86"/>
      <c r="CW906" s="86"/>
      <c r="CX906" s="86"/>
      <c r="CY906" s="86"/>
      <c r="CZ906" s="86"/>
      <c r="DA906" s="86"/>
      <c r="DB906" s="86"/>
      <c r="DC906" s="86"/>
      <c r="DD906" s="86"/>
      <c r="DE906" s="86"/>
      <c r="DF906" s="86"/>
      <c r="DG906" s="86"/>
      <c r="DH906" s="86"/>
      <c r="DI906" s="86"/>
      <c r="DJ906" s="86"/>
      <c r="DK906" s="86"/>
      <c r="DL906" s="86"/>
      <c r="DM906" s="86"/>
      <c r="DN906" s="86"/>
      <c r="DO906" s="86"/>
      <c r="DP906" s="86"/>
      <c r="DQ906" s="86"/>
      <c r="DR906" s="118"/>
      <c r="DS906" s="118"/>
      <c r="DT906" s="86"/>
      <c r="DU906" s="86"/>
      <c r="DV906" s="86"/>
      <c r="DW906" s="86"/>
      <c r="DX906" s="86"/>
      <c r="DY906" s="86"/>
      <c r="DZ906" s="86"/>
      <c r="EA906" s="86"/>
      <c r="EB906" s="86"/>
      <c r="EC906" s="86"/>
      <c r="ED906" s="86"/>
      <c r="EE906" s="86"/>
      <c r="EF906" s="86"/>
      <c r="EG906" s="86"/>
      <c r="EH906" s="86"/>
      <c r="EI906" s="86"/>
      <c r="EJ906" s="86"/>
      <c r="EK906" s="86"/>
      <c r="EL906" s="86"/>
      <c r="EM906" s="86"/>
      <c r="EN906" s="86"/>
    </row>
    <row r="907" spans="1:144" ht="1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8"/>
      <c r="O907" s="88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AS907" s="86"/>
      <c r="AT907" s="86"/>
      <c r="AU907" s="86"/>
      <c r="AV907" s="86"/>
      <c r="AW907" s="86"/>
      <c r="AX907" s="86"/>
      <c r="AY907" s="86"/>
      <c r="AZ907" s="86"/>
      <c r="BA907" s="86"/>
      <c r="BB907" s="86"/>
      <c r="BC907" s="86"/>
      <c r="BD907" s="86"/>
      <c r="BE907" s="86"/>
      <c r="BF907" s="86"/>
      <c r="BG907" s="86"/>
      <c r="BH907" s="86"/>
      <c r="BI907" s="86"/>
      <c r="BJ907" s="86"/>
      <c r="BK907" s="86"/>
      <c r="BL907" s="86"/>
      <c r="BM907" s="86"/>
      <c r="BN907" s="86"/>
      <c r="BO907" s="86"/>
      <c r="BP907" s="86"/>
      <c r="BQ907" s="86"/>
      <c r="BR907" s="86"/>
      <c r="BS907" s="86"/>
      <c r="BT907" s="86"/>
      <c r="BU907" s="86"/>
      <c r="BV907" s="86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  <c r="CO907" s="86"/>
      <c r="CP907" s="86"/>
      <c r="CQ907" s="86"/>
      <c r="CR907" s="86"/>
      <c r="CS907" s="86"/>
      <c r="CT907" s="86"/>
      <c r="CU907" s="86"/>
      <c r="CV907" s="86"/>
      <c r="CW907" s="86"/>
      <c r="CX907" s="86"/>
      <c r="CY907" s="86"/>
      <c r="CZ907" s="86"/>
      <c r="DA907" s="86"/>
      <c r="DB907" s="86"/>
      <c r="DC907" s="86"/>
      <c r="DD907" s="86"/>
      <c r="DE907" s="86"/>
      <c r="DF907" s="86"/>
      <c r="DG907" s="86"/>
      <c r="DH907" s="86"/>
      <c r="DI907" s="86"/>
      <c r="DJ907" s="86"/>
      <c r="DK907" s="86"/>
      <c r="DL907" s="86"/>
      <c r="DM907" s="86"/>
      <c r="DN907" s="86"/>
      <c r="DO907" s="86"/>
      <c r="DP907" s="86"/>
      <c r="DQ907" s="86"/>
      <c r="DR907" s="118"/>
      <c r="DS907" s="118"/>
      <c r="DT907" s="86"/>
      <c r="DU907" s="86"/>
      <c r="DV907" s="86"/>
      <c r="DW907" s="86"/>
      <c r="DX907" s="86"/>
      <c r="DY907" s="86"/>
      <c r="DZ907" s="86"/>
      <c r="EA907" s="86"/>
      <c r="EB907" s="86"/>
      <c r="EC907" s="86"/>
      <c r="ED907" s="86"/>
      <c r="EE907" s="86"/>
      <c r="EF907" s="86"/>
      <c r="EG907" s="86"/>
      <c r="EH907" s="86"/>
      <c r="EI907" s="86"/>
      <c r="EJ907" s="86"/>
      <c r="EK907" s="86"/>
      <c r="EL907" s="86"/>
      <c r="EM907" s="86"/>
      <c r="EN907" s="86"/>
    </row>
    <row r="908" spans="1:144" ht="1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8"/>
      <c r="O908" s="88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AS908" s="86"/>
      <c r="AT908" s="86"/>
      <c r="AU908" s="86"/>
      <c r="AV908" s="86"/>
      <c r="AW908" s="86"/>
      <c r="AX908" s="86"/>
      <c r="AY908" s="86"/>
      <c r="AZ908" s="86"/>
      <c r="BA908" s="86"/>
      <c r="BB908" s="86"/>
      <c r="BC908" s="86"/>
      <c r="BD908" s="86"/>
      <c r="BE908" s="86"/>
      <c r="BF908" s="86"/>
      <c r="BG908" s="86"/>
      <c r="BH908" s="86"/>
      <c r="BI908" s="86"/>
      <c r="BJ908" s="86"/>
      <c r="BK908" s="86"/>
      <c r="BL908" s="86"/>
      <c r="BM908" s="86"/>
      <c r="BN908" s="86"/>
      <c r="BO908" s="86"/>
      <c r="BP908" s="86"/>
      <c r="BQ908" s="86"/>
      <c r="BR908" s="86"/>
      <c r="BS908" s="86"/>
      <c r="BT908" s="86"/>
      <c r="BU908" s="86"/>
      <c r="BV908" s="86"/>
      <c r="BW908" s="86"/>
      <c r="BX908" s="86"/>
      <c r="BY908" s="86"/>
      <c r="BZ908" s="86"/>
      <c r="CA908" s="86"/>
      <c r="CB908" s="86"/>
      <c r="CC908" s="86"/>
      <c r="CD908" s="86"/>
      <c r="CE908" s="86"/>
      <c r="CF908" s="86"/>
      <c r="CG908" s="86"/>
      <c r="CH908" s="86"/>
      <c r="CI908" s="86"/>
      <c r="CJ908" s="86"/>
      <c r="CK908" s="86"/>
      <c r="CL908" s="86"/>
      <c r="CM908" s="86"/>
      <c r="CN908" s="86"/>
      <c r="CO908" s="86"/>
      <c r="CP908" s="86"/>
      <c r="CQ908" s="86"/>
      <c r="CR908" s="86"/>
      <c r="CS908" s="86"/>
      <c r="CT908" s="86"/>
      <c r="CU908" s="86"/>
      <c r="CV908" s="86"/>
      <c r="CW908" s="86"/>
      <c r="CX908" s="86"/>
      <c r="CY908" s="86"/>
      <c r="CZ908" s="86"/>
      <c r="DA908" s="86"/>
      <c r="DB908" s="86"/>
      <c r="DC908" s="86"/>
      <c r="DD908" s="86"/>
      <c r="DE908" s="86"/>
      <c r="DF908" s="86"/>
      <c r="DG908" s="86"/>
      <c r="DH908" s="86"/>
      <c r="DI908" s="86"/>
      <c r="DJ908" s="86"/>
      <c r="DK908" s="86"/>
      <c r="DL908" s="86"/>
      <c r="DM908" s="86"/>
      <c r="DN908" s="86"/>
      <c r="DO908" s="86"/>
      <c r="DP908" s="86"/>
      <c r="DQ908" s="86"/>
      <c r="DR908" s="118"/>
      <c r="DS908" s="118"/>
      <c r="DT908" s="86"/>
      <c r="DU908" s="86"/>
      <c r="DV908" s="86"/>
      <c r="DW908" s="86"/>
      <c r="DX908" s="86"/>
      <c r="DY908" s="86"/>
      <c r="DZ908" s="86"/>
      <c r="EA908" s="86"/>
      <c r="EB908" s="86"/>
      <c r="EC908" s="86"/>
      <c r="ED908" s="86"/>
      <c r="EE908" s="86"/>
      <c r="EF908" s="86"/>
      <c r="EG908" s="86"/>
      <c r="EH908" s="86"/>
      <c r="EI908" s="86"/>
      <c r="EJ908" s="86"/>
      <c r="EK908" s="86"/>
      <c r="EL908" s="86"/>
      <c r="EM908" s="86"/>
      <c r="EN908" s="86"/>
    </row>
    <row r="909" spans="1:144" ht="1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8"/>
      <c r="O909" s="88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AS909" s="86"/>
      <c r="AT909" s="86"/>
      <c r="AU909" s="86"/>
      <c r="AV909" s="86"/>
      <c r="AW909" s="86"/>
      <c r="AX909" s="86"/>
      <c r="AY909" s="86"/>
      <c r="AZ909" s="86"/>
      <c r="BA909" s="86"/>
      <c r="BB909" s="86"/>
      <c r="BC909" s="86"/>
      <c r="BD909" s="86"/>
      <c r="BE909" s="86"/>
      <c r="BF909" s="86"/>
      <c r="BG909" s="86"/>
      <c r="BH909" s="86"/>
      <c r="BI909" s="86"/>
      <c r="BJ909" s="86"/>
      <c r="BK909" s="86"/>
      <c r="BL909" s="86"/>
      <c r="BM909" s="86"/>
      <c r="BN909" s="86"/>
      <c r="BO909" s="86"/>
      <c r="BP909" s="86"/>
      <c r="BQ909" s="86"/>
      <c r="BR909" s="86"/>
      <c r="BS909" s="86"/>
      <c r="BT909" s="86"/>
      <c r="BU909" s="86"/>
      <c r="BV909" s="86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  <c r="CO909" s="86"/>
      <c r="CP909" s="86"/>
      <c r="CQ909" s="86"/>
      <c r="CR909" s="86"/>
      <c r="CS909" s="86"/>
      <c r="CT909" s="86"/>
      <c r="CU909" s="86"/>
      <c r="CV909" s="86"/>
      <c r="CW909" s="86"/>
      <c r="CX909" s="86"/>
      <c r="CY909" s="86"/>
      <c r="CZ909" s="86"/>
      <c r="DA909" s="86"/>
      <c r="DB909" s="86"/>
      <c r="DC909" s="86"/>
      <c r="DD909" s="86"/>
      <c r="DE909" s="86"/>
      <c r="DF909" s="86"/>
      <c r="DG909" s="86"/>
      <c r="DH909" s="86"/>
      <c r="DI909" s="86"/>
      <c r="DJ909" s="86"/>
      <c r="DK909" s="86"/>
      <c r="DL909" s="86"/>
      <c r="DM909" s="86"/>
      <c r="DN909" s="86"/>
      <c r="DO909" s="86"/>
      <c r="DP909" s="86"/>
      <c r="DQ909" s="86"/>
      <c r="DR909" s="118"/>
      <c r="DS909" s="118"/>
      <c r="DT909" s="86"/>
      <c r="DU909" s="86"/>
      <c r="DV909" s="86"/>
      <c r="DW909" s="86"/>
      <c r="DX909" s="86"/>
      <c r="DY909" s="86"/>
      <c r="DZ909" s="86"/>
      <c r="EA909" s="86"/>
      <c r="EB909" s="86"/>
      <c r="EC909" s="86"/>
      <c r="ED909" s="86"/>
      <c r="EE909" s="86"/>
      <c r="EF909" s="86"/>
      <c r="EG909" s="86"/>
      <c r="EH909" s="86"/>
      <c r="EI909" s="86"/>
      <c r="EJ909" s="86"/>
      <c r="EK909" s="86"/>
      <c r="EL909" s="86"/>
      <c r="EM909" s="86"/>
      <c r="EN909" s="86"/>
    </row>
    <row r="910" spans="1:144" ht="1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8"/>
      <c r="O910" s="88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86"/>
      <c r="AT910" s="86"/>
      <c r="AU910" s="86"/>
      <c r="AV910" s="86"/>
      <c r="AW910" s="86"/>
      <c r="AX910" s="86"/>
      <c r="AY910" s="86"/>
      <c r="AZ910" s="86"/>
      <c r="BA910" s="86"/>
      <c r="BB910" s="86"/>
      <c r="BC910" s="86"/>
      <c r="BD910" s="86"/>
      <c r="BE910" s="86"/>
      <c r="BF910" s="86"/>
      <c r="BG910" s="86"/>
      <c r="BH910" s="86"/>
      <c r="BI910" s="86"/>
      <c r="BJ910" s="86"/>
      <c r="BK910" s="86"/>
      <c r="BL910" s="86"/>
      <c r="BM910" s="86"/>
      <c r="BN910" s="86"/>
      <c r="BO910" s="86"/>
      <c r="BP910" s="86"/>
      <c r="BQ910" s="86"/>
      <c r="BR910" s="86"/>
      <c r="BS910" s="86"/>
      <c r="BT910" s="86"/>
      <c r="BU910" s="86"/>
      <c r="BV910" s="86"/>
      <c r="BW910" s="86"/>
      <c r="BX910" s="86"/>
      <c r="BY910" s="86"/>
      <c r="BZ910" s="86"/>
      <c r="CA910" s="86"/>
      <c r="CB910" s="86"/>
      <c r="CC910" s="86"/>
      <c r="CD910" s="86"/>
      <c r="CE910" s="86"/>
      <c r="CF910" s="86"/>
      <c r="CG910" s="86"/>
      <c r="CH910" s="86"/>
      <c r="CI910" s="86"/>
      <c r="CJ910" s="86"/>
      <c r="CK910" s="86"/>
      <c r="CL910" s="86"/>
      <c r="CM910" s="86"/>
      <c r="CN910" s="86"/>
      <c r="CO910" s="86"/>
      <c r="CP910" s="86"/>
      <c r="CQ910" s="86"/>
      <c r="CR910" s="86"/>
      <c r="CS910" s="86"/>
      <c r="CT910" s="86"/>
      <c r="CU910" s="86"/>
      <c r="CV910" s="86"/>
      <c r="CW910" s="86"/>
      <c r="CX910" s="86"/>
      <c r="CY910" s="86"/>
      <c r="CZ910" s="86"/>
      <c r="DA910" s="86"/>
      <c r="DB910" s="86"/>
      <c r="DC910" s="86"/>
      <c r="DD910" s="86"/>
      <c r="DE910" s="86"/>
      <c r="DF910" s="86"/>
      <c r="DG910" s="86"/>
      <c r="DH910" s="86"/>
      <c r="DI910" s="86"/>
      <c r="DJ910" s="86"/>
      <c r="DK910" s="86"/>
      <c r="DL910" s="86"/>
      <c r="DM910" s="86"/>
      <c r="DN910" s="86"/>
      <c r="DO910" s="86"/>
      <c r="DP910" s="86"/>
      <c r="DQ910" s="86"/>
      <c r="DR910" s="118"/>
      <c r="DS910" s="118"/>
      <c r="DT910" s="86"/>
      <c r="DU910" s="86"/>
      <c r="DV910" s="86"/>
      <c r="DW910" s="86"/>
      <c r="DX910" s="86"/>
      <c r="DY910" s="86"/>
      <c r="DZ910" s="86"/>
      <c r="EA910" s="86"/>
      <c r="EB910" s="86"/>
      <c r="EC910" s="86"/>
      <c r="ED910" s="86"/>
      <c r="EE910" s="86"/>
      <c r="EF910" s="86"/>
      <c r="EG910" s="86"/>
      <c r="EH910" s="86"/>
      <c r="EI910" s="86"/>
      <c r="EJ910" s="86"/>
      <c r="EK910" s="86"/>
      <c r="EL910" s="86"/>
      <c r="EM910" s="86"/>
      <c r="EN910" s="86"/>
    </row>
    <row r="911" spans="1:144" ht="1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8"/>
      <c r="O911" s="88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86"/>
      <c r="AT911" s="86"/>
      <c r="AU911" s="86"/>
      <c r="AV911" s="86"/>
      <c r="AW911" s="86"/>
      <c r="AX911" s="86"/>
      <c r="AY911" s="86"/>
      <c r="AZ911" s="86"/>
      <c r="BA911" s="86"/>
      <c r="BB911" s="86"/>
      <c r="BC911" s="86"/>
      <c r="BD911" s="86"/>
      <c r="BE911" s="86"/>
      <c r="BF911" s="86"/>
      <c r="BG911" s="86"/>
      <c r="BH911" s="86"/>
      <c r="BI911" s="86"/>
      <c r="BJ911" s="86"/>
      <c r="BK911" s="86"/>
      <c r="BL911" s="86"/>
      <c r="BM911" s="86"/>
      <c r="BN911" s="86"/>
      <c r="BO911" s="86"/>
      <c r="BP911" s="86"/>
      <c r="BQ911" s="86"/>
      <c r="BR911" s="86"/>
      <c r="BS911" s="86"/>
      <c r="BT911" s="86"/>
      <c r="BU911" s="86"/>
      <c r="BV911" s="86"/>
      <c r="BW911" s="86"/>
      <c r="BX911" s="86"/>
      <c r="BY911" s="86"/>
      <c r="BZ911" s="86"/>
      <c r="CA911" s="86"/>
      <c r="CB911" s="86"/>
      <c r="CC911" s="86"/>
      <c r="CD911" s="86"/>
      <c r="CE911" s="86"/>
      <c r="CF911" s="86"/>
      <c r="CG911" s="86"/>
      <c r="CH911" s="86"/>
      <c r="CI911" s="86"/>
      <c r="CJ911" s="86"/>
      <c r="CK911" s="86"/>
      <c r="CL911" s="86"/>
      <c r="CM911" s="86"/>
      <c r="CN911" s="86"/>
      <c r="CO911" s="86"/>
      <c r="CP911" s="86"/>
      <c r="CQ911" s="86"/>
      <c r="CR911" s="86"/>
      <c r="CS911" s="86"/>
      <c r="CT911" s="86"/>
      <c r="CU911" s="86"/>
      <c r="CV911" s="86"/>
      <c r="CW911" s="86"/>
      <c r="CX911" s="86"/>
      <c r="CY911" s="86"/>
      <c r="CZ911" s="86"/>
      <c r="DA911" s="86"/>
      <c r="DB911" s="86"/>
      <c r="DC911" s="86"/>
      <c r="DD911" s="86"/>
      <c r="DE911" s="86"/>
      <c r="DF911" s="86"/>
      <c r="DG911" s="86"/>
      <c r="DH911" s="86"/>
      <c r="DI911" s="86"/>
      <c r="DJ911" s="86"/>
      <c r="DK911" s="86"/>
      <c r="DL911" s="86"/>
      <c r="DM911" s="86"/>
      <c r="DN911" s="86"/>
      <c r="DO911" s="86"/>
      <c r="DP911" s="86"/>
      <c r="DQ911" s="86"/>
      <c r="DR911" s="118"/>
      <c r="DS911" s="118"/>
      <c r="DT911" s="86"/>
      <c r="DU911" s="86"/>
      <c r="DV911" s="86"/>
      <c r="DW911" s="86"/>
      <c r="DX911" s="86"/>
      <c r="DY911" s="86"/>
      <c r="DZ911" s="86"/>
      <c r="EA911" s="86"/>
      <c r="EB911" s="86"/>
      <c r="EC911" s="86"/>
      <c r="ED911" s="86"/>
      <c r="EE911" s="86"/>
      <c r="EF911" s="86"/>
      <c r="EG911" s="86"/>
      <c r="EH911" s="86"/>
      <c r="EI911" s="86"/>
      <c r="EJ911" s="86"/>
      <c r="EK911" s="86"/>
      <c r="EL911" s="86"/>
      <c r="EM911" s="86"/>
      <c r="EN911" s="86"/>
    </row>
    <row r="912" spans="1:144" ht="1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8"/>
      <c r="O912" s="88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86"/>
      <c r="AT912" s="86"/>
      <c r="AU912" s="86"/>
      <c r="AV912" s="86"/>
      <c r="AW912" s="86"/>
      <c r="AX912" s="86"/>
      <c r="AY912" s="86"/>
      <c r="AZ912" s="86"/>
      <c r="BA912" s="86"/>
      <c r="BB912" s="86"/>
      <c r="BC912" s="86"/>
      <c r="BD912" s="86"/>
      <c r="BE912" s="86"/>
      <c r="BF912" s="86"/>
      <c r="BG912" s="86"/>
      <c r="BH912" s="86"/>
      <c r="BI912" s="86"/>
      <c r="BJ912" s="86"/>
      <c r="BK912" s="86"/>
      <c r="BL912" s="86"/>
      <c r="BM912" s="86"/>
      <c r="BN912" s="86"/>
      <c r="BO912" s="86"/>
      <c r="BP912" s="86"/>
      <c r="BQ912" s="86"/>
      <c r="BR912" s="86"/>
      <c r="BS912" s="86"/>
      <c r="BT912" s="86"/>
      <c r="BU912" s="86"/>
      <c r="BV912" s="86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  <c r="CO912" s="86"/>
      <c r="CP912" s="86"/>
      <c r="CQ912" s="86"/>
      <c r="CR912" s="86"/>
      <c r="CS912" s="86"/>
      <c r="CT912" s="86"/>
      <c r="CU912" s="86"/>
      <c r="CV912" s="86"/>
      <c r="CW912" s="86"/>
      <c r="CX912" s="86"/>
      <c r="CY912" s="86"/>
      <c r="CZ912" s="86"/>
      <c r="DA912" s="86"/>
      <c r="DB912" s="86"/>
      <c r="DC912" s="86"/>
      <c r="DD912" s="86"/>
      <c r="DE912" s="86"/>
      <c r="DF912" s="86"/>
      <c r="DG912" s="86"/>
      <c r="DH912" s="86"/>
      <c r="DI912" s="86"/>
      <c r="DJ912" s="86"/>
      <c r="DK912" s="86"/>
      <c r="DL912" s="86"/>
      <c r="DM912" s="86"/>
      <c r="DN912" s="86"/>
      <c r="DO912" s="86"/>
      <c r="DP912" s="86"/>
      <c r="DQ912" s="86"/>
      <c r="DR912" s="118"/>
      <c r="DS912" s="118"/>
      <c r="DT912" s="86"/>
      <c r="DU912" s="86"/>
      <c r="DV912" s="86"/>
      <c r="DW912" s="86"/>
      <c r="DX912" s="86"/>
      <c r="DY912" s="86"/>
      <c r="DZ912" s="86"/>
      <c r="EA912" s="86"/>
      <c r="EB912" s="86"/>
      <c r="EC912" s="86"/>
      <c r="ED912" s="86"/>
      <c r="EE912" s="86"/>
      <c r="EF912" s="86"/>
      <c r="EG912" s="86"/>
      <c r="EH912" s="86"/>
      <c r="EI912" s="86"/>
      <c r="EJ912" s="86"/>
      <c r="EK912" s="86"/>
      <c r="EL912" s="86"/>
      <c r="EM912" s="86"/>
      <c r="EN912" s="86"/>
    </row>
    <row r="913" spans="1:144" ht="1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8"/>
      <c r="O913" s="88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86"/>
      <c r="AT913" s="86"/>
      <c r="AU913" s="86"/>
      <c r="AV913" s="86"/>
      <c r="AW913" s="86"/>
      <c r="AX913" s="86"/>
      <c r="AY913" s="86"/>
      <c r="AZ913" s="86"/>
      <c r="BA913" s="86"/>
      <c r="BB913" s="86"/>
      <c r="BC913" s="86"/>
      <c r="BD913" s="86"/>
      <c r="BE913" s="86"/>
      <c r="BF913" s="86"/>
      <c r="BG913" s="86"/>
      <c r="BH913" s="86"/>
      <c r="BI913" s="86"/>
      <c r="BJ913" s="86"/>
      <c r="BK913" s="86"/>
      <c r="BL913" s="86"/>
      <c r="BM913" s="86"/>
      <c r="BN913" s="86"/>
      <c r="BO913" s="86"/>
      <c r="BP913" s="86"/>
      <c r="BQ913" s="86"/>
      <c r="BR913" s="86"/>
      <c r="BS913" s="86"/>
      <c r="BT913" s="86"/>
      <c r="BU913" s="86"/>
      <c r="BV913" s="86"/>
      <c r="BW913" s="86"/>
      <c r="BX913" s="86"/>
      <c r="BY913" s="86"/>
      <c r="BZ913" s="86"/>
      <c r="CA913" s="86"/>
      <c r="CB913" s="86"/>
      <c r="CC913" s="86"/>
      <c r="CD913" s="86"/>
      <c r="CE913" s="86"/>
      <c r="CF913" s="86"/>
      <c r="CG913" s="86"/>
      <c r="CH913" s="86"/>
      <c r="CI913" s="86"/>
      <c r="CJ913" s="86"/>
      <c r="CK913" s="86"/>
      <c r="CL913" s="86"/>
      <c r="CM913" s="86"/>
      <c r="CN913" s="86"/>
      <c r="CO913" s="86"/>
      <c r="CP913" s="86"/>
      <c r="CQ913" s="86"/>
      <c r="CR913" s="86"/>
      <c r="CS913" s="86"/>
      <c r="CT913" s="86"/>
      <c r="CU913" s="86"/>
      <c r="CV913" s="86"/>
      <c r="CW913" s="86"/>
      <c r="CX913" s="86"/>
      <c r="CY913" s="86"/>
      <c r="CZ913" s="86"/>
      <c r="DA913" s="86"/>
      <c r="DB913" s="86"/>
      <c r="DC913" s="86"/>
      <c r="DD913" s="86"/>
      <c r="DE913" s="86"/>
      <c r="DF913" s="86"/>
      <c r="DG913" s="86"/>
      <c r="DH913" s="86"/>
      <c r="DI913" s="86"/>
      <c r="DJ913" s="86"/>
      <c r="DK913" s="86"/>
      <c r="DL913" s="86"/>
      <c r="DM913" s="86"/>
      <c r="DN913" s="86"/>
      <c r="DO913" s="86"/>
      <c r="DP913" s="86"/>
      <c r="DQ913" s="86"/>
      <c r="DR913" s="118"/>
      <c r="DS913" s="118"/>
      <c r="DT913" s="86"/>
      <c r="DU913" s="86"/>
      <c r="DV913" s="86"/>
      <c r="DW913" s="86"/>
      <c r="DX913" s="86"/>
      <c r="DY913" s="86"/>
      <c r="DZ913" s="86"/>
      <c r="EA913" s="86"/>
      <c r="EB913" s="86"/>
      <c r="EC913" s="86"/>
      <c r="ED913" s="86"/>
      <c r="EE913" s="86"/>
      <c r="EF913" s="86"/>
      <c r="EG913" s="86"/>
      <c r="EH913" s="86"/>
      <c r="EI913" s="86"/>
      <c r="EJ913" s="86"/>
      <c r="EK913" s="86"/>
      <c r="EL913" s="86"/>
      <c r="EM913" s="86"/>
      <c r="EN913" s="86"/>
    </row>
    <row r="914" spans="1:144" ht="1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8"/>
      <c r="O914" s="88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86"/>
      <c r="AT914" s="86"/>
      <c r="AU914" s="86"/>
      <c r="AV914" s="86"/>
      <c r="AW914" s="86"/>
      <c r="AX914" s="86"/>
      <c r="AY914" s="86"/>
      <c r="AZ914" s="86"/>
      <c r="BA914" s="86"/>
      <c r="BB914" s="86"/>
      <c r="BC914" s="86"/>
      <c r="BD914" s="86"/>
      <c r="BE914" s="86"/>
      <c r="BF914" s="86"/>
      <c r="BG914" s="86"/>
      <c r="BH914" s="86"/>
      <c r="BI914" s="86"/>
      <c r="BJ914" s="86"/>
      <c r="BK914" s="86"/>
      <c r="BL914" s="86"/>
      <c r="BM914" s="86"/>
      <c r="BN914" s="86"/>
      <c r="BO914" s="86"/>
      <c r="BP914" s="86"/>
      <c r="BQ914" s="86"/>
      <c r="BR914" s="86"/>
      <c r="BS914" s="86"/>
      <c r="BT914" s="86"/>
      <c r="BU914" s="86"/>
      <c r="BV914" s="86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  <c r="CO914" s="86"/>
      <c r="CP914" s="86"/>
      <c r="CQ914" s="86"/>
      <c r="CR914" s="86"/>
      <c r="CS914" s="86"/>
      <c r="CT914" s="86"/>
      <c r="CU914" s="86"/>
      <c r="CV914" s="86"/>
      <c r="CW914" s="86"/>
      <c r="CX914" s="86"/>
      <c r="CY914" s="86"/>
      <c r="CZ914" s="86"/>
      <c r="DA914" s="86"/>
      <c r="DB914" s="86"/>
      <c r="DC914" s="86"/>
      <c r="DD914" s="86"/>
      <c r="DE914" s="86"/>
      <c r="DF914" s="86"/>
      <c r="DG914" s="86"/>
      <c r="DH914" s="86"/>
      <c r="DI914" s="86"/>
      <c r="DJ914" s="86"/>
      <c r="DK914" s="86"/>
      <c r="DL914" s="86"/>
      <c r="DM914" s="86"/>
      <c r="DN914" s="86"/>
      <c r="DO914" s="86"/>
      <c r="DP914" s="86"/>
      <c r="DQ914" s="86"/>
      <c r="DR914" s="118"/>
      <c r="DS914" s="118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/>
      <c r="EE914" s="86"/>
      <c r="EF914" s="86"/>
      <c r="EG914" s="86"/>
      <c r="EH914" s="86"/>
      <c r="EI914" s="86"/>
      <c r="EJ914" s="86"/>
      <c r="EK914" s="86"/>
      <c r="EL914" s="86"/>
      <c r="EM914" s="86"/>
      <c r="EN914" s="86"/>
    </row>
    <row r="915" spans="1:144" ht="1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8"/>
      <c r="O915" s="88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 s="86"/>
      <c r="BH915" s="86"/>
      <c r="BI915" s="86"/>
      <c r="BJ915" s="86"/>
      <c r="BK915" s="86"/>
      <c r="BL915" s="86"/>
      <c r="BM915" s="86"/>
      <c r="BN915" s="86"/>
      <c r="BO915" s="86"/>
      <c r="BP915" s="86"/>
      <c r="BQ915" s="86"/>
      <c r="BR915" s="86"/>
      <c r="BS915" s="86"/>
      <c r="BT915" s="86"/>
      <c r="BU915" s="86"/>
      <c r="BV915" s="86"/>
      <c r="BW915" s="86"/>
      <c r="BX915" s="86"/>
      <c r="BY915" s="86"/>
      <c r="BZ915" s="86"/>
      <c r="CA915" s="86"/>
      <c r="CB915" s="86"/>
      <c r="CC915" s="86"/>
      <c r="CD915" s="86"/>
      <c r="CE915" s="86"/>
      <c r="CF915" s="86"/>
      <c r="CG915" s="86"/>
      <c r="CH915" s="86"/>
      <c r="CI915" s="86"/>
      <c r="CJ915" s="86"/>
      <c r="CK915" s="86"/>
      <c r="CL915" s="86"/>
      <c r="CM915" s="86"/>
      <c r="CN915" s="86"/>
      <c r="CO915" s="86"/>
      <c r="CP915" s="86"/>
      <c r="CQ915" s="86"/>
      <c r="CR915" s="86"/>
      <c r="CS915" s="86"/>
      <c r="CT915" s="86"/>
      <c r="CU915" s="86"/>
      <c r="CV915" s="86"/>
      <c r="CW915" s="86"/>
      <c r="CX915" s="86"/>
      <c r="CY915" s="86"/>
      <c r="CZ915" s="86"/>
      <c r="DA915" s="86"/>
      <c r="DB915" s="86"/>
      <c r="DC915" s="86"/>
      <c r="DD915" s="86"/>
      <c r="DE915" s="86"/>
      <c r="DF915" s="86"/>
      <c r="DG915" s="86"/>
      <c r="DH915" s="86"/>
      <c r="DI915" s="86"/>
      <c r="DJ915" s="86"/>
      <c r="DK915" s="86"/>
      <c r="DL915" s="86"/>
      <c r="DM915" s="86"/>
      <c r="DN915" s="86"/>
      <c r="DO915" s="86"/>
      <c r="DP915" s="86"/>
      <c r="DQ915" s="86"/>
      <c r="DR915" s="118"/>
      <c r="DS915" s="118"/>
      <c r="DT915" s="86"/>
      <c r="DU915" s="86"/>
      <c r="DV915" s="86"/>
      <c r="DW915" s="86"/>
      <c r="DX915" s="86"/>
      <c r="DY915" s="86"/>
      <c r="DZ915" s="86"/>
      <c r="EA915" s="86"/>
      <c r="EB915" s="86"/>
      <c r="EC915" s="86"/>
      <c r="ED915" s="86"/>
      <c r="EE915" s="86"/>
      <c r="EF915" s="86"/>
      <c r="EG915" s="86"/>
      <c r="EH915" s="86"/>
      <c r="EI915" s="86"/>
      <c r="EJ915" s="86"/>
      <c r="EK915" s="86"/>
      <c r="EL915" s="86"/>
      <c r="EM915" s="86"/>
      <c r="EN915" s="86"/>
    </row>
    <row r="916" spans="1:144" ht="1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8"/>
      <c r="O916" s="88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AS916" s="86"/>
      <c r="AT916" s="86"/>
      <c r="AU916" s="86"/>
      <c r="AV916" s="86"/>
      <c r="AW916" s="86"/>
      <c r="AX916" s="86"/>
      <c r="AY916" s="86"/>
      <c r="AZ916" s="86"/>
      <c r="BA916" s="86"/>
      <c r="BB916" s="86"/>
      <c r="BC916" s="86"/>
      <c r="BD916" s="86"/>
      <c r="BE916" s="86"/>
      <c r="BF916" s="86"/>
      <c r="BG916" s="86"/>
      <c r="BH916" s="86"/>
      <c r="BI916" s="86"/>
      <c r="BJ916" s="86"/>
      <c r="BK916" s="86"/>
      <c r="BL916" s="86"/>
      <c r="BM916" s="86"/>
      <c r="BN916" s="86"/>
      <c r="BO916" s="86"/>
      <c r="BP916" s="86"/>
      <c r="BQ916" s="86"/>
      <c r="BR916" s="86"/>
      <c r="BS916" s="86"/>
      <c r="BT916" s="86"/>
      <c r="BU916" s="86"/>
      <c r="BV916" s="86"/>
      <c r="BW916" s="86"/>
      <c r="BX916" s="86"/>
      <c r="BY916" s="86"/>
      <c r="BZ916" s="86"/>
      <c r="CA916" s="86"/>
      <c r="CB916" s="86"/>
      <c r="CC916" s="86"/>
      <c r="CD916" s="86"/>
      <c r="CE916" s="86"/>
      <c r="CF916" s="86"/>
      <c r="CG916" s="86"/>
      <c r="CH916" s="86"/>
      <c r="CI916" s="86"/>
      <c r="CJ916" s="86"/>
      <c r="CK916" s="86"/>
      <c r="CL916" s="86"/>
      <c r="CM916" s="86"/>
      <c r="CN916" s="86"/>
      <c r="CO916" s="86"/>
      <c r="CP916" s="86"/>
      <c r="CQ916" s="86"/>
      <c r="CR916" s="86"/>
      <c r="CS916" s="86"/>
      <c r="CT916" s="86"/>
      <c r="CU916" s="86"/>
      <c r="CV916" s="86"/>
      <c r="CW916" s="86"/>
      <c r="CX916" s="86"/>
      <c r="CY916" s="86"/>
      <c r="CZ916" s="86"/>
      <c r="DA916" s="86"/>
      <c r="DB916" s="86"/>
      <c r="DC916" s="86"/>
      <c r="DD916" s="86"/>
      <c r="DE916" s="86"/>
      <c r="DF916" s="86"/>
      <c r="DG916" s="86"/>
      <c r="DH916" s="86"/>
      <c r="DI916" s="86"/>
      <c r="DJ916" s="86"/>
      <c r="DK916" s="86"/>
      <c r="DL916" s="86"/>
      <c r="DM916" s="86"/>
      <c r="DN916" s="86"/>
      <c r="DO916" s="86"/>
      <c r="DP916" s="86"/>
      <c r="DQ916" s="86"/>
      <c r="DR916" s="118"/>
      <c r="DS916" s="118"/>
      <c r="DT916" s="86"/>
      <c r="DU916" s="86"/>
      <c r="DV916" s="86"/>
      <c r="DW916" s="86"/>
      <c r="DX916" s="86"/>
      <c r="DY916" s="86"/>
      <c r="DZ916" s="86"/>
      <c r="EA916" s="86"/>
      <c r="EB916" s="86"/>
      <c r="EC916" s="86"/>
      <c r="ED916" s="86"/>
      <c r="EE916" s="86"/>
      <c r="EF916" s="86"/>
      <c r="EG916" s="86"/>
      <c r="EH916" s="86"/>
      <c r="EI916" s="86"/>
      <c r="EJ916" s="86"/>
      <c r="EK916" s="86"/>
      <c r="EL916" s="86"/>
      <c r="EM916" s="86"/>
      <c r="EN916" s="86"/>
    </row>
    <row r="917" spans="1:144" ht="1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8"/>
      <c r="O917" s="88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AS917" s="86"/>
      <c r="AT917" s="86"/>
      <c r="AU917" s="86"/>
      <c r="AV917" s="86"/>
      <c r="AW917" s="86"/>
      <c r="AX917" s="86"/>
      <c r="AY917" s="86"/>
      <c r="AZ917" s="86"/>
      <c r="BA917" s="86"/>
      <c r="BB917" s="86"/>
      <c r="BC917" s="86"/>
      <c r="BD917" s="86"/>
      <c r="BE917" s="86"/>
      <c r="BF917" s="86"/>
      <c r="BG917" s="86"/>
      <c r="BH917" s="86"/>
      <c r="BI917" s="86"/>
      <c r="BJ917" s="86"/>
      <c r="BK917" s="86"/>
      <c r="BL917" s="86"/>
      <c r="BM917" s="86"/>
      <c r="BN917" s="86"/>
      <c r="BO917" s="86"/>
      <c r="BP917" s="86"/>
      <c r="BQ917" s="86"/>
      <c r="BR917" s="86"/>
      <c r="BS917" s="86"/>
      <c r="BT917" s="86"/>
      <c r="BU917" s="86"/>
      <c r="BV917" s="86"/>
      <c r="BW917" s="86"/>
      <c r="BX917" s="86"/>
      <c r="BY917" s="86"/>
      <c r="BZ917" s="86"/>
      <c r="CA917" s="86"/>
      <c r="CB917" s="86"/>
      <c r="CC917" s="86"/>
      <c r="CD917" s="86"/>
      <c r="CE917" s="86"/>
      <c r="CF917" s="86"/>
      <c r="CG917" s="86"/>
      <c r="CH917" s="86"/>
      <c r="CI917" s="86"/>
      <c r="CJ917" s="86"/>
      <c r="CK917" s="86"/>
      <c r="CL917" s="86"/>
      <c r="CM917" s="86"/>
      <c r="CN917" s="86"/>
      <c r="CO917" s="86"/>
      <c r="CP917" s="86"/>
      <c r="CQ917" s="86"/>
      <c r="CR917" s="86"/>
      <c r="CS917" s="86"/>
      <c r="CT917" s="86"/>
      <c r="CU917" s="86"/>
      <c r="CV917" s="86"/>
      <c r="CW917" s="86"/>
      <c r="CX917" s="86"/>
      <c r="CY917" s="86"/>
      <c r="CZ917" s="86"/>
      <c r="DA917" s="86"/>
      <c r="DB917" s="86"/>
      <c r="DC917" s="86"/>
      <c r="DD917" s="86"/>
      <c r="DE917" s="86"/>
      <c r="DF917" s="86"/>
      <c r="DG917" s="86"/>
      <c r="DH917" s="86"/>
      <c r="DI917" s="86"/>
      <c r="DJ917" s="86"/>
      <c r="DK917" s="86"/>
      <c r="DL917" s="86"/>
      <c r="DM917" s="86"/>
      <c r="DN917" s="86"/>
      <c r="DO917" s="86"/>
      <c r="DP917" s="86"/>
      <c r="DQ917" s="86"/>
      <c r="DR917" s="118"/>
      <c r="DS917" s="118"/>
      <c r="DT917" s="86"/>
      <c r="DU917" s="86"/>
      <c r="DV917" s="86"/>
      <c r="DW917" s="86"/>
      <c r="DX917" s="86"/>
      <c r="DY917" s="86"/>
      <c r="DZ917" s="86"/>
      <c r="EA917" s="86"/>
      <c r="EB917" s="86"/>
      <c r="EC917" s="86"/>
      <c r="ED917" s="86"/>
      <c r="EE917" s="86"/>
      <c r="EF917" s="86"/>
      <c r="EG917" s="86"/>
      <c r="EH917" s="86"/>
      <c r="EI917" s="86"/>
      <c r="EJ917" s="86"/>
      <c r="EK917" s="86"/>
      <c r="EL917" s="86"/>
      <c r="EM917" s="86"/>
      <c r="EN917" s="86"/>
    </row>
    <row r="918" spans="1:144" ht="1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8"/>
      <c r="O918" s="88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AS918" s="86"/>
      <c r="AT918" s="86"/>
      <c r="AU918" s="86"/>
      <c r="AV918" s="86"/>
      <c r="AW918" s="86"/>
      <c r="AX918" s="86"/>
      <c r="AY918" s="86"/>
      <c r="AZ918" s="86"/>
      <c r="BA918" s="86"/>
      <c r="BB918" s="86"/>
      <c r="BC918" s="86"/>
      <c r="BD918" s="86"/>
      <c r="BE918" s="86"/>
      <c r="BF918" s="86"/>
      <c r="BG918" s="86"/>
      <c r="BH918" s="86"/>
      <c r="BI918" s="86"/>
      <c r="BJ918" s="86"/>
      <c r="BK918" s="86"/>
      <c r="BL918" s="86"/>
      <c r="BM918" s="86"/>
      <c r="BN918" s="86"/>
      <c r="BO918" s="86"/>
      <c r="BP918" s="86"/>
      <c r="BQ918" s="86"/>
      <c r="BR918" s="86"/>
      <c r="BS918" s="86"/>
      <c r="BT918" s="86"/>
      <c r="BU918" s="86"/>
      <c r="BV918" s="86"/>
      <c r="BW918" s="86"/>
      <c r="BX918" s="86"/>
      <c r="BY918" s="86"/>
      <c r="BZ918" s="86"/>
      <c r="CA918" s="86"/>
      <c r="CB918" s="86"/>
      <c r="CC918" s="86"/>
      <c r="CD918" s="86"/>
      <c r="CE918" s="86"/>
      <c r="CF918" s="86"/>
      <c r="CG918" s="86"/>
      <c r="CH918" s="86"/>
      <c r="CI918" s="86"/>
      <c r="CJ918" s="86"/>
      <c r="CK918" s="86"/>
      <c r="CL918" s="86"/>
      <c r="CM918" s="86"/>
      <c r="CN918" s="86"/>
      <c r="CO918" s="86"/>
      <c r="CP918" s="86"/>
      <c r="CQ918" s="86"/>
      <c r="CR918" s="86"/>
      <c r="CS918" s="86"/>
      <c r="CT918" s="86"/>
      <c r="CU918" s="86"/>
      <c r="CV918" s="86"/>
      <c r="CW918" s="86"/>
      <c r="CX918" s="86"/>
      <c r="CY918" s="86"/>
      <c r="CZ918" s="86"/>
      <c r="DA918" s="86"/>
      <c r="DB918" s="86"/>
      <c r="DC918" s="86"/>
      <c r="DD918" s="86"/>
      <c r="DE918" s="86"/>
      <c r="DF918" s="86"/>
      <c r="DG918" s="86"/>
      <c r="DH918" s="86"/>
      <c r="DI918" s="86"/>
      <c r="DJ918" s="86"/>
      <c r="DK918" s="86"/>
      <c r="DL918" s="86"/>
      <c r="DM918" s="86"/>
      <c r="DN918" s="86"/>
      <c r="DO918" s="86"/>
      <c r="DP918" s="86"/>
      <c r="DQ918" s="86"/>
      <c r="DR918" s="118"/>
      <c r="DS918" s="118"/>
      <c r="DT918" s="86"/>
      <c r="DU918" s="86"/>
      <c r="DV918" s="86"/>
      <c r="DW918" s="86"/>
      <c r="DX918" s="86"/>
      <c r="DY918" s="86"/>
      <c r="DZ918" s="86"/>
      <c r="EA918" s="86"/>
      <c r="EB918" s="86"/>
      <c r="EC918" s="86"/>
      <c r="ED918" s="86"/>
      <c r="EE918" s="86"/>
      <c r="EF918" s="86"/>
      <c r="EG918" s="86"/>
      <c r="EH918" s="86"/>
      <c r="EI918" s="86"/>
      <c r="EJ918" s="86"/>
      <c r="EK918" s="86"/>
      <c r="EL918" s="86"/>
      <c r="EM918" s="86"/>
      <c r="EN918" s="86"/>
    </row>
    <row r="919" spans="1:144" ht="15" customHeight="1" x14ac:dyDescent="0.25"/>
    <row r="920" spans="1:144" x14ac:dyDescent="0.25">
      <c r="CU920" s="47"/>
      <c r="CV920" s="47"/>
      <c r="DP920" s="90">
        <f>5%*AQ920</f>
        <v>0</v>
      </c>
    </row>
    <row r="936" spans="54:55" x14ac:dyDescent="0.25">
      <c r="BB936" s="172"/>
    </row>
    <row r="937" spans="54:55" x14ac:dyDescent="0.25">
      <c r="BB937" s="172"/>
    </row>
    <row r="938" spans="54:55" x14ac:dyDescent="0.25">
      <c r="BB938" s="172"/>
    </row>
    <row r="939" spans="54:55" x14ac:dyDescent="0.25">
      <c r="BB939" s="172"/>
    </row>
    <row r="941" spans="54:55" x14ac:dyDescent="0.25">
      <c r="BB941" s="172"/>
    </row>
    <row r="943" spans="54:55" x14ac:dyDescent="0.25">
      <c r="BC943" s="172"/>
    </row>
    <row r="945" spans="55:119" x14ac:dyDescent="0.25">
      <c r="BC945" s="172"/>
    </row>
    <row r="954" spans="55:119" x14ac:dyDescent="0.25">
      <c r="DN954" s="172"/>
    </row>
    <row r="955" spans="55:119" x14ac:dyDescent="0.25">
      <c r="DO955" s="172"/>
    </row>
  </sheetData>
  <autoFilter ref="A1:FY955"/>
  <mergeCells count="108">
    <mergeCell ref="B5:B7"/>
    <mergeCell ref="C5:C7"/>
    <mergeCell ref="D5:D7"/>
    <mergeCell ref="E5:E7"/>
    <mergeCell ref="F5:F7"/>
    <mergeCell ref="G5:G7"/>
    <mergeCell ref="N5:N7"/>
    <mergeCell ref="O5:O7"/>
    <mergeCell ref="P5:P7"/>
    <mergeCell ref="Q5:Q7"/>
    <mergeCell ref="R5:R7"/>
    <mergeCell ref="S5:S7"/>
    <mergeCell ref="H5:H7"/>
    <mergeCell ref="I5:I7"/>
    <mergeCell ref="J5:J7"/>
    <mergeCell ref="K5:K7"/>
    <mergeCell ref="L5:L7"/>
    <mergeCell ref="M5:M7"/>
    <mergeCell ref="T5:T7"/>
    <mergeCell ref="U5:U7"/>
    <mergeCell ref="V5:V7"/>
    <mergeCell ref="X5:AO5"/>
    <mergeCell ref="AP5:AW5"/>
    <mergeCell ref="AX5:BE5"/>
    <mergeCell ref="W6:W7"/>
    <mergeCell ref="X6:X7"/>
    <mergeCell ref="Y6:AG6"/>
    <mergeCell ref="AH6:AM6"/>
    <mergeCell ref="EL5:EL7"/>
    <mergeCell ref="EM5:EM7"/>
    <mergeCell ref="EN5:EN7"/>
    <mergeCell ref="EF6:EG6"/>
    <mergeCell ref="EH6:EH7"/>
    <mergeCell ref="EI6:EI7"/>
    <mergeCell ref="EJ6:EJ7"/>
    <mergeCell ref="CZ5:DF5"/>
    <mergeCell ref="DG5:DL5"/>
    <mergeCell ref="DN5:DX5"/>
    <mergeCell ref="DY5:EB5"/>
    <mergeCell ref="EC5:EC7"/>
    <mergeCell ref="ED5:ED7"/>
    <mergeCell ref="DE6:DE7"/>
    <mergeCell ref="DF6:DF7"/>
    <mergeCell ref="DG6:DH6"/>
    <mergeCell ref="DI6:DK6"/>
    <mergeCell ref="AN6:AN7"/>
    <mergeCell ref="AO6:AO7"/>
    <mergeCell ref="AP6:AQ6"/>
    <mergeCell ref="AR6:AR7"/>
    <mergeCell ref="AS6:AU6"/>
    <mergeCell ref="AV6:AV7"/>
    <mergeCell ref="EE5:EE7"/>
    <mergeCell ref="EF5:EJ5"/>
    <mergeCell ref="EK5:EK7"/>
    <mergeCell ref="BF5:BM5"/>
    <mergeCell ref="BN5:BU5"/>
    <mergeCell ref="BV5:CC5"/>
    <mergeCell ref="CD5:CK5"/>
    <mergeCell ref="CL5:CR5"/>
    <mergeCell ref="CS5:CY5"/>
    <mergeCell ref="BF6:BG6"/>
    <mergeCell ref="BH6:BH7"/>
    <mergeCell ref="BI6:BK6"/>
    <mergeCell ref="BL6:BL7"/>
    <mergeCell ref="BM6:BM7"/>
    <mergeCell ref="BN6:BO6"/>
    <mergeCell ref="AW6:AW7"/>
    <mergeCell ref="AX6:AY6"/>
    <mergeCell ref="AZ6:AZ7"/>
    <mergeCell ref="BA6:BC6"/>
    <mergeCell ref="BD6:BD7"/>
    <mergeCell ref="BE6:BE7"/>
    <mergeCell ref="BY6:CA6"/>
    <mergeCell ref="CB6:CB7"/>
    <mergeCell ref="CC6:CC7"/>
    <mergeCell ref="CD6:CE6"/>
    <mergeCell ref="CF6:CF7"/>
    <mergeCell ref="CG6:CI6"/>
    <mergeCell ref="BP6:BP7"/>
    <mergeCell ref="BQ6:BS6"/>
    <mergeCell ref="BT6:BT7"/>
    <mergeCell ref="BU6:BU7"/>
    <mergeCell ref="BV6:BW6"/>
    <mergeCell ref="BX6:BX7"/>
    <mergeCell ref="CS6:CT6"/>
    <mergeCell ref="CU6:CW6"/>
    <mergeCell ref="CX6:CX7"/>
    <mergeCell ref="CY6:CY7"/>
    <mergeCell ref="CZ6:DA6"/>
    <mergeCell ref="DB6:DD6"/>
    <mergeCell ref="CJ6:CJ7"/>
    <mergeCell ref="CK6:CK7"/>
    <mergeCell ref="CL6:CM6"/>
    <mergeCell ref="CN6:CP6"/>
    <mergeCell ref="CQ6:CQ7"/>
    <mergeCell ref="CR6:CR7"/>
    <mergeCell ref="DV6:DW6"/>
    <mergeCell ref="DX6:DX7"/>
    <mergeCell ref="DY6:DY7"/>
    <mergeCell ref="DZ6:DZ7"/>
    <mergeCell ref="EA6:EA7"/>
    <mergeCell ref="EB6:EB7"/>
    <mergeCell ref="DL6:DL7"/>
    <mergeCell ref="DM6:DM7"/>
    <mergeCell ref="DN6:DO6"/>
    <mergeCell ref="DP6:DQ6"/>
    <mergeCell ref="DR6:DS6"/>
    <mergeCell ref="DT6:DU6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REKAPAN JANUARI 2026 </vt:lpstr>
      <vt:lpstr>'REKAPAN JANUARI 2026 '!Print_Area</vt:lpstr>
    </vt:vector>
  </TitlesOfParts>
  <Company>pb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</dc:creator>
  <cp:lastModifiedBy>egi</cp:lastModifiedBy>
  <dcterms:created xsi:type="dcterms:W3CDTF">2026-01-09T01:52:00Z</dcterms:created>
  <dcterms:modified xsi:type="dcterms:W3CDTF">2026-01-10T02:42:34Z</dcterms:modified>
</cp:coreProperties>
</file>